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lamp/tyql/"/>
    </mc:Choice>
  </mc:AlternateContent>
  <xr:revisionPtr revIDLastSave="0" documentId="8_{17B14892-D0EC-9D49-878C-30422260CC4B}" xr6:coauthVersionLast="47" xr6:coauthVersionMax="47" xr10:uidLastSave="{00000000-0000-0000-0000-000000000000}"/>
  <bookViews>
    <workbookView xWindow="1500" yWindow="1320" windowWidth="27640" windowHeight="16940" activeTab="2" xr2:uid="{C97E319E-3C7C-F248-853E-8BD1A6A75246}"/>
  </bookViews>
  <sheets>
    <sheet name="EXACT TABLE" sheetId="12" r:id="rId1"/>
    <sheet name="compare-with-submitted" sheetId="10" r:id="rId2"/>
    <sheet name="small" sheetId="2" r:id="rId3"/>
    <sheet name="medium" sheetId="3" r:id="rId4"/>
    <sheet name="large" sheetId="4" r:id="rId5"/>
    <sheet name="table-4" sheetId="6" r:id="rId6"/>
    <sheet name="helper-calculations" sheetId="7" r:id="rId7"/>
    <sheet name="table-5" sheetId="9" r:id="rId8"/>
  </sheets>
  <definedNames>
    <definedName name="test_formulas" localSheetId="1">'compare-with-submitted'!$A$1:$O$59</definedName>
    <definedName name="test_formulas" localSheetId="6">'helper-calculations'!$A$1:$AC$110</definedName>
    <definedName name="test_formulas" localSheetId="4">large!$A$1:$Z$79</definedName>
    <definedName name="test_formulas" localSheetId="3">medium!$A$1:$Z$79</definedName>
    <definedName name="test_formulas" localSheetId="2">small!$A$1:$Z$81</definedName>
    <definedName name="test_formulas" localSheetId="5">'table-4'!$A$1:$AC$124</definedName>
    <definedName name="test_formulas" localSheetId="7">'table-5'!$A$1:$P$72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3" i="10" l="1"/>
  <c r="W43" i="10"/>
  <c r="X43" i="10"/>
  <c r="V44" i="10"/>
  <c r="W44" i="10"/>
  <c r="X44" i="10"/>
  <c r="V45" i="10"/>
  <c r="W45" i="10"/>
  <c r="X45" i="10"/>
  <c r="V46" i="10"/>
  <c r="W46" i="10"/>
  <c r="X46" i="10"/>
  <c r="V47" i="10"/>
  <c r="W47" i="10"/>
  <c r="X47" i="10"/>
  <c r="V48" i="10"/>
  <c r="W48" i="10"/>
  <c r="X48" i="10"/>
  <c r="V49" i="10"/>
  <c r="W49" i="10"/>
  <c r="X49" i="10"/>
  <c r="V50" i="10"/>
  <c r="W50" i="10"/>
  <c r="X50" i="10"/>
  <c r="V51" i="10"/>
  <c r="W51" i="10"/>
  <c r="X51" i="10"/>
  <c r="V52" i="10"/>
  <c r="W52" i="10"/>
  <c r="X52" i="10"/>
  <c r="V53" i="10"/>
  <c r="W53" i="10"/>
  <c r="X53" i="10"/>
  <c r="V54" i="10"/>
  <c r="W54" i="10"/>
  <c r="X54" i="10"/>
  <c r="V55" i="10"/>
  <c r="W55" i="10"/>
  <c r="X55" i="10"/>
  <c r="V56" i="10"/>
  <c r="W56" i="10"/>
  <c r="X56" i="10"/>
  <c r="V57" i="10"/>
  <c r="W57" i="10"/>
  <c r="X57" i="10"/>
  <c r="W42" i="10"/>
  <c r="X42" i="10"/>
  <c r="V42" i="10"/>
  <c r="V24" i="10"/>
  <c r="W24" i="10"/>
  <c r="X24" i="10"/>
  <c r="V25" i="10"/>
  <c r="W25" i="10"/>
  <c r="X25" i="10"/>
  <c r="V26" i="10"/>
  <c r="W26" i="10"/>
  <c r="X26" i="10"/>
  <c r="V27" i="10"/>
  <c r="W27" i="10"/>
  <c r="X27" i="10"/>
  <c r="V28" i="10"/>
  <c r="W28" i="10"/>
  <c r="X28" i="10"/>
  <c r="V29" i="10"/>
  <c r="W29" i="10"/>
  <c r="X29" i="10"/>
  <c r="V30" i="10"/>
  <c r="W30" i="10"/>
  <c r="X30" i="10"/>
  <c r="V31" i="10"/>
  <c r="W31" i="10"/>
  <c r="X31" i="10"/>
  <c r="V32" i="10"/>
  <c r="W32" i="10"/>
  <c r="X32" i="10"/>
  <c r="V33" i="10"/>
  <c r="W33" i="10"/>
  <c r="X33" i="10"/>
  <c r="V34" i="10"/>
  <c r="W34" i="10"/>
  <c r="X34" i="10"/>
  <c r="V35" i="10"/>
  <c r="W35" i="10"/>
  <c r="X35" i="10"/>
  <c r="V36" i="10"/>
  <c r="W36" i="10"/>
  <c r="X36" i="10"/>
  <c r="V37" i="10"/>
  <c r="W37" i="10"/>
  <c r="X37" i="10"/>
  <c r="V38" i="10"/>
  <c r="W38" i="10"/>
  <c r="X38" i="10"/>
  <c r="W23" i="10"/>
  <c r="X23" i="10"/>
  <c r="V23" i="10"/>
  <c r="V4" i="10"/>
  <c r="W4" i="10"/>
  <c r="X4" i="10"/>
  <c r="V5" i="10"/>
  <c r="W5" i="10"/>
  <c r="X5" i="10"/>
  <c r="V6" i="10"/>
  <c r="W6" i="10"/>
  <c r="X6" i="10"/>
  <c r="V7" i="10"/>
  <c r="W7" i="10"/>
  <c r="X7" i="10"/>
  <c r="V8" i="10"/>
  <c r="W8" i="10"/>
  <c r="X8" i="10"/>
  <c r="V9" i="10"/>
  <c r="W9" i="10"/>
  <c r="X9" i="10"/>
  <c r="V10" i="10"/>
  <c r="W10" i="10"/>
  <c r="X10" i="10"/>
  <c r="V11" i="10"/>
  <c r="W11" i="10"/>
  <c r="X11" i="10"/>
  <c r="V12" i="10"/>
  <c r="W12" i="10"/>
  <c r="X12" i="10"/>
  <c r="V13" i="10"/>
  <c r="W13" i="10"/>
  <c r="X13" i="10"/>
  <c r="V14" i="10"/>
  <c r="W14" i="10"/>
  <c r="X14" i="10"/>
  <c r="V15" i="10"/>
  <c r="W15" i="10"/>
  <c r="X15" i="10"/>
  <c r="V16" i="10"/>
  <c r="W16" i="10"/>
  <c r="X16" i="10"/>
  <c r="V17" i="10"/>
  <c r="W17" i="10"/>
  <c r="X17" i="10"/>
  <c r="V18" i="10"/>
  <c r="W18" i="10"/>
  <c r="X18" i="10"/>
  <c r="W3" i="10"/>
  <c r="X3" i="10"/>
  <c r="V3" i="10"/>
  <c r="Q3" i="10"/>
  <c r="Q43" i="10"/>
  <c r="R43" i="10"/>
  <c r="S43" i="10"/>
  <c r="Q44" i="10"/>
  <c r="R44" i="10"/>
  <c r="S44" i="10"/>
  <c r="Q45" i="10"/>
  <c r="R45" i="10"/>
  <c r="S45" i="10"/>
  <c r="Q46" i="10"/>
  <c r="R46" i="10"/>
  <c r="S46" i="10"/>
  <c r="Q47" i="10"/>
  <c r="R47" i="10"/>
  <c r="S47" i="10"/>
  <c r="Q48" i="10"/>
  <c r="R48" i="10"/>
  <c r="S48" i="10"/>
  <c r="Q49" i="10"/>
  <c r="R49" i="10"/>
  <c r="S49" i="10"/>
  <c r="Q50" i="10"/>
  <c r="R50" i="10"/>
  <c r="S50" i="10"/>
  <c r="Q51" i="10"/>
  <c r="R51" i="10"/>
  <c r="S51" i="10"/>
  <c r="Q52" i="10"/>
  <c r="R52" i="10"/>
  <c r="S52" i="10"/>
  <c r="Q53" i="10"/>
  <c r="R53" i="10"/>
  <c r="S53" i="10"/>
  <c r="Q54" i="10"/>
  <c r="R54" i="10"/>
  <c r="S54" i="10"/>
  <c r="Q55" i="10"/>
  <c r="R55" i="10"/>
  <c r="S55" i="10"/>
  <c r="Q56" i="10"/>
  <c r="R56" i="10"/>
  <c r="S56" i="10"/>
  <c r="Q57" i="10"/>
  <c r="R57" i="10"/>
  <c r="S57" i="10"/>
  <c r="R42" i="10"/>
  <c r="S42" i="10"/>
  <c r="Q42" i="10"/>
  <c r="Q24" i="10"/>
  <c r="R24" i="10"/>
  <c r="S24" i="10"/>
  <c r="Q25" i="10"/>
  <c r="R25" i="10"/>
  <c r="S25" i="10"/>
  <c r="Q26" i="10"/>
  <c r="R26" i="10"/>
  <c r="S26" i="10"/>
  <c r="Q27" i="10"/>
  <c r="R27" i="10"/>
  <c r="S27" i="10"/>
  <c r="Q28" i="10"/>
  <c r="R28" i="10"/>
  <c r="S28" i="10"/>
  <c r="Q29" i="10"/>
  <c r="R29" i="10"/>
  <c r="S29" i="10"/>
  <c r="Q30" i="10"/>
  <c r="R30" i="10"/>
  <c r="S30" i="10"/>
  <c r="Q31" i="10"/>
  <c r="R31" i="10"/>
  <c r="S31" i="10"/>
  <c r="Q32" i="10"/>
  <c r="R32" i="10"/>
  <c r="S32" i="10"/>
  <c r="Q33" i="10"/>
  <c r="R33" i="10"/>
  <c r="S33" i="10"/>
  <c r="Q34" i="10"/>
  <c r="R34" i="10"/>
  <c r="S34" i="10"/>
  <c r="Q35" i="10"/>
  <c r="R35" i="10"/>
  <c r="S35" i="10"/>
  <c r="Q36" i="10"/>
  <c r="R36" i="10"/>
  <c r="S36" i="10"/>
  <c r="Q37" i="10"/>
  <c r="R37" i="10"/>
  <c r="S37" i="10"/>
  <c r="Q38" i="10"/>
  <c r="R38" i="10"/>
  <c r="S38" i="10"/>
  <c r="R23" i="10"/>
  <c r="S23" i="10"/>
  <c r="Q23" i="10"/>
  <c r="Q4" i="10"/>
  <c r="R4" i="10"/>
  <c r="S4" i="10"/>
  <c r="Q5" i="10"/>
  <c r="R5" i="10"/>
  <c r="S5" i="10"/>
  <c r="Q6" i="10"/>
  <c r="R6" i="10"/>
  <c r="S6" i="10"/>
  <c r="Q7" i="10"/>
  <c r="R7" i="10"/>
  <c r="S7" i="10"/>
  <c r="Q8" i="10"/>
  <c r="R8" i="10"/>
  <c r="S8" i="10"/>
  <c r="Q9" i="10"/>
  <c r="R9" i="10"/>
  <c r="S9" i="10"/>
  <c r="Q10" i="10"/>
  <c r="R10" i="10"/>
  <c r="S10" i="10"/>
  <c r="Q11" i="10"/>
  <c r="R11" i="10"/>
  <c r="S11" i="10"/>
  <c r="Q12" i="10"/>
  <c r="R12" i="10"/>
  <c r="S12" i="10"/>
  <c r="Q13" i="10"/>
  <c r="R13" i="10"/>
  <c r="S13" i="10"/>
  <c r="Q14" i="10"/>
  <c r="R14" i="10"/>
  <c r="S14" i="10"/>
  <c r="Q15" i="10"/>
  <c r="R15" i="10"/>
  <c r="S15" i="10"/>
  <c r="Q16" i="10"/>
  <c r="R16" i="10"/>
  <c r="S16" i="10"/>
  <c r="Q17" i="10"/>
  <c r="R17" i="10"/>
  <c r="S17" i="10"/>
  <c r="Q18" i="10"/>
  <c r="R18" i="10"/>
  <c r="S18" i="10"/>
  <c r="R3" i="10"/>
  <c r="S3" i="10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B4" i="12"/>
  <c r="C4" i="12"/>
  <c r="D4" i="12"/>
  <c r="E4" i="12"/>
  <c r="F4" i="12"/>
  <c r="G4" i="12"/>
  <c r="H4" i="12"/>
  <c r="I4" i="12"/>
  <c r="J4" i="12"/>
  <c r="A4" i="12"/>
  <c r="D4" i="7" a="1"/>
  <c r="D4" i="7" s="1"/>
  <c r="C58" i="7" s="1"/>
  <c r="D5" i="7" a="1"/>
  <c r="D5" i="7" s="1"/>
  <c r="D6" i="7" a="1"/>
  <c r="D6" i="7" s="1"/>
  <c r="C60" i="7" s="1"/>
  <c r="D7" i="7" a="1"/>
  <c r="D7" i="7" s="1"/>
  <c r="C61" i="7" s="1"/>
  <c r="D8" i="7" a="1"/>
  <c r="D8" i="7" s="1"/>
  <c r="C62" i="7" s="1"/>
  <c r="D9" i="7" a="1"/>
  <c r="D9" i="7" s="1"/>
  <c r="C63" i="7" s="1"/>
  <c r="D10" i="7" a="1"/>
  <c r="D10" i="7" s="1"/>
  <c r="C64" i="7" s="1"/>
  <c r="D11" i="7" a="1"/>
  <c r="D11" i="7" s="1"/>
  <c r="C65" i="7" s="1"/>
  <c r="D12" i="7" a="1"/>
  <c r="D12" i="7" s="1"/>
  <c r="C66" i="7" s="1"/>
  <c r="D13" i="7" a="1"/>
  <c r="D13" i="7" s="1"/>
  <c r="C67" i="7" s="1"/>
  <c r="D14" i="7" a="1"/>
  <c r="D14" i="7" s="1"/>
  <c r="C68" i="7" s="1"/>
  <c r="D15" i="7" a="1"/>
  <c r="D15" i="7" s="1"/>
  <c r="D16" i="7" a="1"/>
  <c r="D16" i="7" s="1"/>
  <c r="C70" i="7" s="1"/>
  <c r="D17" i="7" a="1"/>
  <c r="D17" i="7" s="1"/>
  <c r="C71" i="7" s="1"/>
  <c r="D18" i="7" a="1"/>
  <c r="D18" i="7" s="1"/>
  <c r="D19" i="7" a="1"/>
  <c r="D19" i="7" s="1"/>
  <c r="C73" i="7" s="1"/>
  <c r="D20" i="7" a="1"/>
  <c r="D20" i="7" s="1"/>
  <c r="D21" i="7" a="1"/>
  <c r="D21" i="7" s="1"/>
  <c r="C75" i="7" s="1"/>
  <c r="D22" i="7" a="1"/>
  <c r="D22" i="7" s="1"/>
  <c r="C76" i="7" s="1"/>
  <c r="D23" i="7" a="1"/>
  <c r="D23" i="7" s="1"/>
  <c r="C77" i="7" s="1"/>
  <c r="D24" i="7" a="1"/>
  <c r="D24" i="7" s="1"/>
  <c r="C78" i="7" s="1"/>
  <c r="D25" i="7" a="1"/>
  <c r="D25" i="7" s="1"/>
  <c r="C79" i="7" s="1"/>
  <c r="D26" i="7" a="1"/>
  <c r="D26" i="7" s="1"/>
  <c r="D27" i="7" a="1"/>
  <c r="D27" i="7" s="1"/>
  <c r="D28" i="7" a="1"/>
  <c r="D28" i="7" s="1"/>
  <c r="C82" i="7" s="1"/>
  <c r="D29" i="7" a="1"/>
  <c r="D29" i="7" s="1"/>
  <c r="C83" i="7" s="1"/>
  <c r="D30" i="7" a="1"/>
  <c r="D30" i="7" s="1"/>
  <c r="C84" i="7" s="1"/>
  <c r="D31" i="7" a="1"/>
  <c r="D31" i="7" s="1"/>
  <c r="C85" i="7" s="1"/>
  <c r="D32" i="7" a="1"/>
  <c r="D32" i="7" s="1"/>
  <c r="C86" i="7" s="1"/>
  <c r="D33" i="7" a="1"/>
  <c r="D33" i="7" s="1"/>
  <c r="C87" i="7" s="1"/>
  <c r="D34" i="7" a="1"/>
  <c r="D34" i="7" s="1"/>
  <c r="D35" i="7" a="1"/>
  <c r="D35" i="7" s="1"/>
  <c r="C89" i="7" s="1"/>
  <c r="D36" i="7" a="1"/>
  <c r="D36" i="7" s="1"/>
  <c r="C90" i="7" s="1"/>
  <c r="D37" i="7" a="1"/>
  <c r="D37" i="7" s="1"/>
  <c r="C91" i="7" s="1"/>
  <c r="D38" i="7" a="1"/>
  <c r="D38" i="7" s="1"/>
  <c r="C92" i="7" s="1"/>
  <c r="D39" i="7" a="1"/>
  <c r="D39" i="7" s="1"/>
  <c r="C93" i="7" s="1"/>
  <c r="D40" i="7" a="1"/>
  <c r="D40" i="7" s="1"/>
  <c r="C94" i="7" s="1"/>
  <c r="D41" i="7" a="1"/>
  <c r="D41" i="7" s="1"/>
  <c r="C95" i="7" s="1"/>
  <c r="D42" i="7" a="1"/>
  <c r="D42" i="7" s="1"/>
  <c r="C96" i="7" s="1"/>
  <c r="D43" i="7" a="1"/>
  <c r="D43" i="7" s="1"/>
  <c r="C97" i="7" s="1"/>
  <c r="D44" i="7" a="1"/>
  <c r="D44" i="7" s="1"/>
  <c r="C98" i="7" s="1"/>
  <c r="D45" i="7" a="1"/>
  <c r="D45" i="7" s="1"/>
  <c r="C99" i="7" s="1"/>
  <c r="D46" i="7" a="1"/>
  <c r="D46" i="7" s="1"/>
  <c r="C100" i="7" s="1"/>
  <c r="T46" i="7"/>
  <c r="E12" i="7" s="1" a="1"/>
  <c r="E12" i="7" s="1"/>
  <c r="D66" i="7" s="1"/>
  <c r="D47" i="7" a="1"/>
  <c r="D47" i="7" s="1"/>
  <c r="C101" i="7" s="1"/>
  <c r="S47" i="7"/>
  <c r="F15" i="7" s="1" a="1"/>
  <c r="F15" i="7" s="1"/>
  <c r="E69" i="7" s="1"/>
  <c r="D48" i="7" a="1"/>
  <c r="D48" i="7" s="1"/>
  <c r="C102" i="7" s="1"/>
  <c r="D49" i="7" a="1"/>
  <c r="D49" i="7" s="1"/>
  <c r="C103" i="7" s="1"/>
  <c r="D50" i="7" a="1"/>
  <c r="D50" i="7" s="1"/>
  <c r="C104" i="7" s="1"/>
  <c r="D51" i="7" a="1"/>
  <c r="D51" i="7" s="1"/>
  <c r="C105" i="7" s="1"/>
  <c r="R55" i="7"/>
  <c r="G39" i="7" s="1" a="1"/>
  <c r="G39" i="7" s="1"/>
  <c r="F93" i="7" s="1"/>
  <c r="B58" i="7"/>
  <c r="B59" i="7"/>
  <c r="C59" i="7"/>
  <c r="B60" i="7"/>
  <c r="B61" i="7"/>
  <c r="B62" i="7"/>
  <c r="B63" i="7"/>
  <c r="B64" i="7"/>
  <c r="B65" i="7"/>
  <c r="B66" i="7"/>
  <c r="B67" i="7"/>
  <c r="B68" i="7"/>
  <c r="B69" i="7"/>
  <c r="C69" i="7"/>
  <c r="B70" i="7"/>
  <c r="B71" i="7"/>
  <c r="B72" i="7"/>
  <c r="C72" i="7"/>
  <c r="B73" i="7"/>
  <c r="B74" i="7"/>
  <c r="C74" i="7"/>
  <c r="B75" i="7"/>
  <c r="B76" i="7"/>
  <c r="B77" i="7"/>
  <c r="B78" i="7"/>
  <c r="B79" i="7"/>
  <c r="B80" i="7"/>
  <c r="C80" i="7"/>
  <c r="B81" i="7"/>
  <c r="C81" i="7"/>
  <c r="B82" i="7"/>
  <c r="B83" i="7"/>
  <c r="B84" i="7"/>
  <c r="B85" i="7"/>
  <c r="B86" i="7"/>
  <c r="B87" i="7"/>
  <c r="B88" i="7"/>
  <c r="C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D4" i="6" a="1"/>
  <c r="D4" i="6" s="1"/>
  <c r="D5" i="6" a="1"/>
  <c r="D5" i="6" s="1"/>
  <c r="C59" i="6" s="1"/>
  <c r="C6" i="12" s="1"/>
  <c r="D6" i="6" a="1"/>
  <c r="D6" i="6" s="1"/>
  <c r="C60" i="6" s="1"/>
  <c r="C7" i="12" s="1"/>
  <c r="D7" i="6" a="1"/>
  <c r="D7" i="6" s="1"/>
  <c r="D8" i="6" a="1"/>
  <c r="D8" i="6" s="1"/>
  <c r="C62" i="6" s="1"/>
  <c r="C9" i="12" s="1"/>
  <c r="D9" i="6" a="1"/>
  <c r="D9" i="6" s="1"/>
  <c r="D10" i="6" a="1"/>
  <c r="D10" i="6" s="1"/>
  <c r="C64" i="6" s="1"/>
  <c r="C11" i="12" s="1"/>
  <c r="D11" i="6" a="1"/>
  <c r="D11" i="6" s="1"/>
  <c r="C65" i="6" s="1"/>
  <c r="C12" i="12" s="1"/>
  <c r="D12" i="6" a="1"/>
  <c r="D12" i="6" s="1"/>
  <c r="D13" i="6" a="1"/>
  <c r="D13" i="6" s="1"/>
  <c r="C67" i="6" s="1"/>
  <c r="C14" i="12" s="1"/>
  <c r="D14" i="6" a="1"/>
  <c r="D14" i="6" s="1"/>
  <c r="C68" i="6" s="1"/>
  <c r="C15" i="12" s="1"/>
  <c r="D15" i="6" a="1"/>
  <c r="D15" i="6" s="1"/>
  <c r="D16" i="6" a="1"/>
  <c r="D16" i="6" s="1"/>
  <c r="C70" i="6" s="1"/>
  <c r="C17" i="12" s="1"/>
  <c r="D17" i="6" a="1"/>
  <c r="D17" i="6" s="1"/>
  <c r="C71" i="6" s="1"/>
  <c r="C18" i="12" s="1"/>
  <c r="D18" i="6" a="1"/>
  <c r="D18" i="6" s="1"/>
  <c r="D19" i="6" a="1"/>
  <c r="D19" i="6" s="1"/>
  <c r="D20" i="6" a="1"/>
  <c r="D20" i="6" s="1"/>
  <c r="D21" i="6" a="1"/>
  <c r="D21" i="6" s="1"/>
  <c r="C75" i="6" s="1"/>
  <c r="C22" i="12" s="1"/>
  <c r="D22" i="6" a="1"/>
  <c r="D22" i="6" s="1"/>
  <c r="C76" i="6" s="1"/>
  <c r="C23" i="12" s="1"/>
  <c r="D23" i="6" a="1"/>
  <c r="D23" i="6" s="1"/>
  <c r="C77" i="6" s="1"/>
  <c r="C24" i="12" s="1"/>
  <c r="D24" i="6" a="1"/>
  <c r="D24" i="6" s="1"/>
  <c r="C78" i="6" s="1"/>
  <c r="C25" i="12" s="1"/>
  <c r="D25" i="6" a="1"/>
  <c r="D25" i="6" s="1"/>
  <c r="D26" i="6" a="1"/>
  <c r="D26" i="6" s="1"/>
  <c r="C80" i="6" s="1"/>
  <c r="C27" i="12" s="1"/>
  <c r="D27" i="6" a="1"/>
  <c r="D27" i="6" s="1"/>
  <c r="C81" i="6" s="1"/>
  <c r="C28" i="12" s="1"/>
  <c r="D28" i="6" a="1"/>
  <c r="D28" i="6" s="1"/>
  <c r="C82" i="6" s="1"/>
  <c r="C29" i="12" s="1"/>
  <c r="D29" i="6" a="1"/>
  <c r="D29" i="6" s="1"/>
  <c r="D30" i="6" a="1"/>
  <c r="D30" i="6" s="1"/>
  <c r="C84" i="6" s="1"/>
  <c r="C31" i="12" s="1"/>
  <c r="D31" i="6" a="1"/>
  <c r="D31" i="6" s="1"/>
  <c r="C85" i="6" s="1"/>
  <c r="C32" i="12" s="1"/>
  <c r="D32" i="6" a="1"/>
  <c r="D32" i="6" s="1"/>
  <c r="C86" i="6" s="1"/>
  <c r="C33" i="12" s="1"/>
  <c r="D33" i="6" a="1"/>
  <c r="D33" i="6" s="1"/>
  <c r="C87" i="6" s="1"/>
  <c r="C34" i="12" s="1"/>
  <c r="D34" i="6" a="1"/>
  <c r="D34" i="6" s="1"/>
  <c r="C88" i="6" s="1"/>
  <c r="C35" i="12" s="1"/>
  <c r="D35" i="6" a="1"/>
  <c r="D35" i="6" s="1"/>
  <c r="C89" i="6" s="1"/>
  <c r="C36" i="12" s="1"/>
  <c r="D36" i="6" a="1"/>
  <c r="D36" i="6" s="1"/>
  <c r="C90" i="6" s="1"/>
  <c r="C37" i="12" s="1"/>
  <c r="D37" i="6" a="1"/>
  <c r="D37" i="6" s="1"/>
  <c r="C91" i="6" s="1"/>
  <c r="C38" i="12" s="1"/>
  <c r="D38" i="6" a="1"/>
  <c r="D38" i="6" s="1"/>
  <c r="D39" i="6" a="1"/>
  <c r="D39" i="6" s="1"/>
  <c r="C93" i="6" s="1"/>
  <c r="C40" i="12" s="1"/>
  <c r="D40" i="6" a="1"/>
  <c r="D40" i="6" s="1"/>
  <c r="C94" i="6" s="1"/>
  <c r="C41" i="12" s="1"/>
  <c r="D41" i="6" a="1"/>
  <c r="D41" i="6" s="1"/>
  <c r="C95" i="6" s="1"/>
  <c r="C42" i="12" s="1"/>
  <c r="D42" i="6" a="1"/>
  <c r="D42" i="6" s="1"/>
  <c r="D43" i="6" a="1"/>
  <c r="D43" i="6" s="1"/>
  <c r="C97" i="6" s="1"/>
  <c r="C44" i="12" s="1"/>
  <c r="D44" i="6" a="1"/>
  <c r="D44" i="6" s="1"/>
  <c r="C98" i="6" s="1"/>
  <c r="C45" i="12" s="1"/>
  <c r="R44" i="6"/>
  <c r="G6" i="6" s="1" a="1"/>
  <c r="G6" i="6" s="1"/>
  <c r="F60" i="6" s="1"/>
  <c r="F7" i="12" s="1"/>
  <c r="AB44" i="6"/>
  <c r="M6" i="6" s="1" a="1"/>
  <c r="M6" i="6" s="1"/>
  <c r="D45" i="6" a="1"/>
  <c r="D45" i="6" s="1"/>
  <c r="C99" i="6" s="1"/>
  <c r="C46" i="12" s="1"/>
  <c r="U45" i="6"/>
  <c r="H9" i="6" s="1" a="1"/>
  <c r="H9" i="6" s="1"/>
  <c r="G63" i="6" s="1"/>
  <c r="G10" i="12" s="1"/>
  <c r="D46" i="6" a="1"/>
  <c r="D46" i="6" s="1"/>
  <c r="T46" i="6"/>
  <c r="E12" i="6" s="1" a="1"/>
  <c r="E12" i="6" s="1"/>
  <c r="D66" i="6" s="1"/>
  <c r="D13" i="12" s="1"/>
  <c r="D47" i="6" a="1"/>
  <c r="D47" i="6" s="1"/>
  <c r="C101" i="6" s="1"/>
  <c r="C48" i="12" s="1"/>
  <c r="S47" i="6"/>
  <c r="F15" i="6" s="1" a="1"/>
  <c r="F15" i="6" s="1"/>
  <c r="E69" i="6" s="1"/>
  <c r="E16" i="12" s="1"/>
  <c r="D48" i="6" a="1"/>
  <c r="D48" i="6" s="1"/>
  <c r="C102" i="6" s="1"/>
  <c r="C49" i="12" s="1"/>
  <c r="D49" i="6" a="1"/>
  <c r="D49" i="6" s="1"/>
  <c r="C103" i="6" s="1"/>
  <c r="C50" i="12" s="1"/>
  <c r="R49" i="6"/>
  <c r="G21" i="6" s="1" a="1"/>
  <c r="G21" i="6" s="1"/>
  <c r="D50" i="6" a="1"/>
  <c r="D50" i="6" s="1"/>
  <c r="C104" i="6" s="1"/>
  <c r="C51" i="12" s="1"/>
  <c r="U50" i="6"/>
  <c r="H24" i="6" s="1" a="1"/>
  <c r="H24" i="6" s="1"/>
  <c r="G78" i="6" s="1"/>
  <c r="G25" i="12" s="1"/>
  <c r="D51" i="6" a="1"/>
  <c r="D51" i="6" s="1"/>
  <c r="C105" i="6" s="1"/>
  <c r="C52" i="12" s="1"/>
  <c r="S51" i="6"/>
  <c r="F27" i="6" s="1" a="1"/>
  <c r="F27" i="6" s="1"/>
  <c r="E81" i="6" s="1"/>
  <c r="E28" i="12" s="1"/>
  <c r="S52" i="6"/>
  <c r="F30" i="6" s="1" a="1"/>
  <c r="F30" i="6" s="1"/>
  <c r="E84" i="6" s="1"/>
  <c r="E31" i="12" s="1"/>
  <c r="AA52" i="6"/>
  <c r="L30" i="6" s="1" a="1"/>
  <c r="L30" i="6" s="1"/>
  <c r="U53" i="6"/>
  <c r="H33" i="6" s="1" a="1"/>
  <c r="H33" i="6" s="1"/>
  <c r="G87" i="6" s="1"/>
  <c r="G34" i="12" s="1"/>
  <c r="S54" i="6"/>
  <c r="F36" i="6" s="1" a="1"/>
  <c r="F36" i="6" s="1"/>
  <c r="E90" i="6" s="1"/>
  <c r="E37" i="12" s="1"/>
  <c r="U55" i="6"/>
  <c r="H39" i="6" s="1" a="1"/>
  <c r="H39" i="6" s="1"/>
  <c r="G93" i="6" s="1"/>
  <c r="G40" i="12" s="1"/>
  <c r="X55" i="6"/>
  <c r="K39" i="6" s="1" a="1"/>
  <c r="K39" i="6" s="1"/>
  <c r="S56" i="6"/>
  <c r="F42" i="6" s="1" a="1"/>
  <c r="F42" i="6" s="1"/>
  <c r="E96" i="6" s="1"/>
  <c r="E43" i="12" s="1"/>
  <c r="U56" i="6"/>
  <c r="H42" i="6" s="1" a="1"/>
  <c r="H42" i="6" s="1"/>
  <c r="G96" i="6" s="1"/>
  <c r="G43" i="12" s="1"/>
  <c r="S57" i="6"/>
  <c r="F45" i="6" s="1" a="1"/>
  <c r="F45" i="6" s="1"/>
  <c r="E99" i="6" s="1"/>
  <c r="E46" i="12" s="1"/>
  <c r="U57" i="6"/>
  <c r="H45" i="6" s="1" a="1"/>
  <c r="H45" i="6" s="1"/>
  <c r="G99" i="6" s="1"/>
  <c r="G46" i="12" s="1"/>
  <c r="B58" i="6"/>
  <c r="C58" i="6"/>
  <c r="C5" i="12" s="1"/>
  <c r="B59" i="6"/>
  <c r="R59" i="6"/>
  <c r="G51" i="6" s="1" a="1"/>
  <c r="G51" i="6" s="1"/>
  <c r="F105" i="6" s="1"/>
  <c r="F52" i="12" s="1"/>
  <c r="AB59" i="6"/>
  <c r="M51" i="6" s="1" a="1"/>
  <c r="M51" i="6" s="1"/>
  <c r="B60" i="6"/>
  <c r="B61" i="6"/>
  <c r="C61" i="6"/>
  <c r="C8" i="12" s="1"/>
  <c r="B62" i="6"/>
  <c r="B63" i="6"/>
  <c r="C63" i="6"/>
  <c r="C10" i="12" s="1"/>
  <c r="B64" i="6"/>
  <c r="B65" i="6"/>
  <c r="B66" i="6"/>
  <c r="C66" i="6"/>
  <c r="C13" i="12" s="1"/>
  <c r="B67" i="6"/>
  <c r="B68" i="6"/>
  <c r="B69" i="6"/>
  <c r="C69" i="6"/>
  <c r="C16" i="12" s="1"/>
  <c r="B70" i="6"/>
  <c r="B71" i="6"/>
  <c r="B72" i="6"/>
  <c r="C72" i="6"/>
  <c r="C19" i="12" s="1"/>
  <c r="B73" i="6"/>
  <c r="C73" i="6"/>
  <c r="C20" i="12" s="1"/>
  <c r="B74" i="6"/>
  <c r="C74" i="6"/>
  <c r="C21" i="12" s="1"/>
  <c r="B75" i="6"/>
  <c r="F75" i="6"/>
  <c r="F22" i="12" s="1"/>
  <c r="B76" i="6"/>
  <c r="B77" i="6"/>
  <c r="B78" i="6"/>
  <c r="B79" i="6"/>
  <c r="C79" i="6"/>
  <c r="C26" i="12" s="1"/>
  <c r="B80" i="6"/>
  <c r="B81" i="6"/>
  <c r="B82" i="6"/>
  <c r="B83" i="6"/>
  <c r="C83" i="6"/>
  <c r="C30" i="12" s="1"/>
  <c r="B84" i="6"/>
  <c r="B85" i="6"/>
  <c r="B86" i="6"/>
  <c r="B87" i="6"/>
  <c r="B88" i="6"/>
  <c r="B89" i="6"/>
  <c r="B90" i="6"/>
  <c r="B91" i="6"/>
  <c r="B92" i="6"/>
  <c r="C92" i="6"/>
  <c r="C39" i="12" s="1"/>
  <c r="B93" i="6"/>
  <c r="B94" i="6"/>
  <c r="B95" i="6"/>
  <c r="B96" i="6"/>
  <c r="C96" i="6"/>
  <c r="C43" i="12" s="1"/>
  <c r="B97" i="6"/>
  <c r="B98" i="6"/>
  <c r="B99" i="6"/>
  <c r="B100" i="6"/>
  <c r="C100" i="6"/>
  <c r="C47" i="12" s="1"/>
  <c r="B101" i="6"/>
  <c r="B102" i="6"/>
  <c r="B103" i="6"/>
  <c r="B104" i="6"/>
  <c r="B105" i="6"/>
  <c r="M3" i="4" a="1"/>
  <c r="M3" i="4" s="1"/>
  <c r="R44" i="7" s="1"/>
  <c r="G6" i="7" s="1" a="1"/>
  <c r="G6" i="7" s="1"/>
  <c r="F60" i="7" s="1"/>
  <c r="N3" i="4" a="1"/>
  <c r="N3" i="4" s="1"/>
  <c r="S44" i="7" s="1"/>
  <c r="F6" i="7" s="1" a="1"/>
  <c r="F6" i="7" s="1"/>
  <c r="E60" i="7" s="1"/>
  <c r="O3" i="4" a="1"/>
  <c r="O3" i="4" s="1"/>
  <c r="T44" i="6" s="1"/>
  <c r="E6" i="6" s="1" a="1"/>
  <c r="E6" i="6" s="1"/>
  <c r="D60" i="6" s="1"/>
  <c r="D7" i="12" s="1"/>
  <c r="P3" i="4" a="1"/>
  <c r="P3" i="4" s="1"/>
  <c r="Q3" i="4"/>
  <c r="K39" i="4" s="1" a="1"/>
  <c r="K39" i="4" s="1"/>
  <c r="M4" i="4" a="1"/>
  <c r="M4" i="4" s="1"/>
  <c r="R45" i="6" s="1"/>
  <c r="G9" i="6" s="1" a="1"/>
  <c r="G9" i="6" s="1"/>
  <c r="F63" i="6" s="1"/>
  <c r="N4" i="4" a="1"/>
  <c r="N4" i="4" s="1"/>
  <c r="O4" i="4" a="1"/>
  <c r="O4" i="4" s="1"/>
  <c r="T45" i="6" s="1"/>
  <c r="E9" i="6" s="1" a="1"/>
  <c r="E9" i="6" s="1"/>
  <c r="D63" i="6" s="1"/>
  <c r="D10" i="12" s="1"/>
  <c r="P4" i="4" a="1"/>
  <c r="P4" i="4" s="1"/>
  <c r="U45" i="7" s="1"/>
  <c r="H9" i="7" s="1" a="1"/>
  <c r="H9" i="7" s="1"/>
  <c r="G63" i="7" s="1"/>
  <c r="M5" i="4" a="1"/>
  <c r="M5" i="4" s="1"/>
  <c r="R46" i="6" s="1"/>
  <c r="G12" i="6" s="1" a="1"/>
  <c r="G12" i="6" s="1"/>
  <c r="F66" i="6" s="1"/>
  <c r="N5" i="4" a="1"/>
  <c r="N5" i="4" s="1"/>
  <c r="S46" i="6" s="1"/>
  <c r="F12" i="6" s="1" a="1"/>
  <c r="F12" i="6" s="1"/>
  <c r="E66" i="6" s="1"/>
  <c r="E13" i="12" s="1"/>
  <c r="O5" i="4" a="1"/>
  <c r="O5" i="4" s="1"/>
  <c r="R5" i="4" s="1"/>
  <c r="P5" i="4" a="1"/>
  <c r="P5" i="4" s="1"/>
  <c r="U46" i="6" s="1"/>
  <c r="H12" i="6" s="1" a="1"/>
  <c r="H12" i="6" s="1"/>
  <c r="G66" i="6" s="1"/>
  <c r="G13" i="12" s="1"/>
  <c r="M6" i="4" a="1"/>
  <c r="M6" i="4" s="1"/>
  <c r="R47" i="6" s="1"/>
  <c r="G15" i="6" s="1" a="1"/>
  <c r="G15" i="6" s="1"/>
  <c r="F69" i="6" s="1"/>
  <c r="N6" i="4" a="1"/>
  <c r="N6" i="4" s="1"/>
  <c r="O6" i="4" a="1"/>
  <c r="O6" i="4"/>
  <c r="T47" i="6" s="1"/>
  <c r="E15" i="6" s="1" a="1"/>
  <c r="E15" i="6" s="1"/>
  <c r="D69" i="6" s="1"/>
  <c r="D16" i="12" s="1"/>
  <c r="P6" i="4" a="1"/>
  <c r="P6" i="4" s="1"/>
  <c r="M7" i="4" a="1"/>
  <c r="M7" i="4" s="1"/>
  <c r="N7" i="4" a="1"/>
  <c r="N7" i="4" s="1"/>
  <c r="S48" i="6" s="1"/>
  <c r="F18" i="6" s="1" a="1"/>
  <c r="F18" i="6" s="1"/>
  <c r="E72" i="6" s="1"/>
  <c r="E19" i="12" s="1"/>
  <c r="O7" i="4" a="1"/>
  <c r="O7" i="4" s="1"/>
  <c r="T48" i="6" s="1"/>
  <c r="E18" i="6" s="1" a="1"/>
  <c r="E18" i="6" s="1"/>
  <c r="D72" i="6" s="1"/>
  <c r="D19" i="12" s="1"/>
  <c r="P7" i="4" a="1"/>
  <c r="P7" i="4" s="1"/>
  <c r="U48" i="6" s="1"/>
  <c r="H18" i="6" s="1" a="1"/>
  <c r="H18" i="6" s="1"/>
  <c r="G72" i="6" s="1"/>
  <c r="G19" i="12" s="1"/>
  <c r="V7" i="4"/>
  <c r="W48" i="7" s="1"/>
  <c r="J18" i="7" s="1" a="1"/>
  <c r="J18" i="7" s="1"/>
  <c r="M8" i="4" a="1"/>
  <c r="M8" i="4" s="1"/>
  <c r="R49" i="7" s="1"/>
  <c r="G21" i="7" s="1" a="1"/>
  <c r="G21" i="7" s="1"/>
  <c r="F75" i="7" s="1"/>
  <c r="N8" i="4" a="1"/>
  <c r="N8" i="4" s="1"/>
  <c r="S49" i="6" s="1"/>
  <c r="F21" i="6" s="1" a="1"/>
  <c r="F21" i="6" s="1"/>
  <c r="E75" i="6" s="1"/>
  <c r="E22" i="12" s="1"/>
  <c r="O8" i="4" a="1"/>
  <c r="O8" i="4" s="1"/>
  <c r="T49" i="6" s="1"/>
  <c r="E21" i="6" s="1" a="1"/>
  <c r="E21" i="6" s="1"/>
  <c r="D75" i="6" s="1"/>
  <c r="D22" i="12" s="1"/>
  <c r="P8" i="4" a="1"/>
  <c r="P8" i="4"/>
  <c r="U49" i="6" s="1"/>
  <c r="H21" i="6" s="1" a="1"/>
  <c r="H21" i="6" s="1"/>
  <c r="G75" i="6" s="1"/>
  <c r="G22" i="12" s="1"/>
  <c r="M9" i="4" a="1"/>
  <c r="M9" i="4" s="1"/>
  <c r="R50" i="6" s="1"/>
  <c r="G24" i="6" s="1" a="1"/>
  <c r="G24" i="6" s="1"/>
  <c r="F78" i="6" s="1"/>
  <c r="N9" i="4" a="1"/>
  <c r="N9" i="4" s="1"/>
  <c r="O9" i="4" a="1"/>
  <c r="O9" i="4" s="1"/>
  <c r="P9" i="4" a="1"/>
  <c r="P9" i="4" s="1"/>
  <c r="S9" i="4" s="1"/>
  <c r="L73" i="4" s="1" a="1"/>
  <c r="L73" i="4" s="1"/>
  <c r="M10" i="4" a="1"/>
  <c r="M10" i="4" s="1"/>
  <c r="R51" i="6" s="1"/>
  <c r="G27" i="6" s="1" a="1"/>
  <c r="G27" i="6" s="1"/>
  <c r="F81" i="6" s="1"/>
  <c r="F28" i="12" s="1"/>
  <c r="N10" i="4" a="1"/>
  <c r="N10" i="4" s="1"/>
  <c r="U10" i="4" s="1"/>
  <c r="V51" i="7" s="1"/>
  <c r="I27" i="7" s="1" a="1"/>
  <c r="I27" i="7" s="1"/>
  <c r="O10" i="4" a="1"/>
  <c r="O10" i="4" s="1"/>
  <c r="T51" i="6" s="1"/>
  <c r="E27" i="6" s="1" a="1"/>
  <c r="E27" i="6" s="1"/>
  <c r="D81" i="6" s="1"/>
  <c r="D28" i="12" s="1"/>
  <c r="P10" i="4" a="1"/>
  <c r="P10" i="4" s="1"/>
  <c r="U51" i="6" s="1"/>
  <c r="H27" i="6" s="1" a="1"/>
  <c r="H27" i="6" s="1"/>
  <c r="G81" i="6" s="1"/>
  <c r="G28" i="12" s="1"/>
  <c r="M11" i="4" a="1"/>
  <c r="M11" i="4" s="1"/>
  <c r="R52" i="6" s="1"/>
  <c r="G30" i="6" s="1" a="1"/>
  <c r="G30" i="6" s="1"/>
  <c r="F84" i="6" s="1"/>
  <c r="F31" i="12" s="1"/>
  <c r="N11" i="4" a="1"/>
  <c r="N11" i="4" s="1"/>
  <c r="T34" i="4" s="1"/>
  <c r="O11" i="4" a="1"/>
  <c r="O11" i="4" s="1"/>
  <c r="P11" i="4" a="1"/>
  <c r="P11" i="4"/>
  <c r="U52" i="6" s="1"/>
  <c r="H30" i="6" s="1" a="1"/>
  <c r="H30" i="6" s="1"/>
  <c r="G84" i="6" s="1"/>
  <c r="G31" i="12" s="1"/>
  <c r="M12" i="4" a="1"/>
  <c r="M12" i="4" s="1"/>
  <c r="N12" i="4" a="1"/>
  <c r="N12" i="4" s="1"/>
  <c r="O12" i="4" a="1"/>
  <c r="O12" i="4" s="1"/>
  <c r="V12" i="4" s="1"/>
  <c r="W53" i="7" s="1"/>
  <c r="J33" i="7" s="1" a="1"/>
  <c r="J33" i="7" s="1"/>
  <c r="P12" i="4" a="1"/>
  <c r="P12" i="4" s="1"/>
  <c r="M13" i="4" a="1"/>
  <c r="M13" i="4" s="1"/>
  <c r="Q13" i="4" s="1"/>
  <c r="N13" i="4" a="1"/>
  <c r="N13" i="4" s="1"/>
  <c r="S54" i="7" s="1"/>
  <c r="F36" i="7" s="1" a="1"/>
  <c r="F36" i="7" s="1"/>
  <c r="E90" i="7" s="1"/>
  <c r="O13" i="4" a="1"/>
  <c r="O13" i="4" s="1"/>
  <c r="T54" i="7" s="1"/>
  <c r="E36" i="7" s="1" a="1"/>
  <c r="E36" i="7" s="1"/>
  <c r="D90" i="7" s="1"/>
  <c r="P13" i="4" a="1"/>
  <c r="P13" i="4"/>
  <c r="R13" i="4"/>
  <c r="L56" i="4" s="1" a="1"/>
  <c r="L56" i="4" s="1"/>
  <c r="M14" i="4" a="1"/>
  <c r="M14" i="4" s="1"/>
  <c r="R55" i="6" s="1"/>
  <c r="G39" i="6" s="1" a="1"/>
  <c r="G39" i="6" s="1"/>
  <c r="F93" i="6" s="1"/>
  <c r="N14" i="4" a="1"/>
  <c r="N14" i="4" s="1"/>
  <c r="O14" i="4" a="1"/>
  <c r="O14" i="4" s="1"/>
  <c r="T55" i="7" s="1"/>
  <c r="E39" i="7" s="1" a="1"/>
  <c r="E39" i="7" s="1"/>
  <c r="D93" i="7" s="1"/>
  <c r="P14" i="4" a="1"/>
  <c r="P14" i="4" s="1"/>
  <c r="S14" i="4" s="1"/>
  <c r="N34" i="10" s="1"/>
  <c r="W14" i="4"/>
  <c r="X55" i="7" s="1"/>
  <c r="K39" i="7" s="1" a="1"/>
  <c r="K39" i="7" s="1"/>
  <c r="M15" i="4" a="1"/>
  <c r="M15" i="4"/>
  <c r="R56" i="6" s="1"/>
  <c r="G42" i="6" s="1" a="1"/>
  <c r="G42" i="6" s="1"/>
  <c r="F96" i="6" s="1"/>
  <c r="F43" i="12" s="1"/>
  <c r="N15" i="4" a="1"/>
  <c r="N15" i="4" s="1"/>
  <c r="T38" i="4" s="1"/>
  <c r="AA56" i="6" s="1"/>
  <c r="L42" i="6" s="1" a="1"/>
  <c r="L42" i="6" s="1"/>
  <c r="O15" i="4" a="1"/>
  <c r="O15" i="4" s="1"/>
  <c r="R15" i="4" s="1"/>
  <c r="M49" i="4" s="1" a="1"/>
  <c r="M49" i="4" s="1"/>
  <c r="P15" i="4" a="1"/>
  <c r="P15" i="4" s="1"/>
  <c r="U56" i="7" s="1"/>
  <c r="H42" i="7" s="1" a="1"/>
  <c r="H42" i="7" s="1"/>
  <c r="G96" i="7" s="1"/>
  <c r="M16" i="4" a="1"/>
  <c r="M16" i="4" s="1"/>
  <c r="R57" i="6" s="1"/>
  <c r="G45" i="6" s="1" a="1"/>
  <c r="G45" i="6" s="1"/>
  <c r="F99" i="6" s="1"/>
  <c r="F46" i="12" s="1"/>
  <c r="N16" i="4" a="1"/>
  <c r="N16" i="4" s="1"/>
  <c r="S57" i="7" s="1"/>
  <c r="F45" i="7" s="1" a="1"/>
  <c r="F45" i="7" s="1"/>
  <c r="E99" i="7" s="1"/>
  <c r="O16" i="4" a="1"/>
  <c r="O16" i="4" s="1"/>
  <c r="P16" i="4" a="1"/>
  <c r="P16" i="4" s="1"/>
  <c r="U57" i="7" s="1"/>
  <c r="H45" i="7" s="1" a="1"/>
  <c r="H45" i="7" s="1"/>
  <c r="G99" i="7" s="1"/>
  <c r="M17" i="4" a="1"/>
  <c r="M17" i="4" s="1"/>
  <c r="N17" i="4" a="1"/>
  <c r="N17" i="4" s="1"/>
  <c r="S58" i="7" s="1"/>
  <c r="F48" i="7" s="1" a="1"/>
  <c r="F48" i="7" s="1"/>
  <c r="E102" i="7" s="1"/>
  <c r="O17" i="4" a="1"/>
  <c r="O17" i="4" s="1"/>
  <c r="T58" i="7" s="1"/>
  <c r="E48" i="7" s="1" a="1"/>
  <c r="E48" i="7" s="1"/>
  <c r="D102" i="7" s="1"/>
  <c r="P17" i="4" a="1"/>
  <c r="P17" i="4" s="1"/>
  <c r="V17" i="4"/>
  <c r="W58" i="7" s="1"/>
  <c r="J48" i="7" s="1" a="1"/>
  <c r="J48" i="7" s="1"/>
  <c r="M18" i="4" a="1"/>
  <c r="M18" i="4" s="1"/>
  <c r="R59" i="7" s="1"/>
  <c r="G51" i="7" s="1" a="1"/>
  <c r="G51" i="7" s="1"/>
  <c r="F105" i="7" s="1"/>
  <c r="N18" i="4" a="1"/>
  <c r="N18" i="4" s="1"/>
  <c r="S59" i="6" s="1"/>
  <c r="F51" i="6" s="1" a="1"/>
  <c r="F51" i="6" s="1"/>
  <c r="E105" i="6" s="1"/>
  <c r="E52" i="12" s="1"/>
  <c r="O18" i="4" a="1"/>
  <c r="O18" i="4" s="1"/>
  <c r="T59" i="6" s="1"/>
  <c r="E51" i="6" s="1" a="1"/>
  <c r="E51" i="6" s="1"/>
  <c r="D105" i="6" s="1"/>
  <c r="D52" i="12" s="1"/>
  <c r="P18" i="4" a="1"/>
  <c r="P18" i="4"/>
  <c r="U59" i="6" s="1"/>
  <c r="H51" i="6" s="1" a="1"/>
  <c r="H51" i="6" s="1"/>
  <c r="G105" i="6" s="1"/>
  <c r="G52" i="12" s="1"/>
  <c r="R18" i="4"/>
  <c r="L53" i="4" s="1" a="1"/>
  <c r="L53" i="4" s="1"/>
  <c r="K26" i="4" a="1"/>
  <c r="K26" i="4" s="1"/>
  <c r="L26" i="4" a="1"/>
  <c r="L26" i="4"/>
  <c r="P26" i="4" a="1"/>
  <c r="P26" i="4" s="1"/>
  <c r="Q26" i="4" a="1"/>
  <c r="Q26" i="4" s="1"/>
  <c r="R26" i="4" a="1"/>
  <c r="R26" i="4" s="1"/>
  <c r="S26" i="4" a="1"/>
  <c r="S26" i="4"/>
  <c r="T26" i="4"/>
  <c r="AA44" i="6" s="1"/>
  <c r="L6" i="6" s="1" a="1"/>
  <c r="L6" i="6" s="1"/>
  <c r="U26" i="4"/>
  <c r="K27" i="4" a="1"/>
  <c r="K27" i="4" s="1"/>
  <c r="L27" i="4" a="1"/>
  <c r="L27" i="4"/>
  <c r="P27" i="4" a="1"/>
  <c r="P27" i="4" s="1"/>
  <c r="Q27" i="4" a="1"/>
  <c r="Q27" i="4" s="1"/>
  <c r="R27" i="4" a="1"/>
  <c r="R27" i="4" s="1"/>
  <c r="S27" i="4" a="1"/>
  <c r="S27" i="4"/>
  <c r="K28" i="4" a="1"/>
  <c r="K28" i="4" s="1"/>
  <c r="L28" i="4" a="1"/>
  <c r="L28" i="4"/>
  <c r="P28" i="4" a="1"/>
  <c r="P28" i="4" s="1"/>
  <c r="Q28" i="4" a="1"/>
  <c r="Q28" i="4" s="1"/>
  <c r="R28" i="4" a="1"/>
  <c r="R28" i="4" s="1"/>
  <c r="S28" i="4" a="1"/>
  <c r="S28" i="4" s="1"/>
  <c r="K29" i="4" a="1"/>
  <c r="K29" i="4" s="1"/>
  <c r="L29" i="4" a="1"/>
  <c r="L29" i="4" s="1"/>
  <c r="P29" i="4" a="1"/>
  <c r="P29" i="4" s="1"/>
  <c r="Q29" i="4" a="1"/>
  <c r="Q29" i="4" s="1"/>
  <c r="R29" i="4" a="1"/>
  <c r="R29" i="4" s="1"/>
  <c r="S29" i="4" a="1"/>
  <c r="S29" i="4" s="1"/>
  <c r="U29" i="4"/>
  <c r="AB47" i="6" s="1"/>
  <c r="M15" i="6" s="1" a="1"/>
  <c r="M15" i="6" s="1"/>
  <c r="K30" i="4" a="1"/>
  <c r="K30" i="4" s="1"/>
  <c r="L30" i="4" a="1"/>
  <c r="L30" i="4"/>
  <c r="P30" i="4" a="1"/>
  <c r="P30" i="4" s="1"/>
  <c r="Q30" i="4" a="1"/>
  <c r="Q30" i="4" s="1"/>
  <c r="R30" i="4" a="1"/>
  <c r="R30" i="4" s="1"/>
  <c r="S30" i="4" a="1"/>
  <c r="S30" i="4"/>
  <c r="U30" i="4"/>
  <c r="AB48" i="6" s="1"/>
  <c r="M18" i="6" s="1" a="1"/>
  <c r="M18" i="6" s="1"/>
  <c r="K31" i="4" a="1"/>
  <c r="K31" i="4" s="1"/>
  <c r="M31" i="4" a="1"/>
  <c r="M31" i="4" s="1"/>
  <c r="P31" i="4" a="1"/>
  <c r="P31" i="4" s="1"/>
  <c r="Q31" i="4" a="1"/>
  <c r="Q31" i="4" s="1"/>
  <c r="R31" i="4" a="1"/>
  <c r="R31" i="4" s="1"/>
  <c r="S31" i="4" a="1"/>
  <c r="S31" i="4"/>
  <c r="K32" i="4" a="1"/>
  <c r="K32" i="4" s="1"/>
  <c r="M32" i="4" a="1"/>
  <c r="M32" i="4"/>
  <c r="P32" i="4" a="1"/>
  <c r="P32" i="4" s="1"/>
  <c r="Q32" i="4" a="1"/>
  <c r="Q32" i="4" s="1"/>
  <c r="R32" i="4" a="1"/>
  <c r="R32" i="4" s="1"/>
  <c r="S32" i="4" a="1"/>
  <c r="S32" i="4" s="1"/>
  <c r="K33" i="4" a="1"/>
  <c r="K33" i="4" s="1"/>
  <c r="M33" i="4" a="1"/>
  <c r="M33" i="4" s="1"/>
  <c r="P33" i="4" a="1"/>
  <c r="P33" i="4" s="1"/>
  <c r="Q33" i="4" a="1"/>
  <c r="Q33" i="4" s="1"/>
  <c r="R33" i="4" a="1"/>
  <c r="R33" i="4" s="1"/>
  <c r="S33" i="4" a="1"/>
  <c r="S33" i="4"/>
  <c r="K34" i="4" a="1"/>
  <c r="K34" i="4" s="1"/>
  <c r="M34" i="4" a="1"/>
  <c r="M34" i="4"/>
  <c r="P34" i="4" a="1"/>
  <c r="P34" i="4" s="1"/>
  <c r="Q34" i="4" a="1"/>
  <c r="Q34" i="4" s="1"/>
  <c r="R34" i="4" a="1"/>
  <c r="R34" i="4" s="1"/>
  <c r="S34" i="4" a="1"/>
  <c r="S34" i="4" s="1"/>
  <c r="K35" i="4" a="1"/>
  <c r="K35" i="4" s="1"/>
  <c r="M35" i="4" a="1"/>
  <c r="M35" i="4" s="1"/>
  <c r="P35" i="4" a="1"/>
  <c r="P35" i="4" s="1"/>
  <c r="Q35" i="4" a="1"/>
  <c r="Q35" i="4" s="1"/>
  <c r="R35" i="4" a="1"/>
  <c r="R35" i="4" s="1"/>
  <c r="S35" i="4" a="1"/>
  <c r="S35" i="4"/>
  <c r="K36" i="4" a="1"/>
  <c r="K36" i="4" s="1"/>
  <c r="M36" i="4" a="1"/>
  <c r="M36" i="4" s="1"/>
  <c r="P36" i="4" a="1"/>
  <c r="P36" i="4" s="1"/>
  <c r="Q36" i="4" a="1"/>
  <c r="Q36" i="4" s="1"/>
  <c r="R36" i="4" a="1"/>
  <c r="R36" i="4" s="1"/>
  <c r="S36" i="4" a="1"/>
  <c r="S36" i="4"/>
  <c r="U36" i="4"/>
  <c r="AB54" i="6" s="1"/>
  <c r="M36" i="6" s="1" a="1"/>
  <c r="M36" i="6" s="1"/>
  <c r="K37" i="4" a="1"/>
  <c r="K37" i="4" s="1"/>
  <c r="M37" i="4" a="1"/>
  <c r="M37" i="4" s="1"/>
  <c r="P37" i="4" a="1"/>
  <c r="P37" i="4" s="1"/>
  <c r="Q37" i="4" a="1"/>
  <c r="Q37" i="4" s="1"/>
  <c r="R37" i="4" a="1"/>
  <c r="R37" i="4" s="1"/>
  <c r="S37" i="4" a="1"/>
  <c r="S37" i="4"/>
  <c r="K38" i="4" a="1"/>
  <c r="K38" i="4" s="1"/>
  <c r="M38" i="4" a="1"/>
  <c r="M38" i="4" s="1"/>
  <c r="P38" i="4" a="1"/>
  <c r="P38" i="4" s="1"/>
  <c r="Q38" i="4" a="1"/>
  <c r="Q38" i="4" s="1"/>
  <c r="R38" i="4" a="1"/>
  <c r="R38" i="4" s="1"/>
  <c r="S38" i="4" a="1"/>
  <c r="S38" i="4"/>
  <c r="L39" i="4" a="1"/>
  <c r="L39" i="4" s="1"/>
  <c r="M39" i="4" a="1"/>
  <c r="M39" i="4" s="1"/>
  <c r="P39" i="4" a="1"/>
  <c r="P39" i="4" s="1"/>
  <c r="Q39" i="4" a="1"/>
  <c r="Q39" i="4" s="1"/>
  <c r="R39" i="4" a="1"/>
  <c r="R39" i="4" s="1"/>
  <c r="S39" i="4" a="1"/>
  <c r="S39" i="4"/>
  <c r="L40" i="4" a="1"/>
  <c r="L40" i="4"/>
  <c r="M40" i="4" a="1"/>
  <c r="M40" i="4"/>
  <c r="P40" i="4" a="1"/>
  <c r="P40" i="4" s="1"/>
  <c r="Q40" i="4" a="1"/>
  <c r="Q40" i="4" s="1"/>
  <c r="R40" i="4" a="1"/>
  <c r="R40" i="4" s="1"/>
  <c r="S40" i="4" a="1"/>
  <c r="S40" i="4"/>
  <c r="L41" i="4" a="1"/>
  <c r="L41" i="4"/>
  <c r="M41" i="4" a="1"/>
  <c r="M41" i="4" s="1"/>
  <c r="P41" i="4" a="1"/>
  <c r="P41" i="4" s="1"/>
  <c r="Q41" i="4" a="1"/>
  <c r="Q41" i="4" s="1"/>
  <c r="R41" i="4" a="1"/>
  <c r="R41" i="4" s="1"/>
  <c r="S41" i="4" a="1"/>
  <c r="S41" i="4"/>
  <c r="T41" i="4"/>
  <c r="AA59" i="6" s="1"/>
  <c r="L51" i="6" s="1" a="1"/>
  <c r="L51" i="6" s="1"/>
  <c r="U41" i="4"/>
  <c r="K45" i="4" a="1"/>
  <c r="K45" i="4" s="1"/>
  <c r="L45" i="4" a="1"/>
  <c r="L45" i="4"/>
  <c r="K46" i="4" a="1"/>
  <c r="K46" i="4" s="1"/>
  <c r="L46" i="4" a="1"/>
  <c r="L46" i="4" s="1"/>
  <c r="K47" i="4" a="1"/>
  <c r="K47" i="4"/>
  <c r="L47" i="4" a="1"/>
  <c r="L47" i="4" s="1"/>
  <c r="K48" i="4" a="1"/>
  <c r="K48" i="4" s="1"/>
  <c r="L48" i="4" a="1"/>
  <c r="L48" i="4" s="1"/>
  <c r="K49" i="4" a="1"/>
  <c r="K49" i="4" s="1"/>
  <c r="L49" i="4" a="1"/>
  <c r="L49" i="4" s="1"/>
  <c r="K50" i="4" a="1"/>
  <c r="K50" i="4" s="1"/>
  <c r="M50" i="4" a="1"/>
  <c r="M50" i="4"/>
  <c r="K51" i="4" a="1"/>
  <c r="K51" i="4" s="1"/>
  <c r="M51" i="4" a="1"/>
  <c r="M51" i="4" s="1"/>
  <c r="K52" i="4" a="1"/>
  <c r="K52" i="4" s="1"/>
  <c r="M52" i="4" a="1"/>
  <c r="M52" i="4" s="1"/>
  <c r="K53" i="4" a="1"/>
  <c r="K53" i="4" s="1"/>
  <c r="M53" i="4" a="1"/>
  <c r="M53" i="4" s="1"/>
  <c r="K54" i="4" a="1"/>
  <c r="K54" i="4"/>
  <c r="M54" i="4" a="1"/>
  <c r="M54" i="4" s="1"/>
  <c r="K55" i="4" a="1"/>
  <c r="K55" i="4" s="1"/>
  <c r="M55" i="4" a="1"/>
  <c r="M55" i="4"/>
  <c r="K56" i="4" a="1"/>
  <c r="K56" i="4" s="1"/>
  <c r="M56" i="4" a="1"/>
  <c r="M56" i="4" s="1"/>
  <c r="K57" i="4" a="1"/>
  <c r="K57" i="4"/>
  <c r="M57" i="4" a="1"/>
  <c r="M57" i="4" s="1"/>
  <c r="L58" i="4" a="1"/>
  <c r="L58" i="4" s="1"/>
  <c r="M58" i="4" a="1"/>
  <c r="M58" i="4"/>
  <c r="L59" i="4" a="1"/>
  <c r="L59" i="4" s="1"/>
  <c r="M59" i="4" a="1"/>
  <c r="M59" i="4" s="1"/>
  <c r="L60" i="4" a="1"/>
  <c r="L60" i="4" s="1"/>
  <c r="M60" i="4" a="1"/>
  <c r="M60" i="4" s="1"/>
  <c r="K64" i="4" a="1"/>
  <c r="K64" i="4" s="1"/>
  <c r="L64" i="4" a="1"/>
  <c r="L64" i="4" s="1"/>
  <c r="K65" i="4" a="1"/>
  <c r="K65" i="4"/>
  <c r="L65" i="4" a="1"/>
  <c r="L65" i="4" s="1"/>
  <c r="K66" i="4" a="1"/>
  <c r="K66" i="4" s="1"/>
  <c r="L66" i="4" a="1"/>
  <c r="L66" i="4" s="1"/>
  <c r="K67" i="4" a="1"/>
  <c r="K67" i="4" s="1"/>
  <c r="L67" i="4" a="1"/>
  <c r="L67" i="4" s="1"/>
  <c r="K68" i="4" a="1"/>
  <c r="K68" i="4" s="1"/>
  <c r="L68" i="4" a="1"/>
  <c r="L68" i="4"/>
  <c r="K69" i="4" a="1"/>
  <c r="K69" i="4" s="1"/>
  <c r="M69" i="4" a="1"/>
  <c r="M69" i="4" s="1"/>
  <c r="K70" i="4" a="1"/>
  <c r="K70" i="4"/>
  <c r="M70" i="4" a="1"/>
  <c r="M70" i="4" s="1"/>
  <c r="K71" i="4" a="1"/>
  <c r="K71" i="4" s="1"/>
  <c r="M71" i="4" a="1"/>
  <c r="M71" i="4"/>
  <c r="K72" i="4" a="1"/>
  <c r="K72" i="4"/>
  <c r="M72" i="4" a="1"/>
  <c r="M72" i="4" s="1"/>
  <c r="K73" i="4" a="1"/>
  <c r="K73" i="4" s="1"/>
  <c r="M73" i="4" a="1"/>
  <c r="M73" i="4" s="1"/>
  <c r="K74" i="4" a="1"/>
  <c r="K74" i="4" s="1"/>
  <c r="M74" i="4" a="1"/>
  <c r="M74" i="4" s="1"/>
  <c r="K75" i="4" a="1"/>
  <c r="K75" i="4" s="1"/>
  <c r="M75" i="4" a="1"/>
  <c r="M75" i="4" s="1"/>
  <c r="K76" i="4" a="1"/>
  <c r="K76" i="4" s="1"/>
  <c r="L76" i="4" a="1"/>
  <c r="L76" i="4" s="1"/>
  <c r="M76" i="4" a="1"/>
  <c r="M76" i="4"/>
  <c r="L77" i="4" a="1"/>
  <c r="L77" i="4" s="1"/>
  <c r="M77" i="4" a="1"/>
  <c r="M77" i="4" s="1"/>
  <c r="L78" i="4" a="1"/>
  <c r="L78" i="4" s="1"/>
  <c r="M78" i="4" a="1"/>
  <c r="M78" i="4" s="1"/>
  <c r="L79" i="4" a="1"/>
  <c r="L79" i="4" s="1"/>
  <c r="M79" i="4" a="1"/>
  <c r="M79" i="4" s="1"/>
  <c r="M3" i="3" a="1"/>
  <c r="M3" i="3" s="1"/>
  <c r="N3" i="3" a="1"/>
  <c r="N3" i="3" s="1"/>
  <c r="U3" i="3" s="1"/>
  <c r="V24" i="7" s="1"/>
  <c r="I5" i="7" s="1" a="1"/>
  <c r="I5" i="7" s="1"/>
  <c r="O3" i="3" a="1"/>
  <c r="O3" i="3" s="1"/>
  <c r="P3" i="3" a="1"/>
  <c r="P3" i="3" s="1"/>
  <c r="U24" i="6" s="1"/>
  <c r="H5" i="6" s="1" a="1"/>
  <c r="H5" i="6" s="1"/>
  <c r="G59" i="6" s="1"/>
  <c r="G6" i="12" s="1"/>
  <c r="M4" i="3" a="1"/>
  <c r="M4" i="3" s="1"/>
  <c r="N4" i="3" a="1"/>
  <c r="N4" i="3" s="1"/>
  <c r="O4" i="3" a="1"/>
  <c r="O4" i="3" s="1"/>
  <c r="P4" i="3" a="1"/>
  <c r="P4" i="3"/>
  <c r="M5" i="3" a="1"/>
  <c r="M5" i="3" s="1"/>
  <c r="R26" i="7" s="1"/>
  <c r="G11" i="7" s="1" a="1"/>
  <c r="G11" i="7" s="1"/>
  <c r="F65" i="7" s="1"/>
  <c r="N5" i="3" a="1"/>
  <c r="N5" i="3" s="1"/>
  <c r="S26" i="7" s="1"/>
  <c r="F11" i="7" s="1" a="1"/>
  <c r="F11" i="7" s="1"/>
  <c r="E65" i="7" s="1"/>
  <c r="O5" i="3" a="1"/>
  <c r="O5" i="3" s="1"/>
  <c r="P5" i="3" a="1"/>
  <c r="P5" i="3" s="1"/>
  <c r="M6" i="3" a="1"/>
  <c r="M6" i="3" s="1"/>
  <c r="R27" i="7" s="1"/>
  <c r="G14" i="7" s="1" a="1"/>
  <c r="G14" i="7" s="1"/>
  <c r="F68" i="7" s="1"/>
  <c r="N6" i="3" a="1"/>
  <c r="N6" i="3" s="1"/>
  <c r="S27" i="6" s="1"/>
  <c r="F14" i="6" s="1" a="1"/>
  <c r="F14" i="6" s="1"/>
  <c r="E68" i="6" s="1"/>
  <c r="E15" i="12" s="1"/>
  <c r="O6" i="3" a="1"/>
  <c r="O6" i="3" s="1"/>
  <c r="P6" i="3" a="1"/>
  <c r="P6" i="3" s="1"/>
  <c r="M7" i="3" a="1"/>
  <c r="M7" i="3" s="1"/>
  <c r="R28" i="7" s="1"/>
  <c r="G17" i="7" s="1" a="1"/>
  <c r="G17" i="7" s="1"/>
  <c r="F71" i="7" s="1"/>
  <c r="N7" i="3" a="1"/>
  <c r="N7" i="3"/>
  <c r="O7" i="3" a="1"/>
  <c r="O7" i="3" s="1"/>
  <c r="P7" i="3" a="1"/>
  <c r="P7" i="3" s="1"/>
  <c r="M8" i="3" a="1"/>
  <c r="M8" i="3" s="1"/>
  <c r="N8" i="3" a="1"/>
  <c r="N8" i="3" s="1"/>
  <c r="S29" i="7" s="1"/>
  <c r="F20" i="7" s="1" a="1"/>
  <c r="F20" i="7" s="1"/>
  <c r="E74" i="7" s="1"/>
  <c r="O8" i="3" a="1"/>
  <c r="O8" i="3" s="1"/>
  <c r="P8" i="3" a="1"/>
  <c r="P8" i="3" s="1"/>
  <c r="U29" i="7" s="1"/>
  <c r="H20" i="7" s="1" a="1"/>
  <c r="H20" i="7" s="1"/>
  <c r="G74" i="7" s="1"/>
  <c r="M9" i="3" a="1"/>
  <c r="M9" i="3" s="1"/>
  <c r="R30" i="6" s="1"/>
  <c r="G23" i="6" s="1" a="1"/>
  <c r="G23" i="6" s="1"/>
  <c r="F77" i="6" s="1"/>
  <c r="F24" i="12" s="1"/>
  <c r="N9" i="3" a="1"/>
  <c r="N9" i="3" s="1"/>
  <c r="O9" i="3" a="1"/>
  <c r="O9" i="3"/>
  <c r="P9" i="3" a="1"/>
  <c r="P9" i="3" s="1"/>
  <c r="M10" i="3" a="1"/>
  <c r="M10" i="3" s="1"/>
  <c r="N10" i="3" a="1"/>
  <c r="N10" i="3" s="1"/>
  <c r="O10" i="3" a="1"/>
  <c r="O10" i="3" s="1"/>
  <c r="T31" i="7" s="1"/>
  <c r="E26" i="7" s="1" a="1"/>
  <c r="E26" i="7" s="1"/>
  <c r="D80" i="7" s="1"/>
  <c r="P10" i="3" a="1"/>
  <c r="P10" i="3" s="1"/>
  <c r="M11" i="3" a="1"/>
  <c r="M11" i="3" s="1"/>
  <c r="R32" i="6" s="1"/>
  <c r="G29" i="6" s="1" a="1"/>
  <c r="G29" i="6" s="1"/>
  <c r="F83" i="6" s="1"/>
  <c r="N11" i="3" a="1"/>
  <c r="N11" i="3" s="1"/>
  <c r="O11" i="3" a="1"/>
  <c r="O11" i="3" s="1"/>
  <c r="U34" i="3" s="1"/>
  <c r="AB32" i="6" s="1"/>
  <c r="M29" i="6" s="1" a="1"/>
  <c r="M29" i="6" s="1"/>
  <c r="P11" i="3" a="1"/>
  <c r="P11" i="3" s="1"/>
  <c r="M12" i="3" a="1"/>
  <c r="M12" i="3" s="1"/>
  <c r="N12" i="3" a="1"/>
  <c r="N12" i="3"/>
  <c r="S33" i="7" s="1"/>
  <c r="F32" i="7" s="1" a="1"/>
  <c r="F32" i="7" s="1"/>
  <c r="E86" i="7" s="1"/>
  <c r="O12" i="3" a="1"/>
  <c r="O12" i="3" s="1"/>
  <c r="P12" i="3" a="1"/>
  <c r="P12" i="3" s="1"/>
  <c r="U33" i="7" s="1"/>
  <c r="H32" i="7" s="1" a="1"/>
  <c r="H32" i="7" s="1"/>
  <c r="G86" i="7" s="1"/>
  <c r="M13" i="3" a="1"/>
  <c r="M13" i="3" s="1"/>
  <c r="N13" i="3" a="1"/>
  <c r="N13" i="3" s="1"/>
  <c r="O13" i="3" a="1"/>
  <c r="O13" i="3" s="1"/>
  <c r="P13" i="3" a="1"/>
  <c r="P13" i="3" s="1"/>
  <c r="U34" i="7" s="1"/>
  <c r="H35" i="7" s="1" a="1"/>
  <c r="H35" i="7" s="1"/>
  <c r="G89" i="7" s="1"/>
  <c r="M14" i="3" a="1"/>
  <c r="M14" i="3" s="1"/>
  <c r="R35" i="7" s="1"/>
  <c r="G38" i="7" s="1" a="1"/>
  <c r="G38" i="7" s="1"/>
  <c r="F92" i="7" s="1"/>
  <c r="N14" i="3" a="1"/>
  <c r="N14" i="3" s="1"/>
  <c r="S35" i="7" s="1"/>
  <c r="F38" i="7" s="1" a="1"/>
  <c r="F38" i="7" s="1"/>
  <c r="E92" i="7" s="1"/>
  <c r="O14" i="3" a="1"/>
  <c r="O14" i="3" s="1"/>
  <c r="P14" i="3" a="1"/>
  <c r="P14" i="3"/>
  <c r="U35" i="6" s="1"/>
  <c r="H38" i="6" s="1" a="1"/>
  <c r="H38" i="6" s="1"/>
  <c r="G92" i="6" s="1"/>
  <c r="G39" i="12" s="1"/>
  <c r="M15" i="3" a="1"/>
  <c r="M15" i="3"/>
  <c r="N15" i="3" a="1"/>
  <c r="N15" i="3" s="1"/>
  <c r="O15" i="3" a="1"/>
  <c r="O15" i="3" s="1"/>
  <c r="R15" i="3" s="1"/>
  <c r="W36" i="6" s="1"/>
  <c r="J41" i="6" s="1" a="1"/>
  <c r="J41" i="6" s="1"/>
  <c r="P15" i="3" a="1"/>
  <c r="P15" i="3" s="1"/>
  <c r="U36" i="7" s="1"/>
  <c r="H41" i="7" s="1" a="1"/>
  <c r="H41" i="7" s="1"/>
  <c r="G95" i="7" s="1"/>
  <c r="V15" i="3"/>
  <c r="W36" i="7" s="1"/>
  <c r="J41" i="7" s="1" a="1"/>
  <c r="J41" i="7" s="1"/>
  <c r="M16" i="3" a="1"/>
  <c r="M16" i="3" s="1"/>
  <c r="N16" i="3" a="1"/>
  <c r="N16" i="3" s="1"/>
  <c r="S37" i="7" s="1"/>
  <c r="F44" i="7" s="1" a="1"/>
  <c r="F44" i="7" s="1"/>
  <c r="E98" i="7" s="1"/>
  <c r="O16" i="3" a="1"/>
  <c r="O16" i="3" s="1"/>
  <c r="P16" i="3" a="1"/>
  <c r="P16" i="3" s="1"/>
  <c r="M17" i="3" a="1"/>
  <c r="M17" i="3" s="1"/>
  <c r="N17" i="3" a="1"/>
  <c r="N17" i="3" s="1"/>
  <c r="O17" i="3" a="1"/>
  <c r="O17" i="3" s="1"/>
  <c r="P17" i="3" a="1"/>
  <c r="P17" i="3" s="1"/>
  <c r="M18" i="3" a="1"/>
  <c r="M18" i="3" s="1"/>
  <c r="N18" i="3" a="1"/>
  <c r="N18" i="3" s="1"/>
  <c r="O18" i="3" a="1"/>
  <c r="O18" i="3" s="1"/>
  <c r="P18" i="3" a="1"/>
  <c r="P18" i="3" s="1"/>
  <c r="U39" i="7" s="1"/>
  <c r="H50" i="7" s="1" a="1"/>
  <c r="H50" i="7" s="1"/>
  <c r="G104" i="7" s="1"/>
  <c r="R18" i="3"/>
  <c r="K26" i="3" a="1"/>
  <c r="K26" i="3" s="1"/>
  <c r="L26" i="3" a="1"/>
  <c r="L26" i="3" s="1"/>
  <c r="P26" i="3" a="1"/>
  <c r="P26" i="3" s="1"/>
  <c r="Q26" i="3" a="1"/>
  <c r="Q26" i="3" s="1"/>
  <c r="X26" i="3" s="1"/>
  <c r="AA24" i="7" s="1"/>
  <c r="L5" i="7" s="1" a="1"/>
  <c r="L5" i="7" s="1"/>
  <c r="R26" i="3" a="1"/>
  <c r="R26" i="3" s="1"/>
  <c r="S26" i="3" a="1"/>
  <c r="S26" i="3" s="1"/>
  <c r="K27" i="3" a="1"/>
  <c r="K27" i="3" s="1"/>
  <c r="L27" i="3" a="1"/>
  <c r="L27" i="3" s="1"/>
  <c r="P27" i="3" a="1"/>
  <c r="P27" i="3" s="1"/>
  <c r="Q27" i="3" a="1"/>
  <c r="Q27" i="3" s="1"/>
  <c r="R27" i="3" a="1"/>
  <c r="R27" i="3" s="1"/>
  <c r="S27" i="3" a="1"/>
  <c r="S27" i="3" s="1"/>
  <c r="K28" i="3" a="1"/>
  <c r="K28" i="3" s="1"/>
  <c r="L28" i="3" a="1"/>
  <c r="L28" i="3" s="1"/>
  <c r="P28" i="3" a="1"/>
  <c r="P28" i="3" s="1"/>
  <c r="Q28" i="3" a="1"/>
  <c r="Q28" i="3" s="1"/>
  <c r="R28" i="3" a="1"/>
  <c r="R28" i="3" s="1"/>
  <c r="S28" i="3" a="1"/>
  <c r="S28" i="3" s="1"/>
  <c r="K29" i="3" a="1"/>
  <c r="K29" i="3" s="1"/>
  <c r="L29" i="3" a="1"/>
  <c r="L29" i="3" s="1"/>
  <c r="P29" i="3" a="1"/>
  <c r="P29" i="3" s="1"/>
  <c r="Q29" i="3" a="1"/>
  <c r="Q29" i="3" s="1"/>
  <c r="R29" i="3" a="1"/>
  <c r="R29" i="3" s="1"/>
  <c r="S29" i="3" a="1"/>
  <c r="S29" i="3" s="1"/>
  <c r="K30" i="3" a="1"/>
  <c r="K30" i="3" s="1"/>
  <c r="L30" i="3" a="1"/>
  <c r="L30" i="3" s="1"/>
  <c r="P30" i="3" a="1"/>
  <c r="P30" i="3" s="1"/>
  <c r="Q30" i="3" a="1"/>
  <c r="Q30" i="3" s="1"/>
  <c r="R30" i="3" a="1"/>
  <c r="R30" i="3" s="1"/>
  <c r="S30" i="3" a="1"/>
  <c r="S30" i="3" s="1"/>
  <c r="X30" i="3" s="1"/>
  <c r="AA28" i="7" s="1"/>
  <c r="L17" i="7" s="1" a="1"/>
  <c r="L17" i="7" s="1"/>
  <c r="K31" i="3" a="1"/>
  <c r="K31" i="3" s="1"/>
  <c r="M31" i="3" a="1"/>
  <c r="M31" i="3" s="1"/>
  <c r="P31" i="3" a="1"/>
  <c r="P31" i="3" s="1"/>
  <c r="Q31" i="3" a="1"/>
  <c r="Q31" i="3" s="1"/>
  <c r="R31" i="3" a="1"/>
  <c r="R31" i="3" s="1"/>
  <c r="S31" i="3" a="1"/>
  <c r="S31" i="3" s="1"/>
  <c r="K32" i="3" a="1"/>
  <c r="K32" i="3" s="1"/>
  <c r="M32" i="3" a="1"/>
  <c r="M32" i="3" s="1"/>
  <c r="P32" i="3" a="1"/>
  <c r="P32" i="3" s="1"/>
  <c r="Q32" i="3" a="1"/>
  <c r="Q32" i="3" s="1"/>
  <c r="R32" i="3" a="1"/>
  <c r="R32" i="3" s="1"/>
  <c r="S32" i="3" a="1"/>
  <c r="S32" i="3" s="1"/>
  <c r="K33" i="3" a="1"/>
  <c r="K33" i="3" s="1"/>
  <c r="M33" i="3" a="1"/>
  <c r="M33" i="3" s="1"/>
  <c r="P33" i="3" a="1"/>
  <c r="P33" i="3" s="1"/>
  <c r="Q33" i="3" a="1"/>
  <c r="Q33" i="3" s="1"/>
  <c r="R33" i="3" a="1"/>
  <c r="R33" i="3" s="1"/>
  <c r="S33" i="3" a="1"/>
  <c r="S33" i="3" s="1"/>
  <c r="K34" i="3" a="1"/>
  <c r="K34" i="3" s="1"/>
  <c r="M34" i="3" a="1"/>
  <c r="M34" i="3" s="1"/>
  <c r="P34" i="3" a="1"/>
  <c r="P34" i="3" s="1"/>
  <c r="Q34" i="3" a="1"/>
  <c r="Q34" i="3" s="1"/>
  <c r="R34" i="3" a="1"/>
  <c r="R34" i="3" s="1"/>
  <c r="S34" i="3" a="1"/>
  <c r="S34" i="3" s="1"/>
  <c r="Y34" i="3"/>
  <c r="AB32" i="7" s="1"/>
  <c r="M29" i="7" s="1" a="1"/>
  <c r="M29" i="7" s="1"/>
  <c r="K35" i="3" a="1"/>
  <c r="K35" i="3" s="1"/>
  <c r="M35" i="3" a="1"/>
  <c r="M35" i="3" s="1"/>
  <c r="P35" i="3" a="1"/>
  <c r="P35" i="3" s="1"/>
  <c r="Q35" i="3" a="1"/>
  <c r="Q35" i="3" s="1"/>
  <c r="R35" i="3" a="1"/>
  <c r="R35" i="3" s="1"/>
  <c r="S35" i="3" a="1"/>
  <c r="S35" i="3" s="1"/>
  <c r="U35" i="3"/>
  <c r="AB33" i="6" s="1"/>
  <c r="M32" i="6" s="1" a="1"/>
  <c r="M32" i="6" s="1"/>
  <c r="K36" i="3" a="1"/>
  <c r="K36" i="3" s="1"/>
  <c r="M36" i="3" a="1"/>
  <c r="M36" i="3" s="1"/>
  <c r="P36" i="3" a="1"/>
  <c r="P36" i="3" s="1"/>
  <c r="Q36" i="3" a="1"/>
  <c r="Q36" i="3" s="1"/>
  <c r="X36" i="3" s="1"/>
  <c r="AA34" i="7" s="1"/>
  <c r="L35" i="7" s="1" a="1"/>
  <c r="L35" i="7" s="1"/>
  <c r="R36" i="3" a="1"/>
  <c r="R36" i="3" s="1"/>
  <c r="S36" i="3" a="1"/>
  <c r="S36" i="3" s="1"/>
  <c r="K37" i="3" a="1"/>
  <c r="K37" i="3" s="1"/>
  <c r="M37" i="3" a="1"/>
  <c r="M37" i="3" s="1"/>
  <c r="P37" i="3" a="1"/>
  <c r="P37" i="3" s="1"/>
  <c r="Q37" i="3" a="1"/>
  <c r="Q37" i="3" s="1"/>
  <c r="R37" i="3" a="1"/>
  <c r="R37" i="3" s="1"/>
  <c r="S37" i="3" a="1"/>
  <c r="S37" i="3" s="1"/>
  <c r="X37" i="3" s="1"/>
  <c r="AA35" i="7" s="1"/>
  <c r="L38" i="7" s="1" a="1"/>
  <c r="L38" i="7" s="1"/>
  <c r="U37" i="3"/>
  <c r="AB35" i="6" s="1"/>
  <c r="M38" i="6" s="1" a="1"/>
  <c r="M38" i="6" s="1"/>
  <c r="K38" i="3" a="1"/>
  <c r="K38" i="3" s="1"/>
  <c r="M38" i="3" a="1"/>
  <c r="M38" i="3" s="1"/>
  <c r="P38" i="3" a="1"/>
  <c r="P38" i="3" s="1"/>
  <c r="Q38" i="3" a="1"/>
  <c r="Q38" i="3" s="1"/>
  <c r="R38" i="3" a="1"/>
  <c r="R38" i="3" s="1"/>
  <c r="S38" i="3" a="1"/>
  <c r="S38" i="3" s="1"/>
  <c r="Y38" i="3"/>
  <c r="AB36" i="7" s="1"/>
  <c r="M41" i="7" s="1" a="1"/>
  <c r="M41" i="7" s="1"/>
  <c r="L39" i="3" a="1"/>
  <c r="L39" i="3" s="1"/>
  <c r="M39" i="3" a="1"/>
  <c r="M39" i="3"/>
  <c r="P39" i="3" a="1"/>
  <c r="P39" i="3" s="1"/>
  <c r="Q39" i="3" a="1"/>
  <c r="Q39" i="3" s="1"/>
  <c r="R39" i="3" a="1"/>
  <c r="R39" i="3" s="1"/>
  <c r="S39" i="3" a="1"/>
  <c r="S39" i="3" s="1"/>
  <c r="L40" i="3" a="1"/>
  <c r="L40" i="3" s="1"/>
  <c r="M40" i="3" a="1"/>
  <c r="M40" i="3" s="1"/>
  <c r="P40" i="3" a="1"/>
  <c r="P40" i="3" s="1"/>
  <c r="Q40" i="3" a="1"/>
  <c r="Q40" i="3" s="1"/>
  <c r="R40" i="3" a="1"/>
  <c r="R40" i="3" s="1"/>
  <c r="S40" i="3" a="1"/>
  <c r="S40" i="3" s="1"/>
  <c r="L41" i="3" a="1"/>
  <c r="L41" i="3" s="1"/>
  <c r="M41" i="3" a="1"/>
  <c r="M41" i="3" s="1"/>
  <c r="P41" i="3" a="1"/>
  <c r="P41" i="3"/>
  <c r="Q41" i="3" a="1"/>
  <c r="Q41" i="3" s="1"/>
  <c r="R41" i="3" a="1"/>
  <c r="R41" i="3" s="1"/>
  <c r="S41" i="3" a="1"/>
  <c r="S41" i="3" s="1"/>
  <c r="U41" i="3"/>
  <c r="AB39" i="6" s="1"/>
  <c r="M50" i="6" s="1" a="1"/>
  <c r="M50" i="6" s="1"/>
  <c r="K45" i="3" a="1"/>
  <c r="K45" i="3" s="1"/>
  <c r="L45" i="3" a="1"/>
  <c r="L45" i="3" s="1"/>
  <c r="K46" i="3" a="1"/>
  <c r="K46" i="3" s="1"/>
  <c r="L46" i="3" a="1"/>
  <c r="L46" i="3" s="1"/>
  <c r="K47" i="3" a="1"/>
  <c r="K47" i="3" s="1"/>
  <c r="L47" i="3" a="1"/>
  <c r="L47" i="3" s="1"/>
  <c r="K48" i="3" a="1"/>
  <c r="K48" i="3" s="1"/>
  <c r="L48" i="3" a="1"/>
  <c r="L48" i="3" s="1"/>
  <c r="K49" i="3" a="1"/>
  <c r="K49" i="3" s="1"/>
  <c r="L49" i="3" a="1"/>
  <c r="L49" i="3" s="1"/>
  <c r="M49" i="3" a="1"/>
  <c r="M49" i="3" s="1"/>
  <c r="K50" i="3" a="1"/>
  <c r="K50" i="3" s="1"/>
  <c r="M50" i="3" a="1"/>
  <c r="M50" i="3" s="1"/>
  <c r="K51" i="3" a="1"/>
  <c r="K51" i="3" s="1"/>
  <c r="M51" i="3" a="1"/>
  <c r="M51" i="3" s="1"/>
  <c r="K52" i="3" a="1"/>
  <c r="K52" i="3" s="1"/>
  <c r="M52" i="3" a="1"/>
  <c r="M52" i="3" s="1"/>
  <c r="K53" i="3" a="1"/>
  <c r="K53" i="3" s="1"/>
  <c r="M53" i="3" a="1"/>
  <c r="M53" i="3" s="1"/>
  <c r="K54" i="3" a="1"/>
  <c r="K54" i="3"/>
  <c r="M54" i="3" a="1"/>
  <c r="M54" i="3" s="1"/>
  <c r="K55" i="3" a="1"/>
  <c r="K55" i="3" s="1"/>
  <c r="M55" i="3" a="1"/>
  <c r="M55" i="3" s="1"/>
  <c r="K56" i="3" a="1"/>
  <c r="K56" i="3" s="1"/>
  <c r="M56" i="3" a="1"/>
  <c r="M56" i="3" s="1"/>
  <c r="K57" i="3" a="1"/>
  <c r="K57" i="3" s="1"/>
  <c r="M57" i="3" a="1"/>
  <c r="M57" i="3"/>
  <c r="L58" i="3" a="1"/>
  <c r="L58" i="3" s="1"/>
  <c r="M58" i="3" a="1"/>
  <c r="M58" i="3" s="1"/>
  <c r="L59" i="3" a="1"/>
  <c r="L59" i="3" s="1"/>
  <c r="M59" i="3" a="1"/>
  <c r="M59" i="3" s="1"/>
  <c r="L60" i="3" a="1"/>
  <c r="L60" i="3" s="1"/>
  <c r="M60" i="3" a="1"/>
  <c r="M60" i="3" s="1"/>
  <c r="K64" i="3" a="1"/>
  <c r="K64" i="3" s="1"/>
  <c r="L64" i="3" a="1"/>
  <c r="L64" i="3" s="1"/>
  <c r="K65" i="3" a="1"/>
  <c r="K65" i="3" s="1"/>
  <c r="L65" i="3" a="1"/>
  <c r="L65" i="3" s="1"/>
  <c r="K66" i="3" a="1"/>
  <c r="K66" i="3" s="1"/>
  <c r="L66" i="3" a="1"/>
  <c r="L66" i="3" s="1"/>
  <c r="K67" i="3" a="1"/>
  <c r="K67" i="3" s="1"/>
  <c r="L67" i="3" a="1"/>
  <c r="L67" i="3"/>
  <c r="K68" i="3" a="1"/>
  <c r="K68" i="3" s="1"/>
  <c r="L68" i="3" a="1"/>
  <c r="L68" i="3" s="1"/>
  <c r="K69" i="3" a="1"/>
  <c r="K69" i="3" s="1"/>
  <c r="M69" i="3" a="1"/>
  <c r="M69" i="3" s="1"/>
  <c r="K70" i="3" a="1"/>
  <c r="K70" i="3" s="1"/>
  <c r="M70" i="3" a="1"/>
  <c r="M70" i="3" s="1"/>
  <c r="K71" i="3" a="1"/>
  <c r="K71" i="3" s="1"/>
  <c r="M71" i="3" a="1"/>
  <c r="M71" i="3" s="1"/>
  <c r="K72" i="3" a="1"/>
  <c r="K72" i="3"/>
  <c r="M72" i="3" a="1"/>
  <c r="M72" i="3" s="1"/>
  <c r="K73" i="3" a="1"/>
  <c r="K73" i="3" s="1"/>
  <c r="M73" i="3" a="1"/>
  <c r="M73" i="3" s="1"/>
  <c r="K74" i="3" a="1"/>
  <c r="K74" i="3" s="1"/>
  <c r="M74" i="3" a="1"/>
  <c r="M74" i="3" s="1"/>
  <c r="K75" i="3" a="1"/>
  <c r="K75" i="3" s="1"/>
  <c r="M75" i="3" a="1"/>
  <c r="M75" i="3" s="1"/>
  <c r="K76" i="3" a="1"/>
  <c r="K76" i="3" s="1"/>
  <c r="M76" i="3" a="1"/>
  <c r="M76" i="3" s="1"/>
  <c r="L77" i="3" a="1"/>
  <c r="L77" i="3"/>
  <c r="M77" i="3" a="1"/>
  <c r="M77" i="3" s="1"/>
  <c r="L78" i="3" a="1"/>
  <c r="L78" i="3" s="1"/>
  <c r="M78" i="3" a="1"/>
  <c r="M78" i="3"/>
  <c r="L79" i="3" a="1"/>
  <c r="L79" i="3" s="1"/>
  <c r="M79" i="3" a="1"/>
  <c r="M79" i="3" s="1"/>
  <c r="M3" i="2" a="1"/>
  <c r="M3" i="2" s="1"/>
  <c r="N3" i="2" a="1"/>
  <c r="N3" i="2" s="1"/>
  <c r="O3" i="2" a="1"/>
  <c r="O3" i="2" s="1"/>
  <c r="P3" i="2" a="1"/>
  <c r="P3" i="2" s="1"/>
  <c r="M4" i="2" a="1"/>
  <c r="M4" i="2" s="1"/>
  <c r="N4" i="2" a="1"/>
  <c r="N4" i="2" s="1"/>
  <c r="O4" i="2" a="1"/>
  <c r="O4" i="2" s="1"/>
  <c r="T5" i="7" s="1"/>
  <c r="E7" i="7" s="1" a="1"/>
  <c r="E7" i="7" s="1"/>
  <c r="D61" i="7" s="1"/>
  <c r="P4" i="2" a="1"/>
  <c r="P4" i="2" s="1"/>
  <c r="M5" i="2" a="1"/>
  <c r="M5" i="2" s="1"/>
  <c r="R6" i="7" s="1"/>
  <c r="G10" i="7" s="1" a="1"/>
  <c r="G10" i="7" s="1"/>
  <c r="F64" i="7" s="1"/>
  <c r="N5" i="2" a="1"/>
  <c r="N5" i="2" s="1"/>
  <c r="S6" i="7" s="1"/>
  <c r="F10" i="7" s="1" a="1"/>
  <c r="F10" i="7" s="1"/>
  <c r="E64" i="7" s="1"/>
  <c r="O5" i="2" a="1"/>
  <c r="O5" i="2" s="1"/>
  <c r="P5" i="2" a="1"/>
  <c r="P5" i="2" s="1"/>
  <c r="M6" i="2" a="1"/>
  <c r="M6" i="2" s="1"/>
  <c r="N6" i="2" a="1"/>
  <c r="N6" i="2" s="1"/>
  <c r="O6" i="2" a="1"/>
  <c r="O6" i="2" s="1"/>
  <c r="P6" i="2" a="1"/>
  <c r="P6" i="2" s="1"/>
  <c r="M7" i="2" a="1"/>
  <c r="M7" i="2" s="1"/>
  <c r="N7" i="2" a="1"/>
  <c r="N7" i="2" s="1"/>
  <c r="O7" i="2" a="1"/>
  <c r="O7" i="2" s="1"/>
  <c r="T8" i="6" s="1"/>
  <c r="E16" i="6" s="1" a="1"/>
  <c r="E16" i="6" s="1"/>
  <c r="D70" i="6" s="1"/>
  <c r="D17" i="12" s="1"/>
  <c r="P7" i="2" a="1"/>
  <c r="P7" i="2" s="1"/>
  <c r="M8" i="2" a="1"/>
  <c r="M8" i="2" s="1"/>
  <c r="N8" i="2" a="1"/>
  <c r="N8" i="2" s="1"/>
  <c r="O8" i="2" a="1"/>
  <c r="O8" i="2" s="1"/>
  <c r="T9" i="6" s="1"/>
  <c r="E19" i="6" s="1" a="1"/>
  <c r="E19" i="6" s="1"/>
  <c r="D73" i="6" s="1"/>
  <c r="D20" i="12" s="1"/>
  <c r="P8" i="2" a="1"/>
  <c r="P8" i="2" s="1"/>
  <c r="M9" i="2" a="1"/>
  <c r="M9" i="2" s="1"/>
  <c r="N9" i="2" a="1"/>
  <c r="N9" i="2" s="1"/>
  <c r="O9" i="2" a="1"/>
  <c r="O9" i="2" s="1"/>
  <c r="T10" i="7" s="1"/>
  <c r="E22" i="7" s="1" a="1"/>
  <c r="E22" i="7" s="1"/>
  <c r="D76" i="7" s="1"/>
  <c r="P9" i="2" a="1"/>
  <c r="P9" i="2" s="1"/>
  <c r="U10" i="7" s="1"/>
  <c r="H22" i="7" s="1" a="1"/>
  <c r="H22" i="7" s="1"/>
  <c r="G76" i="7" s="1"/>
  <c r="M10" i="2" a="1"/>
  <c r="M10" i="2" s="1"/>
  <c r="N10" i="2" a="1"/>
  <c r="N10" i="2" s="1"/>
  <c r="O10" i="2" a="1"/>
  <c r="O10" i="2" s="1"/>
  <c r="T11" i="6" s="1"/>
  <c r="E25" i="6" s="1" a="1"/>
  <c r="E25" i="6" s="1"/>
  <c r="D79" i="6" s="1"/>
  <c r="D26" i="12" s="1"/>
  <c r="P10" i="2" a="1"/>
  <c r="P10" i="2" s="1"/>
  <c r="M11" i="2" a="1"/>
  <c r="M11" i="2" s="1"/>
  <c r="R12" i="6" s="1"/>
  <c r="G28" i="6" s="1" a="1"/>
  <c r="G28" i="6" s="1"/>
  <c r="F82" i="6" s="1"/>
  <c r="N11" i="2" a="1"/>
  <c r="N11" i="2" s="1"/>
  <c r="O11" i="2" a="1"/>
  <c r="O11" i="2" s="1"/>
  <c r="P11" i="2" a="1"/>
  <c r="P11" i="2" s="1"/>
  <c r="M12" i="2" a="1"/>
  <c r="M12" i="2" s="1"/>
  <c r="N12" i="2" a="1"/>
  <c r="N12" i="2" s="1"/>
  <c r="S13" i="6" s="1"/>
  <c r="F31" i="6" s="1" a="1"/>
  <c r="F31" i="6" s="1"/>
  <c r="E85" i="6" s="1"/>
  <c r="E32" i="12" s="1"/>
  <c r="O12" i="2" a="1"/>
  <c r="O12" i="2" s="1"/>
  <c r="P12" i="2" a="1"/>
  <c r="P12" i="2" s="1"/>
  <c r="M13" i="2" a="1"/>
  <c r="M13" i="2" s="1"/>
  <c r="R14" i="7" s="1"/>
  <c r="G34" i="7" s="1" a="1"/>
  <c r="G34" i="7" s="1"/>
  <c r="F88" i="7" s="1"/>
  <c r="N13" i="2" a="1"/>
  <c r="N13" i="2" s="1"/>
  <c r="S14" i="7" s="1"/>
  <c r="F34" i="7" s="1" a="1"/>
  <c r="F34" i="7" s="1"/>
  <c r="E88" i="7" s="1"/>
  <c r="O13" i="2" a="1"/>
  <c r="O13" i="2" s="1"/>
  <c r="P13" i="2" a="1"/>
  <c r="P13" i="2" s="1"/>
  <c r="M14" i="2" a="1"/>
  <c r="M14" i="2" s="1"/>
  <c r="R15" i="7" s="1"/>
  <c r="G37" i="7" s="1" a="1"/>
  <c r="G37" i="7" s="1"/>
  <c r="F91" i="7" s="1"/>
  <c r="N14" i="2" a="1"/>
  <c r="N14" i="2" s="1"/>
  <c r="O14" i="2" a="1"/>
  <c r="O14" i="2" s="1"/>
  <c r="P14" i="2" a="1"/>
  <c r="P14" i="2" s="1"/>
  <c r="U15" i="6" s="1"/>
  <c r="H37" i="6" s="1" a="1"/>
  <c r="H37" i="6" s="1"/>
  <c r="G91" i="6" s="1"/>
  <c r="G38" i="12" s="1"/>
  <c r="M15" i="2" a="1"/>
  <c r="M15" i="2" s="1"/>
  <c r="N15" i="2" a="1"/>
  <c r="N15" i="2" s="1"/>
  <c r="O15" i="2" a="1"/>
  <c r="O15" i="2" s="1"/>
  <c r="P15" i="2" a="1"/>
  <c r="P15" i="2" s="1"/>
  <c r="U16" i="6" s="1"/>
  <c r="H40" i="6" s="1" a="1"/>
  <c r="H40" i="6" s="1"/>
  <c r="G94" i="6" s="1"/>
  <c r="G41" i="12" s="1"/>
  <c r="M16" i="2" a="1"/>
  <c r="M16" i="2" s="1"/>
  <c r="N16" i="2" a="1"/>
  <c r="N16" i="2" s="1"/>
  <c r="O16" i="2" a="1"/>
  <c r="O16" i="2" s="1"/>
  <c r="T17" i="7" s="1"/>
  <c r="E43" i="7" s="1" a="1"/>
  <c r="E43" i="7" s="1"/>
  <c r="D97" i="7" s="1"/>
  <c r="P16" i="2" a="1"/>
  <c r="P16" i="2" s="1"/>
  <c r="U17" i="7" s="1"/>
  <c r="H43" i="7" s="1" a="1"/>
  <c r="H43" i="7" s="1"/>
  <c r="G97" i="7" s="1"/>
  <c r="M17" i="2" a="1"/>
  <c r="M17" i="2" s="1"/>
  <c r="N17" i="2" a="1"/>
  <c r="N17" i="2" s="1"/>
  <c r="S18" i="7" s="1"/>
  <c r="F46" i="7" s="1" a="1"/>
  <c r="F46" i="7" s="1"/>
  <c r="E100" i="7" s="1"/>
  <c r="O17" i="2" a="1"/>
  <c r="O17" i="2" s="1"/>
  <c r="T18" i="7" s="1"/>
  <c r="E46" i="7" s="1" a="1"/>
  <c r="E46" i="7" s="1"/>
  <c r="D100" i="7" s="1"/>
  <c r="P17" i="2" a="1"/>
  <c r="P17" i="2" s="1"/>
  <c r="M18" i="2" a="1"/>
  <c r="M18" i="2" s="1"/>
  <c r="R19" i="7" s="1"/>
  <c r="G49" i="7" s="1" a="1"/>
  <c r="G49" i="7" s="1"/>
  <c r="F103" i="7" s="1"/>
  <c r="N18" i="2" a="1"/>
  <c r="N18" i="2" s="1"/>
  <c r="S19" i="6" s="1"/>
  <c r="F49" i="6" s="1" a="1"/>
  <c r="F49" i="6" s="1"/>
  <c r="E103" i="6" s="1"/>
  <c r="E50" i="12" s="1"/>
  <c r="O18" i="2" a="1"/>
  <c r="O18" i="2" s="1"/>
  <c r="P18" i="2" a="1"/>
  <c r="P18" i="2" s="1"/>
  <c r="K26" i="2" a="1"/>
  <c r="K26" i="2" s="1"/>
  <c r="L26" i="2" a="1"/>
  <c r="L26" i="2" s="1"/>
  <c r="P26" i="2" a="1"/>
  <c r="P26" i="2" s="1"/>
  <c r="Q26" i="2" a="1"/>
  <c r="Q26" i="2" s="1"/>
  <c r="R26" i="2" a="1"/>
  <c r="R26" i="2" s="1"/>
  <c r="S26" i="2" a="1"/>
  <c r="S26" i="2" s="1"/>
  <c r="K27" i="2" a="1"/>
  <c r="K27" i="2" s="1"/>
  <c r="L27" i="2" a="1"/>
  <c r="L27" i="2" s="1"/>
  <c r="P27" i="2" a="1"/>
  <c r="P27" i="2" s="1"/>
  <c r="Q27" i="2" a="1"/>
  <c r="Q27" i="2" s="1"/>
  <c r="R27" i="2" a="1"/>
  <c r="R27" i="2" s="1"/>
  <c r="S27" i="2" a="1"/>
  <c r="S27" i="2" s="1"/>
  <c r="K28" i="2" a="1"/>
  <c r="K28" i="2" s="1"/>
  <c r="L28" i="2" a="1"/>
  <c r="L28" i="2" s="1"/>
  <c r="P28" i="2" a="1"/>
  <c r="P28" i="2" s="1"/>
  <c r="Q28" i="2" a="1"/>
  <c r="Q28" i="2" s="1"/>
  <c r="R28" i="2" a="1"/>
  <c r="R28" i="2" s="1"/>
  <c r="S28" i="2" a="1"/>
  <c r="S28" i="2" s="1"/>
  <c r="K29" i="2" a="1"/>
  <c r="K29" i="2" s="1"/>
  <c r="L29" i="2" a="1"/>
  <c r="L29" i="2" s="1"/>
  <c r="P29" i="2" a="1"/>
  <c r="P29" i="2" s="1"/>
  <c r="Q29" i="2" a="1"/>
  <c r="Q29" i="2" s="1"/>
  <c r="R29" i="2" a="1"/>
  <c r="R29" i="2" s="1"/>
  <c r="S29" i="2" a="1"/>
  <c r="S29" i="2" s="1"/>
  <c r="K30" i="2" a="1"/>
  <c r="K30" i="2" s="1"/>
  <c r="L30" i="2" a="1"/>
  <c r="L30" i="2" s="1"/>
  <c r="P30" i="2" a="1"/>
  <c r="P30" i="2" s="1"/>
  <c r="Q30" i="2" a="1"/>
  <c r="Q30" i="2" s="1"/>
  <c r="R30" i="2" a="1"/>
  <c r="R30" i="2" s="1"/>
  <c r="S30" i="2" a="1"/>
  <c r="S30" i="2" s="1"/>
  <c r="K31" i="2" a="1"/>
  <c r="K31" i="2" s="1"/>
  <c r="M31" i="2" a="1"/>
  <c r="M31" i="2" s="1"/>
  <c r="P31" i="2" a="1"/>
  <c r="P31" i="2" s="1"/>
  <c r="Q31" i="2" a="1"/>
  <c r="Q31" i="2" s="1"/>
  <c r="R31" i="2" a="1"/>
  <c r="R31" i="2" s="1"/>
  <c r="S31" i="2" a="1"/>
  <c r="S31" i="2" s="1"/>
  <c r="K32" i="2" a="1"/>
  <c r="K32" i="2" s="1"/>
  <c r="M32" i="2" a="1"/>
  <c r="M32" i="2" s="1"/>
  <c r="P32" i="2" a="1"/>
  <c r="P32" i="2" s="1"/>
  <c r="Q32" i="2" a="1"/>
  <c r="Q32" i="2" s="1"/>
  <c r="R32" i="2" a="1"/>
  <c r="R32" i="2" s="1"/>
  <c r="S32" i="2" a="1"/>
  <c r="S32" i="2" s="1"/>
  <c r="K33" i="2" a="1"/>
  <c r="K33" i="2" s="1"/>
  <c r="M33" i="2" a="1"/>
  <c r="M33" i="2" s="1"/>
  <c r="P33" i="2" a="1"/>
  <c r="P33" i="2" s="1"/>
  <c r="Q33" i="2" a="1"/>
  <c r="Q33" i="2" s="1"/>
  <c r="R33" i="2" a="1"/>
  <c r="R33" i="2" s="1"/>
  <c r="S33" i="2" a="1"/>
  <c r="S33" i="2" s="1"/>
  <c r="K34" i="2" a="1"/>
  <c r="K34" i="2" s="1"/>
  <c r="M34" i="2" a="1"/>
  <c r="M34" i="2" s="1"/>
  <c r="P34" i="2" a="1"/>
  <c r="P34" i="2" s="1"/>
  <c r="Q34" i="2" a="1"/>
  <c r="Q34" i="2" s="1"/>
  <c r="R34" i="2" a="1"/>
  <c r="R34" i="2" s="1"/>
  <c r="S34" i="2" a="1"/>
  <c r="S34" i="2" s="1"/>
  <c r="K35" i="2" a="1"/>
  <c r="K35" i="2" s="1"/>
  <c r="M35" i="2" a="1"/>
  <c r="M35" i="2" s="1"/>
  <c r="P35" i="2" a="1"/>
  <c r="P35" i="2" s="1"/>
  <c r="Q35" i="2" a="1"/>
  <c r="Q35" i="2" s="1"/>
  <c r="R35" i="2" a="1"/>
  <c r="R35" i="2" s="1"/>
  <c r="S35" i="2" a="1"/>
  <c r="S35" i="2" s="1"/>
  <c r="K36" i="2" a="1"/>
  <c r="K36" i="2" s="1"/>
  <c r="M36" i="2" a="1"/>
  <c r="M36" i="2" s="1"/>
  <c r="P36" i="2" a="1"/>
  <c r="P36" i="2" s="1"/>
  <c r="Q36" i="2" a="1"/>
  <c r="Q36" i="2" s="1"/>
  <c r="R36" i="2" a="1"/>
  <c r="R36" i="2" s="1"/>
  <c r="S36" i="2" a="1"/>
  <c r="S36" i="2" s="1"/>
  <c r="K37" i="2" a="1"/>
  <c r="K37" i="2" s="1"/>
  <c r="M37" i="2" a="1"/>
  <c r="M37" i="2" s="1"/>
  <c r="P37" i="2" a="1"/>
  <c r="P37" i="2" s="1"/>
  <c r="Q37" i="2" a="1"/>
  <c r="Q37" i="2" s="1"/>
  <c r="R37" i="2" a="1"/>
  <c r="R37" i="2" s="1"/>
  <c r="S37" i="2" a="1"/>
  <c r="S37" i="2" s="1"/>
  <c r="K38" i="2" a="1"/>
  <c r="K38" i="2" s="1"/>
  <c r="M38" i="2" a="1"/>
  <c r="M38" i="2" s="1"/>
  <c r="P38" i="2" a="1"/>
  <c r="P38" i="2" s="1"/>
  <c r="Q38" i="2" a="1"/>
  <c r="Q38" i="2" s="1"/>
  <c r="R38" i="2" a="1"/>
  <c r="R38" i="2" s="1"/>
  <c r="S38" i="2" a="1"/>
  <c r="S38" i="2" s="1"/>
  <c r="L39" i="2" a="1"/>
  <c r="L39" i="2" s="1"/>
  <c r="M39" i="2" a="1"/>
  <c r="M39" i="2" s="1"/>
  <c r="P39" i="2" a="1"/>
  <c r="P39" i="2" s="1"/>
  <c r="Q39" i="2" a="1"/>
  <c r="Q39" i="2" s="1"/>
  <c r="R39" i="2" a="1"/>
  <c r="R39" i="2" s="1"/>
  <c r="S39" i="2" a="1"/>
  <c r="S39" i="2" s="1"/>
  <c r="L40" i="2" a="1"/>
  <c r="L40" i="2" s="1"/>
  <c r="M40" i="2" a="1"/>
  <c r="M40" i="2" s="1"/>
  <c r="P40" i="2" a="1"/>
  <c r="P40" i="2" s="1"/>
  <c r="Q40" i="2" a="1"/>
  <c r="Q40" i="2" s="1"/>
  <c r="R40" i="2" a="1"/>
  <c r="R40" i="2" s="1"/>
  <c r="S40" i="2" a="1"/>
  <c r="S40" i="2" s="1"/>
  <c r="L41" i="2" a="1"/>
  <c r="L41" i="2" s="1"/>
  <c r="M41" i="2" a="1"/>
  <c r="M41" i="2" s="1"/>
  <c r="P41" i="2" a="1"/>
  <c r="P41" i="2" s="1"/>
  <c r="Q41" i="2" a="1"/>
  <c r="Q41" i="2" s="1"/>
  <c r="R41" i="2" a="1"/>
  <c r="R41" i="2" s="1"/>
  <c r="S41" i="2" a="1"/>
  <c r="S41" i="2" s="1"/>
  <c r="K45" i="2" a="1"/>
  <c r="K45" i="2" s="1"/>
  <c r="L45" i="2" a="1"/>
  <c r="L45" i="2" s="1"/>
  <c r="K46" i="2" a="1"/>
  <c r="K46" i="2" s="1"/>
  <c r="L46" i="2" a="1"/>
  <c r="L46" i="2" s="1"/>
  <c r="K47" i="2" a="1"/>
  <c r="K47" i="2" s="1"/>
  <c r="L47" i="2" a="1"/>
  <c r="L47" i="2" s="1"/>
  <c r="K48" i="2" a="1"/>
  <c r="K48" i="2" s="1"/>
  <c r="L48" i="2" a="1"/>
  <c r="L48" i="2" s="1"/>
  <c r="K49" i="2" a="1"/>
  <c r="K49" i="2" s="1"/>
  <c r="L49" i="2" a="1"/>
  <c r="L49" i="2" s="1"/>
  <c r="K50" i="2" a="1"/>
  <c r="K50" i="2" s="1"/>
  <c r="M50" i="2" a="1"/>
  <c r="M50" i="2" s="1"/>
  <c r="K51" i="2" a="1"/>
  <c r="K51" i="2" s="1"/>
  <c r="M51" i="2" a="1"/>
  <c r="M51" i="2" s="1"/>
  <c r="K52" i="2" a="1"/>
  <c r="K52" i="2" s="1"/>
  <c r="M52" i="2" a="1"/>
  <c r="M52" i="2" s="1"/>
  <c r="K53" i="2" a="1"/>
  <c r="K53" i="2" s="1"/>
  <c r="M53" i="2" a="1"/>
  <c r="M53" i="2" s="1"/>
  <c r="K54" i="2" a="1"/>
  <c r="K54" i="2" s="1"/>
  <c r="M54" i="2" a="1"/>
  <c r="M54" i="2" s="1"/>
  <c r="K55" i="2" a="1"/>
  <c r="K55" i="2" s="1"/>
  <c r="M55" i="2" a="1"/>
  <c r="M55" i="2" s="1"/>
  <c r="K56" i="2" a="1"/>
  <c r="K56" i="2" s="1"/>
  <c r="M56" i="2" a="1"/>
  <c r="M56" i="2" s="1"/>
  <c r="K57" i="2" a="1"/>
  <c r="K57" i="2" s="1"/>
  <c r="M57" i="2" a="1"/>
  <c r="M57" i="2" s="1"/>
  <c r="L58" i="2" a="1"/>
  <c r="L58" i="2" s="1"/>
  <c r="M58" i="2" a="1"/>
  <c r="M58" i="2" s="1"/>
  <c r="L59" i="2" a="1"/>
  <c r="L59" i="2" s="1"/>
  <c r="M59" i="2" a="1"/>
  <c r="M59" i="2" s="1"/>
  <c r="L60" i="2" a="1"/>
  <c r="L60" i="2" s="1"/>
  <c r="M60" i="2" a="1"/>
  <c r="M60" i="2" s="1"/>
  <c r="K64" i="2" a="1"/>
  <c r="K64" i="2" s="1"/>
  <c r="L64" i="2" a="1"/>
  <c r="L64" i="2" s="1"/>
  <c r="K65" i="2" a="1"/>
  <c r="K65" i="2" s="1"/>
  <c r="L65" i="2" a="1"/>
  <c r="L65" i="2" s="1"/>
  <c r="K66" i="2" a="1"/>
  <c r="K66" i="2" s="1"/>
  <c r="L66" i="2" a="1"/>
  <c r="L66" i="2" s="1"/>
  <c r="K67" i="2" a="1"/>
  <c r="K67" i="2" s="1"/>
  <c r="L67" i="2" a="1"/>
  <c r="L67" i="2" s="1"/>
  <c r="K68" i="2" a="1"/>
  <c r="K68" i="2" s="1"/>
  <c r="L68" i="2" a="1"/>
  <c r="L68" i="2" s="1"/>
  <c r="K69" i="2" a="1"/>
  <c r="K69" i="2" s="1"/>
  <c r="M69" i="2" a="1"/>
  <c r="M69" i="2" s="1"/>
  <c r="K70" i="2" a="1"/>
  <c r="K70" i="2" s="1"/>
  <c r="M70" i="2" a="1"/>
  <c r="M70" i="2" s="1"/>
  <c r="K71" i="2" a="1"/>
  <c r="K71" i="2" s="1"/>
  <c r="M71" i="2" a="1"/>
  <c r="M71" i="2" s="1"/>
  <c r="K72" i="2" a="1"/>
  <c r="K72" i="2" s="1"/>
  <c r="M72" i="2" a="1"/>
  <c r="M72" i="2" s="1"/>
  <c r="K73" i="2" a="1"/>
  <c r="K73" i="2" s="1"/>
  <c r="M73" i="2" a="1"/>
  <c r="M73" i="2" s="1"/>
  <c r="K74" i="2" a="1"/>
  <c r="K74" i="2" s="1"/>
  <c r="M74" i="2" a="1"/>
  <c r="M74" i="2" s="1"/>
  <c r="K75" i="2" a="1"/>
  <c r="K75" i="2" s="1"/>
  <c r="M75" i="2" a="1"/>
  <c r="M75" i="2" s="1"/>
  <c r="K76" i="2" a="1"/>
  <c r="K76" i="2" s="1"/>
  <c r="M76" i="2" a="1"/>
  <c r="M76" i="2" s="1"/>
  <c r="L77" i="2" a="1"/>
  <c r="L77" i="2" s="1"/>
  <c r="M77" i="2" a="1"/>
  <c r="M77" i="2" s="1"/>
  <c r="L78" i="2" a="1"/>
  <c r="L78" i="2" s="1"/>
  <c r="M78" i="2" a="1"/>
  <c r="M78" i="2" s="1"/>
  <c r="L79" i="2" a="1"/>
  <c r="L79" i="2" s="1"/>
  <c r="M79" i="2" a="1"/>
  <c r="M79" i="2" s="1"/>
  <c r="S38" i="7" l="1"/>
  <c r="F47" i="7" s="1" a="1"/>
  <c r="F47" i="7" s="1"/>
  <c r="E101" i="7" s="1"/>
  <c r="S38" i="6"/>
  <c r="F47" i="6" s="1" a="1"/>
  <c r="F47" i="6" s="1"/>
  <c r="E101" i="6" s="1"/>
  <c r="E48" i="12" s="1"/>
  <c r="V3" i="3"/>
  <c r="W24" i="7" s="1"/>
  <c r="J5" i="7" s="1" a="1"/>
  <c r="J5" i="7" s="1"/>
  <c r="R35" i="6"/>
  <c r="G38" i="6" s="1" a="1"/>
  <c r="G38" i="6" s="1"/>
  <c r="F92" i="6" s="1"/>
  <c r="X35" i="3"/>
  <c r="AA33" i="7" s="1"/>
  <c r="L32" i="7" s="1" a="1"/>
  <c r="L32" i="7" s="1"/>
  <c r="U13" i="3"/>
  <c r="V34" i="7" s="1"/>
  <c r="I35" i="7" s="1" a="1"/>
  <c r="I35" i="7" s="1"/>
  <c r="T31" i="6"/>
  <c r="E26" i="6" s="1" a="1"/>
  <c r="E26" i="6" s="1"/>
  <c r="D80" i="6" s="1"/>
  <c r="D27" i="12" s="1"/>
  <c r="Y33" i="3"/>
  <c r="AB31" i="7" s="1"/>
  <c r="M26" i="7" s="1" a="1"/>
  <c r="M26" i="7" s="1"/>
  <c r="T40" i="3"/>
  <c r="AA38" i="6" s="1"/>
  <c r="L47" i="6" s="1" a="1"/>
  <c r="L47" i="6" s="1"/>
  <c r="U38" i="3"/>
  <c r="AB36" i="6" s="1"/>
  <c r="M41" i="6" s="1" a="1"/>
  <c r="M41" i="6" s="1"/>
  <c r="T36" i="6"/>
  <c r="E41" i="6" s="1" a="1"/>
  <c r="E41" i="6" s="1"/>
  <c r="D95" i="6" s="1"/>
  <c r="D42" i="12" s="1"/>
  <c r="L37" i="4" a="1"/>
  <c r="L37" i="4" s="1"/>
  <c r="V54" i="6"/>
  <c r="I36" i="6" s="1" a="1"/>
  <c r="I36" i="6" s="1"/>
  <c r="L33" i="10"/>
  <c r="T57" i="7"/>
  <c r="E45" i="7" s="1" a="1"/>
  <c r="E45" i="7" s="1"/>
  <c r="D99" i="7" s="1"/>
  <c r="T57" i="6"/>
  <c r="E45" i="6" s="1" a="1"/>
  <c r="E45" i="6" s="1"/>
  <c r="D99" i="6" s="1"/>
  <c r="D46" i="12" s="1"/>
  <c r="U44" i="6"/>
  <c r="H6" i="6" s="1" a="1"/>
  <c r="H6" i="6" s="1"/>
  <c r="G60" i="6" s="1"/>
  <c r="G7" i="12" s="1"/>
  <c r="U44" i="7"/>
  <c r="H6" i="7" s="1" a="1"/>
  <c r="H6" i="7" s="1"/>
  <c r="G60" i="7" s="1"/>
  <c r="V35" i="4"/>
  <c r="AC53" i="6" s="1"/>
  <c r="N33" i="6" s="1" a="1"/>
  <c r="N33" i="6" s="1"/>
  <c r="R53" i="6"/>
  <c r="G33" i="6" s="1" a="1"/>
  <c r="G33" i="6" s="1"/>
  <c r="F87" i="6" s="1"/>
  <c r="F34" i="12" s="1"/>
  <c r="R53" i="7"/>
  <c r="G33" i="7" s="1" a="1"/>
  <c r="G33" i="7" s="1"/>
  <c r="F87" i="7" s="1"/>
  <c r="L50" i="4" a="1"/>
  <c r="L50" i="4" s="1"/>
  <c r="M25" i="10"/>
  <c r="W46" i="6"/>
  <c r="J12" i="6" s="1" a="1"/>
  <c r="J12" i="6" s="1"/>
  <c r="T35" i="4"/>
  <c r="AA53" i="6" s="1"/>
  <c r="L33" i="6" s="1" a="1"/>
  <c r="L33" i="6" s="1"/>
  <c r="S53" i="6"/>
  <c r="F33" i="6" s="1" a="1"/>
  <c r="F33" i="6" s="1"/>
  <c r="E87" i="6" s="1"/>
  <c r="E34" i="12" s="1"/>
  <c r="S53" i="7"/>
  <c r="F33" i="7" s="1" a="1"/>
  <c r="F33" i="7" s="1"/>
  <c r="E87" i="7" s="1"/>
  <c r="T50" i="6"/>
  <c r="E24" i="6" s="1" a="1"/>
  <c r="E24" i="6" s="1"/>
  <c r="D78" i="6" s="1"/>
  <c r="D25" i="12" s="1"/>
  <c r="T50" i="7"/>
  <c r="E24" i="7" s="1" a="1"/>
  <c r="E24" i="7" s="1"/>
  <c r="D78" i="7" s="1"/>
  <c r="T32" i="4"/>
  <c r="AA50" i="6" s="1"/>
  <c r="L24" i="6" s="1" a="1"/>
  <c r="L24" i="6" s="1"/>
  <c r="S50" i="6"/>
  <c r="F24" i="6" s="1" a="1"/>
  <c r="F24" i="6" s="1"/>
  <c r="E78" i="6" s="1"/>
  <c r="E25" i="12" s="1"/>
  <c r="S50" i="7"/>
  <c r="F24" i="7" s="1" a="1"/>
  <c r="F24" i="7" s="1"/>
  <c r="E78" i="7" s="1"/>
  <c r="S55" i="6"/>
  <c r="F39" i="6" s="1" a="1"/>
  <c r="F39" i="6" s="1"/>
  <c r="E93" i="6" s="1"/>
  <c r="E40" i="12" s="1"/>
  <c r="S55" i="7"/>
  <c r="F39" i="7" s="1" a="1"/>
  <c r="F39" i="7" s="1"/>
  <c r="E93" i="7" s="1"/>
  <c r="T37" i="4"/>
  <c r="AA55" i="6" s="1"/>
  <c r="L39" i="6" s="1" a="1"/>
  <c r="L39" i="6" s="1"/>
  <c r="T52" i="7"/>
  <c r="E30" i="7" s="1" a="1"/>
  <c r="E30" i="7" s="1"/>
  <c r="D84" i="7" s="1"/>
  <c r="U34" i="4"/>
  <c r="AB52" i="6" s="1"/>
  <c r="M30" i="6" s="1" a="1"/>
  <c r="M30" i="6" s="1"/>
  <c r="T52" i="6"/>
  <c r="E30" i="6" s="1" a="1"/>
  <c r="E30" i="6" s="1"/>
  <c r="D84" i="6" s="1"/>
  <c r="D31" i="12" s="1"/>
  <c r="Z30" i="4"/>
  <c r="AC48" i="7" s="1"/>
  <c r="N18" i="7" s="1" a="1"/>
  <c r="N18" i="7" s="1"/>
  <c r="R48" i="7"/>
  <c r="G18" i="7" s="1" a="1"/>
  <c r="G18" i="7" s="1"/>
  <c r="F72" i="7" s="1"/>
  <c r="R48" i="6"/>
  <c r="G18" i="6" s="1" a="1"/>
  <c r="G18" i="6" s="1"/>
  <c r="F72" i="6" s="1"/>
  <c r="F19" i="12" s="1"/>
  <c r="U47" i="7"/>
  <c r="H15" i="7" s="1" a="1"/>
  <c r="H15" i="7" s="1"/>
  <c r="G69" i="7" s="1"/>
  <c r="U47" i="6"/>
  <c r="H15" i="6" s="1" a="1"/>
  <c r="H15" i="6" s="1"/>
  <c r="G69" i="6" s="1"/>
  <c r="G16" i="12" s="1"/>
  <c r="S45" i="6"/>
  <c r="F9" i="6" s="1" a="1"/>
  <c r="F9" i="6" s="1"/>
  <c r="E63" i="6" s="1"/>
  <c r="E10" i="12" s="1"/>
  <c r="S45" i="7"/>
  <c r="F9" i="7" s="1" a="1"/>
  <c r="F9" i="7" s="1"/>
  <c r="E63" i="7" s="1"/>
  <c r="V40" i="4"/>
  <c r="AC58" i="6" s="1"/>
  <c r="N48" i="6" s="1" a="1"/>
  <c r="N48" i="6" s="1"/>
  <c r="R58" i="7"/>
  <c r="G48" i="7" s="1" a="1"/>
  <c r="G48" i="7" s="1"/>
  <c r="F102" i="7" s="1"/>
  <c r="R58" i="6"/>
  <c r="G48" i="6" s="1" a="1"/>
  <c r="G48" i="6" s="1"/>
  <c r="F102" i="6" s="1"/>
  <c r="F49" i="12" s="1"/>
  <c r="T36" i="4"/>
  <c r="AA54" i="6" s="1"/>
  <c r="L36" i="6" s="1" a="1"/>
  <c r="L36" i="6" s="1"/>
  <c r="S12" i="4"/>
  <c r="R3" i="4"/>
  <c r="T56" i="6"/>
  <c r="E42" i="6" s="1" a="1"/>
  <c r="E42" i="6" s="1"/>
  <c r="D96" i="6" s="1"/>
  <c r="D43" i="12" s="1"/>
  <c r="T55" i="6"/>
  <c r="E39" i="6" s="1" a="1"/>
  <c r="E39" i="6" s="1"/>
  <c r="D93" i="6" s="1"/>
  <c r="D40" i="12" s="1"/>
  <c r="T54" i="6"/>
  <c r="E36" i="6" s="1" a="1"/>
  <c r="E36" i="6" s="1"/>
  <c r="D90" i="6" s="1"/>
  <c r="D37" i="12" s="1"/>
  <c r="T53" i="6"/>
  <c r="E33" i="6" s="1" a="1"/>
  <c r="E33" i="6" s="1"/>
  <c r="D87" i="6" s="1"/>
  <c r="D34" i="12" s="1"/>
  <c r="S44" i="6"/>
  <c r="F6" i="6" s="1" a="1"/>
  <c r="F6" i="6" s="1"/>
  <c r="E60" i="6" s="1"/>
  <c r="E7" i="12" s="1"/>
  <c r="S56" i="7"/>
  <c r="F42" i="7" s="1" a="1"/>
  <c r="F42" i="7" s="1"/>
  <c r="E96" i="7" s="1"/>
  <c r="S52" i="7"/>
  <c r="F30" i="7" s="1" a="1"/>
  <c r="F30" i="7" s="1"/>
  <c r="E84" i="7" s="1"/>
  <c r="S51" i="7"/>
  <c r="F27" i="7" s="1" a="1"/>
  <c r="F27" i="7" s="1"/>
  <c r="E81" i="7" s="1"/>
  <c r="T47" i="7"/>
  <c r="E15" i="7" s="1" a="1"/>
  <c r="E15" i="7" s="1"/>
  <c r="D69" i="7" s="1"/>
  <c r="U46" i="7"/>
  <c r="H12" i="7" s="1" a="1"/>
  <c r="H12" i="7" s="1"/>
  <c r="G66" i="7" s="1"/>
  <c r="M35" i="10"/>
  <c r="R57" i="7"/>
  <c r="G45" i="7" s="1" a="1"/>
  <c r="G45" i="7" s="1"/>
  <c r="F99" i="7" s="1"/>
  <c r="R56" i="7"/>
  <c r="G42" i="7" s="1" a="1"/>
  <c r="G42" i="7" s="1"/>
  <c r="F96" i="7" s="1"/>
  <c r="R54" i="7"/>
  <c r="G36" i="7" s="1" a="1"/>
  <c r="G36" i="7" s="1"/>
  <c r="F90" i="7" s="1"/>
  <c r="R52" i="7"/>
  <c r="G30" i="7" s="1" a="1"/>
  <c r="G30" i="7" s="1"/>
  <c r="F84" i="7" s="1"/>
  <c r="R51" i="7"/>
  <c r="G27" i="7" s="1" a="1"/>
  <c r="G27" i="7" s="1"/>
  <c r="F81" i="7" s="1"/>
  <c r="M38" i="10"/>
  <c r="V41" i="4"/>
  <c r="AC59" i="6" s="1"/>
  <c r="N51" i="6" s="1" a="1"/>
  <c r="N51" i="6" s="1"/>
  <c r="U38" i="4"/>
  <c r="AB56" i="6" s="1"/>
  <c r="M42" i="6" s="1" a="1"/>
  <c r="M42" i="6" s="1"/>
  <c r="V31" i="4"/>
  <c r="AC49" i="6" s="1"/>
  <c r="N21" i="6" s="1" a="1"/>
  <c r="N21" i="6" s="1"/>
  <c r="S17" i="4"/>
  <c r="R54" i="6"/>
  <c r="G36" i="6" s="1" a="1"/>
  <c r="G36" i="6" s="1"/>
  <c r="F90" i="6" s="1"/>
  <c r="X50" i="6"/>
  <c r="K24" i="6" s="1" a="1"/>
  <c r="K24" i="6" s="1"/>
  <c r="U50" i="7"/>
  <c r="H24" i="7" s="1" a="1"/>
  <c r="H24" i="7" s="1"/>
  <c r="G78" i="7" s="1"/>
  <c r="R47" i="7"/>
  <c r="G15" i="7" s="1" a="1"/>
  <c r="G15" i="7" s="1"/>
  <c r="F69" i="7" s="1"/>
  <c r="S46" i="7"/>
  <c r="F12" i="7" s="1" a="1"/>
  <c r="F12" i="7" s="1"/>
  <c r="E66" i="7" s="1"/>
  <c r="T45" i="7"/>
  <c r="E9" i="7" s="1" a="1"/>
  <c r="E9" i="7" s="1"/>
  <c r="D63" i="7" s="1"/>
  <c r="U49" i="7"/>
  <c r="H21" i="7" s="1" a="1"/>
  <c r="H21" i="7" s="1"/>
  <c r="G75" i="7" s="1"/>
  <c r="R46" i="7"/>
  <c r="G12" i="7" s="1" a="1"/>
  <c r="G12" i="7" s="1"/>
  <c r="F66" i="7" s="1"/>
  <c r="V34" i="4"/>
  <c r="AC52" i="6" s="1"/>
  <c r="N30" i="6" s="1" a="1"/>
  <c r="N30" i="6" s="1"/>
  <c r="T29" i="4"/>
  <c r="AA47" i="6" s="1"/>
  <c r="L15" i="6" s="1" a="1"/>
  <c r="L15" i="6" s="1"/>
  <c r="R10" i="4"/>
  <c r="W59" i="6"/>
  <c r="J51" i="6" s="1" a="1"/>
  <c r="J51" i="6" s="1"/>
  <c r="T49" i="7"/>
  <c r="E21" i="7" s="1" a="1"/>
  <c r="E21" i="7" s="1"/>
  <c r="D75" i="7" s="1"/>
  <c r="U48" i="7"/>
  <c r="H18" i="7" s="1" a="1"/>
  <c r="H18" i="7" s="1"/>
  <c r="G72" i="7" s="1"/>
  <c r="R45" i="7"/>
  <c r="G9" i="7" s="1" a="1"/>
  <c r="G9" i="7" s="1"/>
  <c r="F63" i="7" s="1"/>
  <c r="V37" i="4"/>
  <c r="AC55" i="6" s="1"/>
  <c r="N39" i="6" s="1" a="1"/>
  <c r="N39" i="6" s="1"/>
  <c r="Q18" i="4"/>
  <c r="S13" i="4"/>
  <c r="U59" i="7"/>
  <c r="H51" i="7" s="1" a="1"/>
  <c r="H51" i="7" s="1"/>
  <c r="G105" i="7" s="1"/>
  <c r="R50" i="7"/>
  <c r="G24" i="7" s="1" a="1"/>
  <c r="G24" i="7" s="1"/>
  <c r="F78" i="7" s="1"/>
  <c r="S49" i="7"/>
  <c r="F21" i="7" s="1" a="1"/>
  <c r="F21" i="7" s="1"/>
  <c r="E75" i="7" s="1"/>
  <c r="T48" i="7"/>
  <c r="E18" i="7" s="1" a="1"/>
  <c r="E18" i="7" s="1"/>
  <c r="D72" i="7" s="1"/>
  <c r="T59" i="7"/>
  <c r="E51" i="7" s="1" a="1"/>
  <c r="E51" i="7" s="1"/>
  <c r="D105" i="7" s="1"/>
  <c r="S48" i="7"/>
  <c r="F18" i="7" s="1" a="1"/>
  <c r="F18" i="7" s="1"/>
  <c r="E72" i="7" s="1"/>
  <c r="M33" i="10"/>
  <c r="U58" i="6"/>
  <c r="H48" i="6" s="1" a="1"/>
  <c r="H48" i="6" s="1"/>
  <c r="G102" i="6" s="1"/>
  <c r="G49" i="12" s="1"/>
  <c r="W56" i="6"/>
  <c r="J42" i="6" s="1" a="1"/>
  <c r="J42" i="6" s="1"/>
  <c r="W54" i="6"/>
  <c r="J36" i="6" s="1" a="1"/>
  <c r="J36" i="6" s="1"/>
  <c r="V44" i="6"/>
  <c r="I6" i="6" s="1" a="1"/>
  <c r="I6" i="6" s="1"/>
  <c r="S59" i="7"/>
  <c r="F51" i="7" s="1" a="1"/>
  <c r="F51" i="7" s="1"/>
  <c r="E105" i="7" s="1"/>
  <c r="U58" i="7"/>
  <c r="H48" i="7" s="1" a="1"/>
  <c r="H48" i="7" s="1"/>
  <c r="G102" i="7" s="1"/>
  <c r="T44" i="7"/>
  <c r="E6" i="7" s="1" a="1"/>
  <c r="E6" i="7" s="1"/>
  <c r="D60" i="7" s="1"/>
  <c r="N29" i="10"/>
  <c r="L23" i="10"/>
  <c r="U40" i="4"/>
  <c r="AB58" i="6" s="1"/>
  <c r="M48" i="6" s="1" a="1"/>
  <c r="M48" i="6" s="1"/>
  <c r="V36" i="4"/>
  <c r="AC54" i="6" s="1"/>
  <c r="N36" i="6" s="1" a="1"/>
  <c r="N36" i="6" s="1"/>
  <c r="T58" i="6"/>
  <c r="E48" i="6" s="1" a="1"/>
  <c r="E48" i="6" s="1"/>
  <c r="D102" i="6" s="1"/>
  <c r="D49" i="12" s="1"/>
  <c r="U55" i="7"/>
  <c r="H39" i="7" s="1" a="1"/>
  <c r="H39" i="7" s="1"/>
  <c r="G93" i="7" s="1"/>
  <c r="U54" i="7"/>
  <c r="H36" i="7" s="1" a="1"/>
  <c r="H36" i="7" s="1"/>
  <c r="G90" i="7" s="1"/>
  <c r="U53" i="7"/>
  <c r="H33" i="7" s="1" a="1"/>
  <c r="H33" i="7" s="1"/>
  <c r="G87" i="7" s="1"/>
  <c r="U52" i="7"/>
  <c r="H30" i="7" s="1" a="1"/>
  <c r="H30" i="7" s="1"/>
  <c r="G84" i="7" s="1"/>
  <c r="U51" i="7"/>
  <c r="H27" i="7" s="1" a="1"/>
  <c r="H27" i="7" s="1"/>
  <c r="G81" i="7" s="1"/>
  <c r="S58" i="6"/>
  <c r="F48" i="6" s="1" a="1"/>
  <c r="F48" i="6" s="1"/>
  <c r="E102" i="6" s="1"/>
  <c r="E49" i="12" s="1"/>
  <c r="U54" i="6"/>
  <c r="H36" i="6" s="1" a="1"/>
  <c r="H36" i="6" s="1"/>
  <c r="G90" i="6" s="1"/>
  <c r="G37" i="12" s="1"/>
  <c r="T56" i="7"/>
  <c r="E42" i="7" s="1" a="1"/>
  <c r="E42" i="7" s="1"/>
  <c r="D96" i="7" s="1"/>
  <c r="T53" i="7"/>
  <c r="E33" i="7" s="1" a="1"/>
  <c r="E33" i="7" s="1"/>
  <c r="D87" i="7" s="1"/>
  <c r="T51" i="7"/>
  <c r="E27" i="7" s="1" a="1"/>
  <c r="E27" i="7" s="1"/>
  <c r="D81" i="7" s="1"/>
  <c r="T25" i="6"/>
  <c r="E8" i="6" s="1" a="1"/>
  <c r="E8" i="6" s="1"/>
  <c r="D62" i="6" s="1"/>
  <c r="D9" i="12" s="1"/>
  <c r="T25" i="7"/>
  <c r="E8" i="7" s="1" a="1"/>
  <c r="E8" i="7" s="1"/>
  <c r="D62" i="7" s="1"/>
  <c r="S9" i="3"/>
  <c r="U30" i="7"/>
  <c r="H23" i="7" s="1" a="1"/>
  <c r="H23" i="7" s="1"/>
  <c r="G77" i="7" s="1"/>
  <c r="U30" i="6"/>
  <c r="H23" i="6" s="1" a="1"/>
  <c r="H23" i="6" s="1"/>
  <c r="G77" i="6" s="1"/>
  <c r="G24" i="12" s="1"/>
  <c r="U32" i="6"/>
  <c r="H29" i="6" s="1" a="1"/>
  <c r="H29" i="6" s="1"/>
  <c r="G83" i="6" s="1"/>
  <c r="G30" i="12" s="1"/>
  <c r="U32" i="7"/>
  <c r="H29" i="7" s="1" a="1"/>
  <c r="H29" i="7" s="1"/>
  <c r="G83" i="7" s="1"/>
  <c r="R33" i="7"/>
  <c r="G32" i="7" s="1" a="1"/>
  <c r="G32" i="7" s="1"/>
  <c r="F86" i="7" s="1"/>
  <c r="R33" i="6"/>
  <c r="G32" i="6" s="1" a="1"/>
  <c r="G32" i="6" s="1"/>
  <c r="F86" i="6" s="1"/>
  <c r="R31" i="6"/>
  <c r="G26" i="6" s="1" a="1"/>
  <c r="G26" i="6" s="1"/>
  <c r="F80" i="6" s="1"/>
  <c r="R31" i="7"/>
  <c r="G26" i="7" s="1" a="1"/>
  <c r="G26" i="7" s="1"/>
  <c r="F80" i="7" s="1"/>
  <c r="R29" i="7"/>
  <c r="G20" i="7" s="1" a="1"/>
  <c r="G20" i="7" s="1"/>
  <c r="F74" i="7" s="1"/>
  <c r="R29" i="6"/>
  <c r="G20" i="6" s="1" a="1"/>
  <c r="G20" i="6" s="1"/>
  <c r="F74" i="6" s="1"/>
  <c r="Y27" i="3"/>
  <c r="AB25" i="7" s="1"/>
  <c r="M8" i="7" s="1" a="1"/>
  <c r="M8" i="7" s="1"/>
  <c r="T38" i="7"/>
  <c r="E47" i="7" s="1" a="1"/>
  <c r="E47" i="7" s="1"/>
  <c r="D101" i="7" s="1"/>
  <c r="T38" i="6"/>
  <c r="E47" i="6" s="1" a="1"/>
  <c r="E47" i="6" s="1"/>
  <c r="D101" i="6" s="1"/>
  <c r="D48" i="12" s="1"/>
  <c r="U28" i="6"/>
  <c r="H17" i="6" s="1" a="1"/>
  <c r="H17" i="6" s="1"/>
  <c r="G71" i="6" s="1"/>
  <c r="G18" i="12" s="1"/>
  <c r="U28" i="7"/>
  <c r="H17" i="7" s="1" a="1"/>
  <c r="H17" i="7" s="1"/>
  <c r="G71" i="7" s="1"/>
  <c r="U5" i="3"/>
  <c r="V26" i="7" s="1"/>
  <c r="I11" i="7" s="1" a="1"/>
  <c r="I11" i="7" s="1"/>
  <c r="X27" i="3"/>
  <c r="AA25" i="7" s="1"/>
  <c r="L8" i="7" s="1" a="1"/>
  <c r="L8" i="7" s="1"/>
  <c r="S25" i="6"/>
  <c r="F8" i="6" s="1" a="1"/>
  <c r="F8" i="6" s="1"/>
  <c r="E62" i="6" s="1"/>
  <c r="E9" i="12" s="1"/>
  <c r="S25" i="7"/>
  <c r="F8" i="7" s="1" a="1"/>
  <c r="F8" i="7" s="1"/>
  <c r="E62" i="7" s="1"/>
  <c r="T28" i="6"/>
  <c r="E17" i="6" s="1" a="1"/>
  <c r="E17" i="6" s="1"/>
  <c r="D71" i="6" s="1"/>
  <c r="D18" i="12" s="1"/>
  <c r="T28" i="7"/>
  <c r="E17" i="7" s="1" a="1"/>
  <c r="E17" i="7" s="1"/>
  <c r="D71" i="7" s="1"/>
  <c r="S5" i="3"/>
  <c r="U26" i="7"/>
  <c r="H11" i="7" s="1" a="1"/>
  <c r="H11" i="7" s="1"/>
  <c r="G65" i="7" s="1"/>
  <c r="U26" i="6"/>
  <c r="H11" i="6" s="1" a="1"/>
  <c r="H11" i="6" s="1"/>
  <c r="G65" i="6" s="1"/>
  <c r="G12" i="12" s="1"/>
  <c r="R25" i="6"/>
  <c r="G8" i="6" s="1" a="1"/>
  <c r="G8" i="6" s="1"/>
  <c r="F62" i="6" s="1"/>
  <c r="R25" i="7"/>
  <c r="G8" i="7" s="1" a="1"/>
  <c r="G8" i="7" s="1"/>
  <c r="F62" i="7" s="1"/>
  <c r="R27" i="6"/>
  <c r="G14" i="6" s="1" a="1"/>
  <c r="G14" i="6" s="1"/>
  <c r="F68" i="6" s="1"/>
  <c r="V13" i="3"/>
  <c r="W34" i="7" s="1"/>
  <c r="J35" i="7" s="1" a="1"/>
  <c r="J35" i="7" s="1"/>
  <c r="T34" i="7"/>
  <c r="E35" i="7" s="1" a="1"/>
  <c r="E35" i="7" s="1"/>
  <c r="D89" i="7" s="1"/>
  <c r="U36" i="3"/>
  <c r="AB34" i="6" s="1"/>
  <c r="M35" i="6" s="1" a="1"/>
  <c r="M35" i="6" s="1"/>
  <c r="V11" i="3"/>
  <c r="W32" i="7" s="1"/>
  <c r="J29" i="7" s="1" a="1"/>
  <c r="J29" i="7" s="1"/>
  <c r="T32" i="6"/>
  <c r="E29" i="6" s="1" a="1"/>
  <c r="E29" i="6" s="1"/>
  <c r="D83" i="6" s="1"/>
  <c r="D30" i="12" s="1"/>
  <c r="R11" i="3"/>
  <c r="T32" i="7"/>
  <c r="E29" i="7" s="1" a="1"/>
  <c r="E29" i="7" s="1"/>
  <c r="D83" i="7" s="1"/>
  <c r="T30" i="6"/>
  <c r="E23" i="6" s="1" a="1"/>
  <c r="E23" i="6" s="1"/>
  <c r="D77" i="6" s="1"/>
  <c r="D24" i="12" s="1"/>
  <c r="T30" i="7"/>
  <c r="E23" i="7" s="1" a="1"/>
  <c r="E23" i="7" s="1"/>
  <c r="D77" i="7" s="1"/>
  <c r="S28" i="7"/>
  <c r="F17" i="7" s="1" a="1"/>
  <c r="F17" i="7" s="1"/>
  <c r="E71" i="7" s="1"/>
  <c r="S28" i="6"/>
  <c r="F17" i="6" s="1" a="1"/>
  <c r="F17" i="6" s="1"/>
  <c r="E71" i="6" s="1"/>
  <c r="E18" i="12" s="1"/>
  <c r="T26" i="7"/>
  <c r="E11" i="7" s="1" a="1"/>
  <c r="E11" i="7" s="1"/>
  <c r="D65" i="7" s="1"/>
  <c r="T26" i="6"/>
  <c r="E11" i="6" s="1" a="1"/>
  <c r="E11" i="6" s="1"/>
  <c r="D65" i="6" s="1"/>
  <c r="D12" i="12" s="1"/>
  <c r="U27" i="3"/>
  <c r="AB25" i="6" s="1"/>
  <c r="M8" i="6" s="1" a="1"/>
  <c r="M8" i="6" s="1"/>
  <c r="M18" i="10"/>
  <c r="W39" i="6"/>
  <c r="J50" i="6" s="1" a="1"/>
  <c r="J50" i="6" s="1"/>
  <c r="R38" i="7"/>
  <c r="G47" i="7" s="1" a="1"/>
  <c r="G47" i="7" s="1"/>
  <c r="F101" i="7" s="1"/>
  <c r="R38" i="6"/>
  <c r="G47" i="6" s="1" a="1"/>
  <c r="G47" i="6" s="1"/>
  <c r="F101" i="6" s="1"/>
  <c r="F48" i="12" s="1"/>
  <c r="W15" i="3"/>
  <c r="X36" i="7" s="1"/>
  <c r="K41" i="7" s="1" a="1"/>
  <c r="K41" i="7" s="1"/>
  <c r="R36" i="7"/>
  <c r="G41" i="7" s="1" a="1"/>
  <c r="G41" i="7" s="1"/>
  <c r="F95" i="7" s="1"/>
  <c r="R36" i="6"/>
  <c r="G41" i="6" s="1" a="1"/>
  <c r="G41" i="6" s="1"/>
  <c r="F95" i="6" s="1"/>
  <c r="F42" i="12" s="1"/>
  <c r="S34" i="7"/>
  <c r="F35" i="7" s="1" a="1"/>
  <c r="F35" i="7" s="1"/>
  <c r="E89" i="7" s="1"/>
  <c r="S34" i="6"/>
  <c r="F35" i="6" s="1" a="1"/>
  <c r="F35" i="6" s="1"/>
  <c r="E89" i="6" s="1"/>
  <c r="E36" i="12" s="1"/>
  <c r="U11" i="3"/>
  <c r="V32" i="7" s="1"/>
  <c r="I29" i="7" s="1" a="1"/>
  <c r="I29" i="7" s="1"/>
  <c r="S32" i="6"/>
  <c r="F29" i="6" s="1" a="1"/>
  <c r="F29" i="6" s="1"/>
  <c r="E83" i="6" s="1"/>
  <c r="E30" i="12" s="1"/>
  <c r="S32" i="7"/>
  <c r="F29" i="7" s="1" a="1"/>
  <c r="F29" i="7" s="1"/>
  <c r="E83" i="7" s="1"/>
  <c r="S26" i="6"/>
  <c r="F11" i="6" s="1" a="1"/>
  <c r="F11" i="6" s="1"/>
  <c r="E65" i="6" s="1"/>
  <c r="E12" i="12" s="1"/>
  <c r="X41" i="3"/>
  <c r="AA39" i="7" s="1"/>
  <c r="L50" i="7" s="1" a="1"/>
  <c r="L50" i="7" s="1"/>
  <c r="S16" i="3"/>
  <c r="U37" i="7"/>
  <c r="H44" i="7" s="1" a="1"/>
  <c r="H44" i="7" s="1"/>
  <c r="G98" i="7" s="1"/>
  <c r="U37" i="6"/>
  <c r="H44" i="6" s="1" a="1"/>
  <c r="H44" i="6" s="1"/>
  <c r="G98" i="6" s="1"/>
  <c r="G45" i="12" s="1"/>
  <c r="R34" i="7"/>
  <c r="G35" i="7" s="1" a="1"/>
  <c r="G35" i="7" s="1"/>
  <c r="F89" i="7" s="1"/>
  <c r="R34" i="6"/>
  <c r="G35" i="6" s="1" a="1"/>
  <c r="G35" i="6" s="1"/>
  <c r="F89" i="6" s="1"/>
  <c r="S30" i="6"/>
  <c r="F23" i="6" s="1" a="1"/>
  <c r="F23" i="6" s="1"/>
  <c r="E77" i="6" s="1"/>
  <c r="E24" i="12" s="1"/>
  <c r="S30" i="7"/>
  <c r="F23" i="7" s="1" a="1"/>
  <c r="F23" i="7" s="1"/>
  <c r="E77" i="7" s="1"/>
  <c r="X32" i="3"/>
  <c r="AA30" i="7" s="1"/>
  <c r="L23" i="7" s="1" a="1"/>
  <c r="L23" i="7" s="1"/>
  <c r="Q15" i="3"/>
  <c r="S36" i="7"/>
  <c r="F41" i="7" s="1" a="1"/>
  <c r="F41" i="7" s="1"/>
  <c r="E95" i="7" s="1"/>
  <c r="S36" i="6"/>
  <c r="F41" i="6" s="1" a="1"/>
  <c r="F41" i="6" s="1"/>
  <c r="E95" i="6" s="1"/>
  <c r="E42" i="12" s="1"/>
  <c r="T39" i="7"/>
  <c r="E50" i="7" s="1" a="1"/>
  <c r="E50" i="7" s="1"/>
  <c r="D104" i="7" s="1"/>
  <c r="T39" i="6"/>
  <c r="E50" i="6" s="1" a="1"/>
  <c r="E50" i="6" s="1"/>
  <c r="D104" i="6" s="1"/>
  <c r="D51" i="12" s="1"/>
  <c r="V18" i="3"/>
  <c r="W39" i="7" s="1"/>
  <c r="J50" i="7" s="1" a="1"/>
  <c r="J50" i="7" s="1"/>
  <c r="Y41" i="3"/>
  <c r="AB39" i="7" s="1"/>
  <c r="M50" i="7" s="1" a="1"/>
  <c r="M50" i="7" s="1"/>
  <c r="T37" i="7"/>
  <c r="E44" i="7" s="1" a="1"/>
  <c r="E44" i="7" s="1"/>
  <c r="D98" i="7" s="1"/>
  <c r="T37" i="6"/>
  <c r="E44" i="6" s="1" a="1"/>
  <c r="E44" i="6" s="1"/>
  <c r="D98" i="6" s="1"/>
  <c r="D45" i="12" s="1"/>
  <c r="S14" i="3"/>
  <c r="U35" i="7"/>
  <c r="H38" i="7" s="1" a="1"/>
  <c r="H38" i="7" s="1"/>
  <c r="G92" i="7" s="1"/>
  <c r="W10" i="3"/>
  <c r="X31" i="7" s="1"/>
  <c r="K26" i="7" s="1" a="1"/>
  <c r="K26" i="7" s="1"/>
  <c r="R24" i="6"/>
  <c r="G5" i="6" s="1" a="1"/>
  <c r="G5" i="6" s="1"/>
  <c r="F59" i="6" s="1"/>
  <c r="R24" i="7"/>
  <c r="G5" i="7" s="1" a="1"/>
  <c r="G5" i="7" s="1"/>
  <c r="F59" i="7" s="1"/>
  <c r="T34" i="6"/>
  <c r="E35" i="6" s="1" a="1"/>
  <c r="E35" i="6" s="1"/>
  <c r="D89" i="6" s="1"/>
  <c r="D36" i="12" s="1"/>
  <c r="S17" i="3"/>
  <c r="U38" i="7"/>
  <c r="H47" i="7" s="1" a="1"/>
  <c r="H47" i="7" s="1"/>
  <c r="G101" i="7" s="1"/>
  <c r="U38" i="6"/>
  <c r="H47" i="6" s="1" a="1"/>
  <c r="H47" i="6" s="1"/>
  <c r="G101" i="6" s="1"/>
  <c r="G48" i="12" s="1"/>
  <c r="U18" i="3"/>
  <c r="V39" i="7" s="1"/>
  <c r="I50" i="7" s="1" a="1"/>
  <c r="I50" i="7" s="1"/>
  <c r="S39" i="7"/>
  <c r="F50" i="7" s="1" a="1"/>
  <c r="F50" i="7" s="1"/>
  <c r="E104" i="7" s="1"/>
  <c r="S39" i="6"/>
  <c r="F50" i="6" s="1" a="1"/>
  <c r="F50" i="6" s="1"/>
  <c r="E104" i="6" s="1"/>
  <c r="E51" i="12" s="1"/>
  <c r="T33" i="7"/>
  <c r="E32" i="7" s="1" a="1"/>
  <c r="E32" i="7" s="1"/>
  <c r="D86" i="7" s="1"/>
  <c r="T33" i="6"/>
  <c r="E32" i="6" s="1" a="1"/>
  <c r="E32" i="6" s="1"/>
  <c r="D86" i="6" s="1"/>
  <c r="D33" i="12" s="1"/>
  <c r="U25" i="6"/>
  <c r="H8" i="6" s="1" a="1"/>
  <c r="H8" i="6" s="1"/>
  <c r="G62" i="6" s="1"/>
  <c r="G9" i="12" s="1"/>
  <c r="U25" i="7"/>
  <c r="H8" i="7" s="1" a="1"/>
  <c r="H8" i="7" s="1"/>
  <c r="G62" i="7" s="1"/>
  <c r="L53" i="3" a="1"/>
  <c r="L53" i="3" s="1"/>
  <c r="V38" i="3"/>
  <c r="AC36" i="6" s="1"/>
  <c r="N41" i="6" s="1" a="1"/>
  <c r="N41" i="6" s="1"/>
  <c r="Y36" i="3"/>
  <c r="AB34" i="7" s="1"/>
  <c r="M35" i="7" s="1" a="1"/>
  <c r="M35" i="7" s="1"/>
  <c r="U32" i="3"/>
  <c r="AB30" i="6" s="1"/>
  <c r="M23" i="6" s="1" a="1"/>
  <c r="M23" i="6" s="1"/>
  <c r="T28" i="3"/>
  <c r="AA26" i="6" s="1"/>
  <c r="L11" i="6" s="1" a="1"/>
  <c r="L11" i="6" s="1"/>
  <c r="R39" i="7"/>
  <c r="G50" i="7" s="1" a="1"/>
  <c r="G50" i="7" s="1"/>
  <c r="F104" i="7" s="1"/>
  <c r="H104" i="7" s="1"/>
  <c r="C49" i="9" s="1"/>
  <c r="R39" i="6"/>
  <c r="G50" i="6" s="1" a="1"/>
  <c r="G50" i="6" s="1"/>
  <c r="F104" i="6" s="1"/>
  <c r="F51" i="12" s="1"/>
  <c r="R37" i="7"/>
  <c r="G44" i="7" s="1" a="1"/>
  <c r="G44" i="7" s="1"/>
  <c r="F98" i="7" s="1"/>
  <c r="R37" i="6"/>
  <c r="G44" i="6" s="1" a="1"/>
  <c r="G44" i="6" s="1"/>
  <c r="F98" i="6" s="1"/>
  <c r="F45" i="12" s="1"/>
  <c r="T35" i="7"/>
  <c r="E38" i="7" s="1" a="1"/>
  <c r="E38" i="7" s="1"/>
  <c r="D92" i="7" s="1"/>
  <c r="T35" i="6"/>
  <c r="E38" i="6" s="1" a="1"/>
  <c r="E38" i="6" s="1"/>
  <c r="D92" i="6" s="1"/>
  <c r="D39" i="12" s="1"/>
  <c r="Y37" i="3"/>
  <c r="AB35" i="7" s="1"/>
  <c r="M38" i="7" s="1" a="1"/>
  <c r="M38" i="7" s="1"/>
  <c r="T29" i="7"/>
  <c r="E20" i="7" s="1" a="1"/>
  <c r="E20" i="7" s="1"/>
  <c r="D74" i="7" s="1"/>
  <c r="T29" i="6"/>
  <c r="E20" i="6" s="1" a="1"/>
  <c r="E20" i="6" s="1"/>
  <c r="D74" i="6" s="1"/>
  <c r="D21" i="12" s="1"/>
  <c r="V6" i="3"/>
  <c r="W27" i="7" s="1"/>
  <c r="J14" i="7" s="1" a="1"/>
  <c r="J14" i="7" s="1"/>
  <c r="T27" i="7"/>
  <c r="E14" i="7" s="1" a="1"/>
  <c r="E14" i="7" s="1"/>
  <c r="D68" i="7" s="1"/>
  <c r="T27" i="6"/>
  <c r="E14" i="6" s="1" a="1"/>
  <c r="E14" i="6" s="1"/>
  <c r="D68" i="6" s="1"/>
  <c r="D15" i="12" s="1"/>
  <c r="S37" i="6"/>
  <c r="F44" i="6" s="1" a="1"/>
  <c r="F44" i="6" s="1"/>
  <c r="E98" i="6" s="1"/>
  <c r="E45" i="12" s="1"/>
  <c r="U33" i="6"/>
  <c r="H32" i="6" s="1" a="1"/>
  <c r="H32" i="6" s="1"/>
  <c r="G86" i="6" s="1"/>
  <c r="G33" i="12" s="1"/>
  <c r="X40" i="3"/>
  <c r="AA38" i="7" s="1"/>
  <c r="L47" i="7" s="1" a="1"/>
  <c r="L47" i="7" s="1"/>
  <c r="X29" i="3"/>
  <c r="AA27" i="7" s="1"/>
  <c r="L14" i="7" s="1" a="1"/>
  <c r="L14" i="7" s="1"/>
  <c r="W17" i="3"/>
  <c r="X38" i="7" s="1"/>
  <c r="K47" i="7" s="1" a="1"/>
  <c r="K47" i="7" s="1"/>
  <c r="S31" i="6"/>
  <c r="F26" i="6" s="1" a="1"/>
  <c r="F26" i="6" s="1"/>
  <c r="E80" i="6" s="1"/>
  <c r="E27" i="12" s="1"/>
  <c r="S31" i="7"/>
  <c r="F26" i="7" s="1" a="1"/>
  <c r="F26" i="7" s="1"/>
  <c r="E80" i="7" s="1"/>
  <c r="S10" i="3"/>
  <c r="S6" i="3"/>
  <c r="R10" i="3"/>
  <c r="U36" i="6"/>
  <c r="H41" i="6" s="1" a="1"/>
  <c r="H41" i="6" s="1"/>
  <c r="G95" i="6" s="1"/>
  <c r="G42" i="12" s="1"/>
  <c r="U34" i="6"/>
  <c r="H35" i="6" s="1" a="1"/>
  <c r="H35" i="6" s="1"/>
  <c r="G89" i="6" s="1"/>
  <c r="G36" i="12" s="1"/>
  <c r="U31" i="6"/>
  <c r="H26" i="6" s="1" a="1"/>
  <c r="H26" i="6" s="1"/>
  <c r="G80" i="6" s="1"/>
  <c r="G27" i="12" s="1"/>
  <c r="R28" i="6"/>
  <c r="G17" i="6" s="1" a="1"/>
  <c r="G17" i="6" s="1"/>
  <c r="F71" i="6" s="1"/>
  <c r="F18" i="12" s="1"/>
  <c r="U27" i="7"/>
  <c r="H14" i="7" s="1" a="1"/>
  <c r="H14" i="7" s="1"/>
  <c r="G68" i="7" s="1"/>
  <c r="U24" i="7"/>
  <c r="H5" i="7" s="1" a="1"/>
  <c r="H5" i="7" s="1"/>
  <c r="G59" i="7" s="1"/>
  <c r="T24" i="7"/>
  <c r="E5" i="7" s="1" a="1"/>
  <c r="E5" i="7" s="1"/>
  <c r="D59" i="7" s="1"/>
  <c r="T35" i="3"/>
  <c r="AA33" i="6" s="1"/>
  <c r="L32" i="6" s="1" a="1"/>
  <c r="L32" i="6" s="1"/>
  <c r="Y26" i="3"/>
  <c r="AB24" i="7" s="1"/>
  <c r="M5" i="7" s="1" a="1"/>
  <c r="M5" i="7" s="1"/>
  <c r="H59" i="7" s="1"/>
  <c r="C4" i="9" s="1"/>
  <c r="U6" i="3"/>
  <c r="V27" i="7" s="1"/>
  <c r="I14" i="7" s="1" a="1"/>
  <c r="I14" i="7" s="1"/>
  <c r="U29" i="6"/>
  <c r="H20" i="6" s="1" a="1"/>
  <c r="H20" i="6" s="1"/>
  <c r="G74" i="6" s="1"/>
  <c r="G21" i="12" s="1"/>
  <c r="R26" i="6"/>
  <c r="G11" i="6" s="1" a="1"/>
  <c r="G11" i="6" s="1"/>
  <c r="F65" i="6" s="1"/>
  <c r="R30" i="7"/>
  <c r="G23" i="7" s="1" a="1"/>
  <c r="G23" i="7" s="1"/>
  <c r="F77" i="7" s="1"/>
  <c r="S27" i="7"/>
  <c r="F14" i="7" s="1" a="1"/>
  <c r="F14" i="7" s="1"/>
  <c r="E68" i="7" s="1"/>
  <c r="S24" i="7"/>
  <c r="F5" i="7" s="1" a="1"/>
  <c r="F5" i="7" s="1"/>
  <c r="E59" i="7" s="1"/>
  <c r="S35" i="6"/>
  <c r="F38" i="6" s="1" a="1"/>
  <c r="F38" i="6" s="1"/>
  <c r="E92" i="6" s="1"/>
  <c r="E39" i="12" s="1"/>
  <c r="S33" i="6"/>
  <c r="F32" i="6" s="1" a="1"/>
  <c r="F32" i="6" s="1"/>
  <c r="E86" i="6" s="1"/>
  <c r="E33" i="12" s="1"/>
  <c r="T36" i="7"/>
  <c r="E41" i="7" s="1" a="1"/>
  <c r="E41" i="7" s="1"/>
  <c r="D95" i="7" s="1"/>
  <c r="R32" i="7"/>
  <c r="G29" i="7" s="1" a="1"/>
  <c r="G29" i="7" s="1"/>
  <c r="F83" i="7" s="1"/>
  <c r="H83" i="7" s="1"/>
  <c r="M15" i="10"/>
  <c r="S29" i="6"/>
  <c r="F20" i="6" s="1" a="1"/>
  <c r="F20" i="6" s="1"/>
  <c r="E74" i="6" s="1"/>
  <c r="E21" i="12" s="1"/>
  <c r="T24" i="6"/>
  <c r="E5" i="6" s="1" a="1"/>
  <c r="E5" i="6" s="1"/>
  <c r="D59" i="6" s="1"/>
  <c r="D6" i="12" s="1"/>
  <c r="S24" i="6"/>
  <c r="F5" i="6" s="1" a="1"/>
  <c r="F5" i="6" s="1"/>
  <c r="E59" i="6" s="1"/>
  <c r="E6" i="12" s="1"/>
  <c r="U39" i="6"/>
  <c r="H50" i="6" s="1" a="1"/>
  <c r="H50" i="6" s="1"/>
  <c r="G104" i="6" s="1"/>
  <c r="G51" i="12" s="1"/>
  <c r="V34" i="3"/>
  <c r="AC32" i="6" s="1"/>
  <c r="N29" i="6" s="1" a="1"/>
  <c r="N29" i="6" s="1"/>
  <c r="S3" i="3"/>
  <c r="U27" i="6"/>
  <c r="H14" i="6" s="1" a="1"/>
  <c r="H14" i="6" s="1"/>
  <c r="G68" i="6" s="1"/>
  <c r="G15" i="12" s="1"/>
  <c r="U31" i="7"/>
  <c r="H26" i="7" s="1" a="1"/>
  <c r="H26" i="7" s="1"/>
  <c r="G80" i="7" s="1"/>
  <c r="H95" i="7"/>
  <c r="C40" i="9" s="1"/>
  <c r="I89" i="7"/>
  <c r="D34" i="9" s="1"/>
  <c r="H89" i="7"/>
  <c r="C34" i="9" s="1"/>
  <c r="X27" i="2"/>
  <c r="AA5" i="7" s="1"/>
  <c r="L7" i="7" s="1" a="1"/>
  <c r="L7" i="7" s="1"/>
  <c r="S5" i="7"/>
  <c r="F7" i="7" s="1" a="1"/>
  <c r="F7" i="7" s="1"/>
  <c r="E61" i="7" s="1"/>
  <c r="S5" i="6"/>
  <c r="F7" i="6" s="1" a="1"/>
  <c r="F7" i="6" s="1"/>
  <c r="E61" i="6" s="1"/>
  <c r="E8" i="12" s="1"/>
  <c r="R6" i="2"/>
  <c r="T7" i="7"/>
  <c r="E13" i="7" s="1" a="1"/>
  <c r="E13" i="7" s="1"/>
  <c r="D67" i="7" s="1"/>
  <c r="T7" i="6"/>
  <c r="E13" i="6" s="1" a="1"/>
  <c r="E13" i="6" s="1"/>
  <c r="D67" i="6" s="1"/>
  <c r="D14" i="12" s="1"/>
  <c r="R16" i="7"/>
  <c r="G40" i="7" s="1" a="1"/>
  <c r="G40" i="7" s="1"/>
  <c r="F94" i="7" s="1"/>
  <c r="R16" i="6"/>
  <c r="G40" i="6" s="1" a="1"/>
  <c r="G40" i="6" s="1"/>
  <c r="F94" i="6" s="1"/>
  <c r="T13" i="6"/>
  <c r="E31" i="6" s="1" a="1"/>
  <c r="E31" i="6" s="1"/>
  <c r="D85" i="6" s="1"/>
  <c r="D32" i="12" s="1"/>
  <c r="T13" i="7"/>
  <c r="E31" i="7" s="1" a="1"/>
  <c r="E31" i="7" s="1"/>
  <c r="D85" i="7" s="1"/>
  <c r="R11" i="7"/>
  <c r="G25" i="7" s="1" a="1"/>
  <c r="G25" i="7" s="1"/>
  <c r="F79" i="7" s="1"/>
  <c r="R11" i="6"/>
  <c r="G25" i="6" s="1" a="1"/>
  <c r="G25" i="6" s="1"/>
  <c r="F79" i="6" s="1"/>
  <c r="R4" i="7"/>
  <c r="G4" i="7" s="1" a="1"/>
  <c r="G4" i="7" s="1"/>
  <c r="F58" i="7" s="1"/>
  <c r="R4" i="6"/>
  <c r="G4" i="6" s="1" a="1"/>
  <c r="G4" i="6" s="1"/>
  <c r="F58" i="6" s="1"/>
  <c r="F30" i="12"/>
  <c r="S6" i="6"/>
  <c r="F10" i="6" s="1" a="1"/>
  <c r="F10" i="6" s="1"/>
  <c r="E64" i="6" s="1"/>
  <c r="E11" i="12" s="1"/>
  <c r="T11" i="7"/>
  <c r="E25" i="7" s="1" a="1"/>
  <c r="E25" i="7" s="1"/>
  <c r="D79" i="7" s="1"/>
  <c r="S8" i="6"/>
  <c r="F16" i="6" s="1" a="1"/>
  <c r="F16" i="6" s="1"/>
  <c r="E70" i="6" s="1"/>
  <c r="E17" i="12" s="1"/>
  <c r="S8" i="7"/>
  <c r="F16" i="7" s="1" a="1"/>
  <c r="F16" i="7" s="1"/>
  <c r="E70" i="7" s="1"/>
  <c r="F40" i="12"/>
  <c r="I90" i="6"/>
  <c r="I37" i="12" s="1"/>
  <c r="F37" i="12"/>
  <c r="S14" i="6"/>
  <c r="F34" i="6" s="1" a="1"/>
  <c r="F34" i="6" s="1"/>
  <c r="E88" i="6" s="1"/>
  <c r="E35" i="12" s="1"/>
  <c r="U10" i="6"/>
  <c r="H22" i="6" s="1" a="1"/>
  <c r="H22" i="6" s="1"/>
  <c r="G76" i="6" s="1"/>
  <c r="G23" i="12" s="1"/>
  <c r="R6" i="6"/>
  <c r="G10" i="6" s="1" a="1"/>
  <c r="G10" i="6" s="1"/>
  <c r="F64" i="6" s="1"/>
  <c r="T8" i="7"/>
  <c r="E16" i="7" s="1" a="1"/>
  <c r="E16" i="7" s="1"/>
  <c r="D70" i="7" s="1"/>
  <c r="R18" i="6"/>
  <c r="G46" i="6" s="1" a="1"/>
  <c r="G46" i="6" s="1"/>
  <c r="F100" i="6" s="1"/>
  <c r="F47" i="12" s="1"/>
  <c r="R18" i="7"/>
  <c r="G46" i="7" s="1" a="1"/>
  <c r="G46" i="7" s="1"/>
  <c r="F100" i="7" s="1"/>
  <c r="T15" i="7"/>
  <c r="E37" i="7" s="1" a="1"/>
  <c r="E37" i="7" s="1"/>
  <c r="D91" i="7" s="1"/>
  <c r="T15" i="6"/>
  <c r="E37" i="6" s="1" a="1"/>
  <c r="E37" i="6" s="1"/>
  <c r="D91" i="6" s="1"/>
  <c r="D38" i="12" s="1"/>
  <c r="R13" i="7"/>
  <c r="G31" i="7" s="1" a="1"/>
  <c r="G31" i="7" s="1"/>
  <c r="F85" i="7" s="1"/>
  <c r="R13" i="6"/>
  <c r="G31" i="6" s="1" a="1"/>
  <c r="G31" i="6" s="1"/>
  <c r="F85" i="6" s="1"/>
  <c r="R8" i="7"/>
  <c r="G16" i="7" s="1" a="1"/>
  <c r="G16" i="7" s="1"/>
  <c r="F70" i="7" s="1"/>
  <c r="R8" i="6"/>
  <c r="G16" i="6" s="1" a="1"/>
  <c r="G16" i="6" s="1"/>
  <c r="F70" i="6" s="1"/>
  <c r="U5" i="7"/>
  <c r="H7" i="7" s="1" a="1"/>
  <c r="H7" i="7" s="1"/>
  <c r="G61" i="7" s="1"/>
  <c r="U5" i="6"/>
  <c r="H7" i="6" s="1" a="1"/>
  <c r="H7" i="6" s="1"/>
  <c r="G61" i="6" s="1"/>
  <c r="G8" i="12" s="1"/>
  <c r="F21" i="12"/>
  <c r="R14" i="6"/>
  <c r="G34" i="6" s="1" a="1"/>
  <c r="G34" i="6" s="1"/>
  <c r="F88" i="6" s="1"/>
  <c r="T10" i="6"/>
  <c r="E22" i="6" s="1" a="1"/>
  <c r="E22" i="6" s="1"/>
  <c r="D76" i="6" s="1"/>
  <c r="D23" i="12" s="1"/>
  <c r="U16" i="7"/>
  <c r="H40" i="7" s="1" a="1"/>
  <c r="H40" i="7" s="1"/>
  <c r="G94" i="7" s="1"/>
  <c r="S15" i="7"/>
  <c r="F37" i="7" s="1" a="1"/>
  <c r="F37" i="7" s="1"/>
  <c r="E91" i="7" s="1"/>
  <c r="S15" i="6"/>
  <c r="F37" i="6" s="1" a="1"/>
  <c r="F37" i="6" s="1"/>
  <c r="E91" i="6" s="1"/>
  <c r="E38" i="12" s="1"/>
  <c r="U12" i="6"/>
  <c r="H28" i="6" s="1" a="1"/>
  <c r="H28" i="6" s="1"/>
  <c r="G82" i="6" s="1"/>
  <c r="G29" i="12" s="1"/>
  <c r="U12" i="7"/>
  <c r="H28" i="7" s="1" a="1"/>
  <c r="H28" i="7" s="1"/>
  <c r="G82" i="7" s="1"/>
  <c r="S10" i="7"/>
  <c r="F22" i="7" s="1" a="1"/>
  <c r="F22" i="7" s="1"/>
  <c r="E76" i="7" s="1"/>
  <c r="S10" i="6"/>
  <c r="F22" i="6" s="1" a="1"/>
  <c r="F22" i="6" s="1"/>
  <c r="E76" i="6" s="1"/>
  <c r="E23" i="12" s="1"/>
  <c r="U7" i="7"/>
  <c r="H13" i="7" s="1" a="1"/>
  <c r="H13" i="7" s="1"/>
  <c r="G67" i="7" s="1"/>
  <c r="U7" i="6"/>
  <c r="H13" i="6" s="1" a="1"/>
  <c r="H13" i="6" s="1"/>
  <c r="G67" i="6" s="1"/>
  <c r="G14" i="12" s="1"/>
  <c r="F15" i="12"/>
  <c r="F10" i="12"/>
  <c r="T5" i="6"/>
  <c r="E7" i="6" s="1" a="1"/>
  <c r="E7" i="6" s="1"/>
  <c r="D61" i="6" s="1"/>
  <c r="D8" i="12" s="1"/>
  <c r="T12" i="7"/>
  <c r="E28" i="7" s="1" a="1"/>
  <c r="E28" i="7" s="1"/>
  <c r="D82" i="7" s="1"/>
  <c r="T12" i="6"/>
  <c r="E28" i="6" s="1" a="1"/>
  <c r="E28" i="6" s="1"/>
  <c r="D82" i="6" s="1"/>
  <c r="D29" i="12" s="1"/>
  <c r="R10" i="6"/>
  <c r="G22" i="6" s="1" a="1"/>
  <c r="G22" i="6" s="1"/>
  <c r="F76" i="6" s="1"/>
  <c r="R10" i="7"/>
  <c r="G22" i="7" s="1" a="1"/>
  <c r="G22" i="7" s="1"/>
  <c r="F76" i="7" s="1"/>
  <c r="F33" i="12"/>
  <c r="T18" i="6"/>
  <c r="E46" i="6" s="1" a="1"/>
  <c r="E46" i="6" s="1"/>
  <c r="D100" i="6" s="1"/>
  <c r="D47" i="12" s="1"/>
  <c r="U19" i="7"/>
  <c r="H49" i="7" s="1" a="1"/>
  <c r="H49" i="7" s="1"/>
  <c r="G103" i="7" s="1"/>
  <c r="U19" i="6"/>
  <c r="H49" i="6" s="1" a="1"/>
  <c r="H49" i="6" s="1"/>
  <c r="G103" i="6" s="1"/>
  <c r="G50" i="12" s="1"/>
  <c r="S17" i="7"/>
  <c r="F43" i="7" s="1" a="1"/>
  <c r="F43" i="7" s="1"/>
  <c r="E97" i="7" s="1"/>
  <c r="S17" i="6"/>
  <c r="F43" i="6" s="1" a="1"/>
  <c r="F43" i="6" s="1"/>
  <c r="E97" i="6" s="1"/>
  <c r="E44" i="12" s="1"/>
  <c r="U14" i="7"/>
  <c r="H34" i="7" s="1" a="1"/>
  <c r="H34" i="7" s="1"/>
  <c r="G88" i="7" s="1"/>
  <c r="U14" i="6"/>
  <c r="H34" i="6" s="1" a="1"/>
  <c r="H34" i="6" s="1"/>
  <c r="G88" i="6" s="1"/>
  <c r="G35" i="12" s="1"/>
  <c r="S12" i="7"/>
  <c r="F28" i="7" s="1" a="1"/>
  <c r="F28" i="7" s="1"/>
  <c r="E82" i="7" s="1"/>
  <c r="S12" i="6"/>
  <c r="F28" i="6" s="1" a="1"/>
  <c r="F28" i="6" s="1"/>
  <c r="E82" i="6" s="1"/>
  <c r="E29" i="12" s="1"/>
  <c r="U9" i="6"/>
  <c r="H19" i="6" s="1" a="1"/>
  <c r="H19" i="6" s="1"/>
  <c r="G73" i="6" s="1"/>
  <c r="G20" i="12" s="1"/>
  <c r="U9" i="7"/>
  <c r="H19" i="7" s="1" a="1"/>
  <c r="H19" i="7" s="1"/>
  <c r="G73" i="7" s="1"/>
  <c r="F29" i="12"/>
  <c r="F6" i="12"/>
  <c r="S18" i="6"/>
  <c r="F46" i="6" s="1" a="1"/>
  <c r="F46" i="6" s="1"/>
  <c r="E100" i="6" s="1"/>
  <c r="E47" i="12" s="1"/>
  <c r="S19" i="7"/>
  <c r="F49" i="7" s="1" a="1"/>
  <c r="F49" i="7" s="1"/>
  <c r="E103" i="7" s="1"/>
  <c r="U15" i="7"/>
  <c r="H37" i="7" s="1" a="1"/>
  <c r="H37" i="7" s="1"/>
  <c r="G91" i="7" s="1"/>
  <c r="S13" i="7"/>
  <c r="F31" i="7" s="1" a="1"/>
  <c r="F31" i="7" s="1"/>
  <c r="E85" i="7" s="1"/>
  <c r="T19" i="7"/>
  <c r="E49" i="7" s="1" a="1"/>
  <c r="E49" i="7" s="1"/>
  <c r="D103" i="7" s="1"/>
  <c r="T19" i="6"/>
  <c r="E49" i="6" s="1" a="1"/>
  <c r="E49" i="6" s="1"/>
  <c r="D103" i="6" s="1"/>
  <c r="D50" i="12" s="1"/>
  <c r="R17" i="7"/>
  <c r="G43" i="7" s="1" a="1"/>
  <c r="G43" i="7" s="1"/>
  <c r="F97" i="7" s="1"/>
  <c r="R17" i="6"/>
  <c r="G43" i="6" s="1" a="1"/>
  <c r="G43" i="6" s="1"/>
  <c r="F97" i="6" s="1"/>
  <c r="F44" i="12" s="1"/>
  <c r="T14" i="7"/>
  <c r="E34" i="7" s="1" a="1"/>
  <c r="E34" i="7" s="1"/>
  <c r="D88" i="7" s="1"/>
  <c r="T14" i="6"/>
  <c r="E34" i="6" s="1" a="1"/>
  <c r="E34" i="6" s="1"/>
  <c r="D88" i="6" s="1"/>
  <c r="D35" i="12" s="1"/>
  <c r="S7" i="7"/>
  <c r="F13" i="7" s="1" a="1"/>
  <c r="F13" i="7" s="1"/>
  <c r="E67" i="7" s="1"/>
  <c r="S7" i="6"/>
  <c r="F13" i="6" s="1" a="1"/>
  <c r="F13" i="6" s="1"/>
  <c r="E67" i="6" s="1"/>
  <c r="E14" i="12" s="1"/>
  <c r="R5" i="7"/>
  <c r="G7" i="7" s="1" a="1"/>
  <c r="G7" i="7" s="1"/>
  <c r="F61" i="7" s="1"/>
  <c r="R5" i="6"/>
  <c r="G7" i="6" s="1" a="1"/>
  <c r="G7" i="6" s="1"/>
  <c r="F61" i="6" s="1"/>
  <c r="F27" i="12"/>
  <c r="F16" i="12"/>
  <c r="F13" i="12"/>
  <c r="U4" i="6"/>
  <c r="H4" i="6" s="1" a="1"/>
  <c r="H4" i="6" s="1"/>
  <c r="G58" i="6" s="1"/>
  <c r="G5" i="12" s="1"/>
  <c r="U4" i="7"/>
  <c r="H4" i="7" s="1" a="1"/>
  <c r="H4" i="7" s="1"/>
  <c r="G58" i="7" s="1"/>
  <c r="F39" i="12"/>
  <c r="U17" i="6"/>
  <c r="H43" i="6" s="1" a="1"/>
  <c r="H43" i="6" s="1"/>
  <c r="G97" i="6" s="1"/>
  <c r="G44" i="12" s="1"/>
  <c r="R12" i="7"/>
  <c r="G28" i="7" s="1" a="1"/>
  <c r="G28" i="7" s="1"/>
  <c r="F82" i="7" s="1"/>
  <c r="S9" i="6"/>
  <c r="F19" i="6" s="1" a="1"/>
  <c r="F19" i="6" s="1"/>
  <c r="E73" i="6" s="1"/>
  <c r="E20" i="12" s="1"/>
  <c r="S9" i="7"/>
  <c r="F19" i="7" s="1" a="1"/>
  <c r="F19" i="7" s="1"/>
  <c r="E73" i="7" s="1"/>
  <c r="T16" i="6"/>
  <c r="E40" i="6" s="1" a="1"/>
  <c r="E40" i="6" s="1"/>
  <c r="D94" i="6" s="1"/>
  <c r="D41" i="12" s="1"/>
  <c r="T16" i="7"/>
  <c r="E40" i="7" s="1" a="1"/>
  <c r="E40" i="7" s="1"/>
  <c r="D94" i="7" s="1"/>
  <c r="R9" i="6"/>
  <c r="G19" i="6" s="1" a="1"/>
  <c r="G19" i="6" s="1"/>
  <c r="F73" i="6" s="1"/>
  <c r="R9" i="7"/>
  <c r="G19" i="7" s="1" a="1"/>
  <c r="G19" i="7" s="1"/>
  <c r="F73" i="7" s="1"/>
  <c r="U6" i="6"/>
  <c r="H10" i="6" s="1" a="1"/>
  <c r="H10" i="6" s="1"/>
  <c r="G64" i="6" s="1"/>
  <c r="G11" i="12" s="1"/>
  <c r="U6" i="7"/>
  <c r="H10" i="7" s="1" a="1"/>
  <c r="H10" i="7" s="1"/>
  <c r="G64" i="7" s="1"/>
  <c r="T4" i="7"/>
  <c r="E4" i="7" s="1" a="1"/>
  <c r="E4" i="7" s="1"/>
  <c r="D58" i="7" s="1"/>
  <c r="T4" i="6"/>
  <c r="E4" i="6" s="1" a="1"/>
  <c r="E4" i="6" s="1"/>
  <c r="D58" i="6" s="1"/>
  <c r="D5" i="12" s="1"/>
  <c r="T17" i="6"/>
  <c r="E43" i="6" s="1" a="1"/>
  <c r="E43" i="6" s="1"/>
  <c r="D97" i="6" s="1"/>
  <c r="D44" i="12" s="1"/>
  <c r="T9" i="7"/>
  <c r="E19" i="7" s="1" a="1"/>
  <c r="E19" i="7" s="1"/>
  <c r="D73" i="7" s="1"/>
  <c r="U11" i="7"/>
  <c r="H25" i="7" s="1" a="1"/>
  <c r="H25" i="7" s="1"/>
  <c r="G79" i="7" s="1"/>
  <c r="U11" i="6"/>
  <c r="H25" i="6" s="1" a="1"/>
  <c r="H25" i="6" s="1"/>
  <c r="G79" i="6" s="1"/>
  <c r="G26" i="12" s="1"/>
  <c r="R7" i="7"/>
  <c r="G13" i="7" s="1" a="1"/>
  <c r="G13" i="7" s="1"/>
  <c r="F67" i="7" s="1"/>
  <c r="R7" i="6"/>
  <c r="G13" i="6" s="1" a="1"/>
  <c r="G13" i="6" s="1"/>
  <c r="F67" i="6" s="1"/>
  <c r="Y41" i="2"/>
  <c r="AB19" i="7" s="1"/>
  <c r="M49" i="7" s="1" a="1"/>
  <c r="M49" i="7" s="1"/>
  <c r="U18" i="6"/>
  <c r="H46" i="6" s="1" a="1"/>
  <c r="H46" i="6" s="1"/>
  <c r="G100" i="6" s="1"/>
  <c r="G47" i="12" s="1"/>
  <c r="U18" i="7"/>
  <c r="H46" i="7" s="1" a="1"/>
  <c r="H46" i="7" s="1"/>
  <c r="G100" i="7" s="1"/>
  <c r="S16" i="7"/>
  <c r="F40" i="7" s="1" a="1"/>
  <c r="F40" i="7" s="1"/>
  <c r="E94" i="7" s="1"/>
  <c r="S16" i="6"/>
  <c r="F40" i="6" s="1" a="1"/>
  <c r="F40" i="6" s="1"/>
  <c r="E94" i="6" s="1"/>
  <c r="E41" i="12" s="1"/>
  <c r="U13" i="6"/>
  <c r="H31" i="6" s="1" a="1"/>
  <c r="H31" i="6" s="1"/>
  <c r="G85" i="6" s="1"/>
  <c r="G32" i="12" s="1"/>
  <c r="U13" i="7"/>
  <c r="H31" i="7" s="1" a="1"/>
  <c r="H31" i="7" s="1"/>
  <c r="G85" i="7" s="1"/>
  <c r="S11" i="7"/>
  <c r="F25" i="7" s="1" a="1"/>
  <c r="F25" i="7" s="1"/>
  <c r="E79" i="7" s="1"/>
  <c r="S11" i="6"/>
  <c r="F25" i="6" s="1" a="1"/>
  <c r="F25" i="6" s="1"/>
  <c r="E79" i="6" s="1"/>
  <c r="E26" i="12" s="1"/>
  <c r="U8" i="6"/>
  <c r="H16" i="6" s="1" a="1"/>
  <c r="H16" i="6" s="1"/>
  <c r="G70" i="6" s="1"/>
  <c r="G17" i="12" s="1"/>
  <c r="U8" i="7"/>
  <c r="H16" i="7" s="1" a="1"/>
  <c r="H16" i="7" s="1"/>
  <c r="G70" i="7" s="1"/>
  <c r="T6" i="7"/>
  <c r="E10" i="7" s="1" a="1"/>
  <c r="E10" i="7" s="1"/>
  <c r="D64" i="7" s="1"/>
  <c r="T6" i="6"/>
  <c r="E10" i="6" s="1" a="1"/>
  <c r="E10" i="6" s="1"/>
  <c r="D64" i="6" s="1"/>
  <c r="D11" i="12" s="1"/>
  <c r="S4" i="7"/>
  <c r="F4" i="7" s="1" a="1"/>
  <c r="F4" i="7" s="1"/>
  <c r="E58" i="7" s="1"/>
  <c r="S4" i="6"/>
  <c r="F4" i="6" s="1" a="1"/>
  <c r="F4" i="6" s="1"/>
  <c r="E58" i="6" s="1"/>
  <c r="E5" i="12" s="1"/>
  <c r="H90" i="6"/>
  <c r="H37" i="12" s="1"/>
  <c r="F25" i="12"/>
  <c r="F9" i="12"/>
  <c r="J93" i="6"/>
  <c r="J40" i="12" s="1"/>
  <c r="R19" i="6"/>
  <c r="G49" i="6" s="1" a="1"/>
  <c r="G49" i="6" s="1"/>
  <c r="F103" i="6" s="1"/>
  <c r="F50" i="12" s="1"/>
  <c r="R15" i="6"/>
  <c r="G37" i="6" s="1" a="1"/>
  <c r="G37" i="6" s="1"/>
  <c r="F91" i="6" s="1"/>
  <c r="I68" i="7"/>
  <c r="D13" i="9" s="1"/>
  <c r="F36" i="12"/>
  <c r="I59" i="7"/>
  <c r="D4" i="9" s="1"/>
  <c r="I104" i="7"/>
  <c r="D49" i="9" s="1"/>
  <c r="H87" i="7"/>
  <c r="H72" i="7"/>
  <c r="I60" i="6"/>
  <c r="I7" i="12" s="1"/>
  <c r="H105" i="6"/>
  <c r="H52" i="12" s="1"/>
  <c r="H104" i="6"/>
  <c r="H51" i="12" s="1"/>
  <c r="H96" i="6"/>
  <c r="H43" i="12" s="1"/>
  <c r="H66" i="6"/>
  <c r="H13" i="12" s="1"/>
  <c r="X30" i="4"/>
  <c r="AA48" i="7" s="1"/>
  <c r="L18" i="7" s="1" a="1"/>
  <c r="L18" i="7" s="1"/>
  <c r="Q7" i="4"/>
  <c r="U7" i="4"/>
  <c r="V48" i="7" s="1"/>
  <c r="I18" i="7" s="1" a="1"/>
  <c r="I18" i="7" s="1"/>
  <c r="T30" i="4"/>
  <c r="AA48" i="6" s="1"/>
  <c r="L18" i="6" s="1" a="1"/>
  <c r="L18" i="6" s="1"/>
  <c r="Y37" i="4"/>
  <c r="AB55" i="7" s="1"/>
  <c r="M39" i="7" s="1" a="1"/>
  <c r="M39" i="7" s="1"/>
  <c r="R14" i="4"/>
  <c r="V14" i="4"/>
  <c r="W55" i="7" s="1"/>
  <c r="J39" i="7" s="1" a="1"/>
  <c r="J39" i="7" s="1"/>
  <c r="H93" i="7" s="1"/>
  <c r="C38" i="9" s="1"/>
  <c r="U37" i="4"/>
  <c r="AB55" i="6" s="1"/>
  <c r="M39" i="6" s="1" a="1"/>
  <c r="M39" i="6" s="1"/>
  <c r="S16" i="4"/>
  <c r="V39" i="4"/>
  <c r="AC57" i="6" s="1"/>
  <c r="N45" i="6" s="1" a="1"/>
  <c r="N45" i="6" s="1"/>
  <c r="X40" i="4"/>
  <c r="AA58" i="7" s="1"/>
  <c r="L48" i="7" s="1" a="1"/>
  <c r="L48" i="7" s="1"/>
  <c r="Q17" i="4"/>
  <c r="U17" i="4"/>
  <c r="V58" i="7" s="1"/>
  <c r="I48" i="7" s="1" a="1"/>
  <c r="I48" i="7" s="1"/>
  <c r="T40" i="4"/>
  <c r="AA58" i="6" s="1"/>
  <c r="L48" i="6" s="1" a="1"/>
  <c r="L48" i="6" s="1"/>
  <c r="W5" i="4"/>
  <c r="X46" i="7" s="1"/>
  <c r="K12" i="7" s="1" a="1"/>
  <c r="K12" i="7" s="1"/>
  <c r="Z28" i="4"/>
  <c r="AC46" i="7" s="1"/>
  <c r="N12" i="7" s="1" a="1"/>
  <c r="N12" i="7" s="1"/>
  <c r="W10" i="4"/>
  <c r="X51" i="7" s="1"/>
  <c r="K27" i="7" s="1" a="1"/>
  <c r="K27" i="7" s="1"/>
  <c r="J81" i="7" s="1"/>
  <c r="E26" i="9" s="1"/>
  <c r="Z33" i="4"/>
  <c r="AC51" i="7" s="1"/>
  <c r="N27" i="7" s="1" a="1"/>
  <c r="N27" i="7" s="1"/>
  <c r="T33" i="4"/>
  <c r="AA51" i="6" s="1"/>
  <c r="L27" i="6" s="1" a="1"/>
  <c r="L27" i="6" s="1"/>
  <c r="V33" i="4"/>
  <c r="AC51" i="6" s="1"/>
  <c r="N27" i="6" s="1" a="1"/>
  <c r="N27" i="6" s="1"/>
  <c r="S10" i="4"/>
  <c r="Y27" i="4"/>
  <c r="AB45" i="7" s="1"/>
  <c r="M9" i="7" s="1" a="1"/>
  <c r="M9" i="7" s="1"/>
  <c r="R4" i="4"/>
  <c r="V4" i="4"/>
  <c r="W45" i="7" s="1"/>
  <c r="J9" i="7" s="1" a="1"/>
  <c r="J9" i="7" s="1"/>
  <c r="H63" i="7" s="1"/>
  <c r="C8" i="9" s="1"/>
  <c r="U27" i="4"/>
  <c r="AB45" i="6" s="1"/>
  <c r="M9" i="6" s="1" a="1"/>
  <c r="M9" i="6" s="1"/>
  <c r="Y31" i="4"/>
  <c r="AB49" i="7" s="1"/>
  <c r="M21" i="7" s="1" a="1"/>
  <c r="M21" i="7" s="1"/>
  <c r="V8" i="4"/>
  <c r="W49" i="7" s="1"/>
  <c r="J21" i="7" s="1" a="1"/>
  <c r="J21" i="7" s="1"/>
  <c r="Y32" i="4"/>
  <c r="AB50" i="7" s="1"/>
  <c r="M24" i="7" s="1" a="1"/>
  <c r="M24" i="7" s="1"/>
  <c r="R9" i="4"/>
  <c r="V9" i="4"/>
  <c r="W50" i="7" s="1"/>
  <c r="J24" i="7" s="1" a="1"/>
  <c r="J24" i="7" s="1"/>
  <c r="H78" i="7" s="1"/>
  <c r="C23" i="9" s="1"/>
  <c r="V5" i="4"/>
  <c r="W46" i="7" s="1"/>
  <c r="J12" i="7" s="1" a="1"/>
  <c r="J12" i="7" s="1"/>
  <c r="H66" i="7" s="1"/>
  <c r="C11" i="9" s="1"/>
  <c r="Y28" i="4"/>
  <c r="AB46" i="7" s="1"/>
  <c r="M12" i="7" s="1" a="1"/>
  <c r="M12" i="7" s="1"/>
  <c r="U35" i="4"/>
  <c r="AB53" i="6" s="1"/>
  <c r="M33" i="6" s="1" a="1"/>
  <c r="M33" i="6" s="1"/>
  <c r="Y40" i="4"/>
  <c r="AB58" i="7" s="1"/>
  <c r="M48" i="7" s="1" a="1"/>
  <c r="M48" i="7" s="1"/>
  <c r="H102" i="7" s="1"/>
  <c r="R17" i="4"/>
  <c r="Z39" i="4"/>
  <c r="AC57" i="7" s="1"/>
  <c r="N45" i="7" s="1" a="1"/>
  <c r="N45" i="7" s="1"/>
  <c r="W16" i="4"/>
  <c r="X57" i="7" s="1"/>
  <c r="K45" i="7" s="1" a="1"/>
  <c r="K45" i="7" s="1"/>
  <c r="V13" i="4"/>
  <c r="W54" i="7" s="1"/>
  <c r="J36" i="7" s="1" a="1"/>
  <c r="J36" i="7" s="1"/>
  <c r="H90" i="7" s="1"/>
  <c r="C35" i="9" s="1"/>
  <c r="Y36" i="4"/>
  <c r="AB54" i="7" s="1"/>
  <c r="M36" i="7" s="1" a="1"/>
  <c r="M36" i="7" s="1"/>
  <c r="Z35" i="4"/>
  <c r="AC53" i="7" s="1"/>
  <c r="N33" i="7" s="1" a="1"/>
  <c r="N33" i="7" s="1"/>
  <c r="X32" i="4"/>
  <c r="AA50" i="7" s="1"/>
  <c r="L24" i="7" s="1" a="1"/>
  <c r="L24" i="7" s="1"/>
  <c r="Q9" i="4"/>
  <c r="U9" i="4"/>
  <c r="V50" i="7" s="1"/>
  <c r="I24" i="7" s="1" a="1"/>
  <c r="I24" i="7" s="1"/>
  <c r="W7" i="4"/>
  <c r="X48" i="7" s="1"/>
  <c r="K18" i="7" s="1" a="1"/>
  <c r="K18" i="7" s="1"/>
  <c r="J72" i="7" s="1"/>
  <c r="E17" i="9" s="1"/>
  <c r="X28" i="4"/>
  <c r="AA46" i="7" s="1"/>
  <c r="L12" i="7" s="1" a="1"/>
  <c r="L12" i="7" s="1"/>
  <c r="Q5" i="4"/>
  <c r="U8" i="4"/>
  <c r="V49" i="7" s="1"/>
  <c r="I21" i="7" s="1" a="1"/>
  <c r="I21" i="7" s="1"/>
  <c r="X31" i="4"/>
  <c r="AA49" i="7" s="1"/>
  <c r="L21" i="7" s="1" a="1"/>
  <c r="L21" i="7" s="1"/>
  <c r="Z27" i="4"/>
  <c r="AC45" i="7" s="1"/>
  <c r="N9" i="7" s="1" a="1"/>
  <c r="N9" i="7" s="1"/>
  <c r="S18" i="4"/>
  <c r="U15" i="4"/>
  <c r="V56" i="7" s="1"/>
  <c r="I42" i="7" s="1" a="1"/>
  <c r="I42" i="7" s="1"/>
  <c r="I96" i="7" s="1"/>
  <c r="D41" i="9" s="1"/>
  <c r="U13" i="4"/>
  <c r="V54" i="7" s="1"/>
  <c r="I36" i="7" s="1" a="1"/>
  <c r="I36" i="7" s="1"/>
  <c r="X36" i="4"/>
  <c r="AA54" i="7" s="1"/>
  <c r="L36" i="7" s="1" a="1"/>
  <c r="L36" i="7" s="1"/>
  <c r="R6" i="4"/>
  <c r="Y29" i="4"/>
  <c r="AB47" i="7" s="1"/>
  <c r="M15" i="7" s="1" a="1"/>
  <c r="M15" i="7" s="1"/>
  <c r="V6" i="4"/>
  <c r="W47" i="7" s="1"/>
  <c r="J15" i="7" s="1" a="1"/>
  <c r="J15" i="7" s="1"/>
  <c r="H69" i="7" s="1"/>
  <c r="C14" i="9" s="1"/>
  <c r="R16" i="4"/>
  <c r="Y39" i="4"/>
  <c r="AB57" i="7" s="1"/>
  <c r="M45" i="7" s="1" a="1"/>
  <c r="M45" i="7" s="1"/>
  <c r="V16" i="4"/>
  <c r="W57" i="7" s="1"/>
  <c r="J45" i="7" s="1" a="1"/>
  <c r="J45" i="7" s="1"/>
  <c r="W15" i="4"/>
  <c r="X56" i="7" s="1"/>
  <c r="K42" i="7" s="1" a="1"/>
  <c r="K42" i="7" s="1"/>
  <c r="J96" i="7" s="1"/>
  <c r="E41" i="9" s="1"/>
  <c r="Z38" i="4"/>
  <c r="AC56" i="7" s="1"/>
  <c r="N42" i="7" s="1" a="1"/>
  <c r="N42" i="7" s="1"/>
  <c r="Z34" i="4"/>
  <c r="AC52" i="7" s="1"/>
  <c r="N30" i="7" s="1" a="1"/>
  <c r="N30" i="7" s="1"/>
  <c r="W11" i="4"/>
  <c r="X52" i="7" s="1"/>
  <c r="K30" i="7" s="1" a="1"/>
  <c r="K30" i="7" s="1"/>
  <c r="X35" i="4"/>
  <c r="AA53" i="7" s="1"/>
  <c r="L33" i="7" s="1" a="1"/>
  <c r="L33" i="7" s="1"/>
  <c r="Q12" i="4"/>
  <c r="S15" i="4"/>
  <c r="W13" i="4"/>
  <c r="X54" i="7" s="1"/>
  <c r="K36" i="7" s="1" a="1"/>
  <c r="K36" i="7" s="1"/>
  <c r="J90" i="7" s="1"/>
  <c r="E35" i="9" s="1"/>
  <c r="Z36" i="4"/>
  <c r="AC54" i="7" s="1"/>
  <c r="N36" i="7" s="1" a="1"/>
  <c r="N36" i="7" s="1"/>
  <c r="S11" i="4"/>
  <c r="V10" i="4"/>
  <c r="W51" i="7" s="1"/>
  <c r="J27" i="7" s="1" a="1"/>
  <c r="J27" i="7" s="1"/>
  <c r="H81" i="7" s="1"/>
  <c r="Y33" i="4"/>
  <c r="AB51" i="7" s="1"/>
  <c r="M27" i="7" s="1" a="1"/>
  <c r="M27" i="7" s="1"/>
  <c r="Z32" i="4"/>
  <c r="AC50" i="7" s="1"/>
  <c r="N24" i="7" s="1" a="1"/>
  <c r="N24" i="7" s="1"/>
  <c r="S3" i="4"/>
  <c r="V26" i="4"/>
  <c r="AC44" i="6" s="1"/>
  <c r="N6" i="6" s="1" a="1"/>
  <c r="N6" i="6" s="1"/>
  <c r="X27" i="4"/>
  <c r="AA45" i="7" s="1"/>
  <c r="L9" i="7" s="1" a="1"/>
  <c r="L9" i="7" s="1"/>
  <c r="Q4" i="4"/>
  <c r="U4" i="4"/>
  <c r="V45" i="7" s="1"/>
  <c r="I9" i="7" s="1" a="1"/>
  <c r="I9" i="7" s="1"/>
  <c r="I63" i="7" s="1"/>
  <c r="D8" i="9" s="1"/>
  <c r="T31" i="4"/>
  <c r="AA49" i="6" s="1"/>
  <c r="L21" i="6" s="1" a="1"/>
  <c r="L21" i="6" s="1"/>
  <c r="Q16" i="4"/>
  <c r="X39" i="4"/>
  <c r="AA57" i="7" s="1"/>
  <c r="L45" i="7" s="1" a="1"/>
  <c r="L45" i="7" s="1"/>
  <c r="U16" i="4"/>
  <c r="V57" i="7" s="1"/>
  <c r="I45" i="7" s="1" a="1"/>
  <c r="I45" i="7" s="1"/>
  <c r="V29" i="4"/>
  <c r="AC47" i="6" s="1"/>
  <c r="N15" i="6" s="1" a="1"/>
  <c r="N15" i="6" s="1"/>
  <c r="S6" i="4"/>
  <c r="T39" i="4"/>
  <c r="AA57" i="6" s="1"/>
  <c r="L45" i="6" s="1" a="1"/>
  <c r="L45" i="6" s="1"/>
  <c r="V38" i="4"/>
  <c r="AC56" i="6" s="1"/>
  <c r="N42" i="6" s="1" a="1"/>
  <c r="N42" i="6" s="1"/>
  <c r="U28" i="4"/>
  <c r="AB46" i="6" s="1"/>
  <c r="M12" i="6" s="1" a="1"/>
  <c r="M12" i="6" s="1"/>
  <c r="Y41" i="4"/>
  <c r="AB59" i="7" s="1"/>
  <c r="M51" i="7" s="1" a="1"/>
  <c r="M51" i="7" s="1"/>
  <c r="V18" i="4"/>
  <c r="W59" i="7" s="1"/>
  <c r="J51" i="7" s="1" a="1"/>
  <c r="J51" i="7" s="1"/>
  <c r="H105" i="7" s="1"/>
  <c r="Z40" i="4"/>
  <c r="AC58" i="7" s="1"/>
  <c r="N48" i="7" s="1" a="1"/>
  <c r="N48" i="7" s="1"/>
  <c r="X37" i="4"/>
  <c r="AA55" i="7" s="1"/>
  <c r="L39" i="7" s="1" a="1"/>
  <c r="L39" i="7" s="1"/>
  <c r="Q14" i="4"/>
  <c r="U14" i="4"/>
  <c r="V55" i="7" s="1"/>
  <c r="I39" i="7" s="1" a="1"/>
  <c r="I39" i="7" s="1"/>
  <c r="W12" i="4"/>
  <c r="X53" i="7" s="1"/>
  <c r="K33" i="7" s="1" a="1"/>
  <c r="K33" i="7" s="1"/>
  <c r="J87" i="7" s="1"/>
  <c r="E32" i="9" s="1"/>
  <c r="X33" i="4"/>
  <c r="AA51" i="7" s="1"/>
  <c r="L27" i="7" s="1" a="1"/>
  <c r="L27" i="7" s="1"/>
  <c r="I81" i="7" s="1"/>
  <c r="D26" i="9" s="1"/>
  <c r="Q10" i="4"/>
  <c r="R8" i="4"/>
  <c r="V30" i="4"/>
  <c r="AC48" i="6" s="1"/>
  <c r="N18" i="6" s="1" a="1"/>
  <c r="N18" i="6" s="1"/>
  <c r="S7" i="4"/>
  <c r="Q6" i="4"/>
  <c r="X29" i="4"/>
  <c r="AA47" i="7" s="1"/>
  <c r="L15" i="7" s="1" a="1"/>
  <c r="L15" i="7" s="1"/>
  <c r="U6" i="4"/>
  <c r="V47" i="7" s="1"/>
  <c r="I15" i="7" s="1" a="1"/>
  <c r="I15" i="7" s="1"/>
  <c r="W4" i="4"/>
  <c r="X45" i="7" s="1"/>
  <c r="K9" i="7" s="1" a="1"/>
  <c r="K9" i="7" s="1"/>
  <c r="J63" i="7" s="1"/>
  <c r="E8" i="9" s="1"/>
  <c r="U31" i="4"/>
  <c r="AB49" i="6" s="1"/>
  <c r="M21" i="6" s="1" a="1"/>
  <c r="M21" i="6" s="1"/>
  <c r="V28" i="4"/>
  <c r="AC46" i="6" s="1"/>
  <c r="N12" i="6" s="1" a="1"/>
  <c r="N12" i="6" s="1"/>
  <c r="W8" i="4"/>
  <c r="X49" i="7" s="1"/>
  <c r="K21" i="7" s="1" a="1"/>
  <c r="K21" i="7" s="1"/>
  <c r="Z31" i="4"/>
  <c r="AC49" i="7" s="1"/>
  <c r="N21" i="7" s="1" a="1"/>
  <c r="N21" i="7" s="1"/>
  <c r="U33" i="4"/>
  <c r="AB51" i="6" s="1"/>
  <c r="M27" i="6" s="1" a="1"/>
  <c r="M27" i="6" s="1"/>
  <c r="T28" i="4"/>
  <c r="AA46" i="6" s="1"/>
  <c r="L12" i="6" s="1" a="1"/>
  <c r="L12" i="6" s="1"/>
  <c r="U18" i="4"/>
  <c r="V59" i="7" s="1"/>
  <c r="I51" i="7" s="1" a="1"/>
  <c r="I51" i="7" s="1"/>
  <c r="X41" i="4"/>
  <c r="AA59" i="7" s="1"/>
  <c r="L51" i="7" s="1" a="1"/>
  <c r="L51" i="7" s="1"/>
  <c r="R11" i="4"/>
  <c r="Y34" i="4"/>
  <c r="AB52" i="7" s="1"/>
  <c r="M30" i="7" s="1" a="1"/>
  <c r="M30" i="7" s="1"/>
  <c r="V11" i="4"/>
  <c r="W52" i="7" s="1"/>
  <c r="J30" i="7" s="1" a="1"/>
  <c r="J30" i="7" s="1"/>
  <c r="H84" i="7" s="1"/>
  <c r="Q8" i="4"/>
  <c r="Y30" i="4"/>
  <c r="AB48" i="7" s="1"/>
  <c r="M18" i="7" s="1" a="1"/>
  <c r="M18" i="7" s="1"/>
  <c r="R7" i="4"/>
  <c r="Z29" i="4"/>
  <c r="AC47" i="7" s="1"/>
  <c r="N15" i="7" s="1" a="1"/>
  <c r="N15" i="7" s="1"/>
  <c r="W6" i="4"/>
  <c r="X47" i="7" s="1"/>
  <c r="K15" i="7" s="1" a="1"/>
  <c r="K15" i="7" s="1"/>
  <c r="V27" i="4"/>
  <c r="AC45" i="6" s="1"/>
  <c r="N9" i="6" s="1" a="1"/>
  <c r="N9" i="6" s="1"/>
  <c r="S4" i="4"/>
  <c r="V3" i="4"/>
  <c r="W44" i="7" s="1"/>
  <c r="J6" i="7" s="1" a="1"/>
  <c r="J6" i="7" s="1"/>
  <c r="H60" i="7" s="1"/>
  <c r="C5" i="9" s="1"/>
  <c r="Y26" i="4"/>
  <c r="AB44" i="7" s="1"/>
  <c r="M6" i="7" s="1" a="1"/>
  <c r="M6" i="7" s="1"/>
  <c r="Y35" i="4"/>
  <c r="AB53" i="7" s="1"/>
  <c r="M33" i="7" s="1" a="1"/>
  <c r="M33" i="7" s="1"/>
  <c r="R12" i="4"/>
  <c r="U39" i="4"/>
  <c r="AB57" i="6" s="1"/>
  <c r="M45" i="6" s="1" a="1"/>
  <c r="M45" i="6" s="1"/>
  <c r="V32" i="4"/>
  <c r="AC50" i="6" s="1"/>
  <c r="N24" i="6" s="1" a="1"/>
  <c r="N24" i="6" s="1"/>
  <c r="J78" i="6" s="1"/>
  <c r="J25" i="12" s="1"/>
  <c r="W18" i="4"/>
  <c r="X59" i="7" s="1"/>
  <c r="K51" i="7" s="1" a="1"/>
  <c r="K51" i="7" s="1"/>
  <c r="J105" i="7" s="1"/>
  <c r="E50" i="9" s="1"/>
  <c r="Z41" i="4"/>
  <c r="AC59" i="7" s="1"/>
  <c r="N51" i="7" s="1" a="1"/>
  <c r="N51" i="7" s="1"/>
  <c r="V15" i="4"/>
  <c r="W56" i="7" s="1"/>
  <c r="J42" i="7" s="1" a="1"/>
  <c r="J42" i="7" s="1"/>
  <c r="H96" i="7" s="1"/>
  <c r="Y38" i="4"/>
  <c r="AB56" i="7" s="1"/>
  <c r="M42" i="7" s="1" a="1"/>
  <c r="M42" i="7" s="1"/>
  <c r="Z37" i="4"/>
  <c r="AC55" i="7" s="1"/>
  <c r="N39" i="7" s="1" a="1"/>
  <c r="N39" i="7" s="1"/>
  <c r="J93" i="7" s="1"/>
  <c r="U12" i="4"/>
  <c r="V53" i="7" s="1"/>
  <c r="I33" i="7" s="1" a="1"/>
  <c r="I33" i="7" s="1"/>
  <c r="I87" i="7" s="1"/>
  <c r="D32" i="9" s="1"/>
  <c r="S8" i="4"/>
  <c r="U5" i="4"/>
  <c r="V46" i="7" s="1"/>
  <c r="I12" i="7" s="1" a="1"/>
  <c r="I12" i="7" s="1"/>
  <c r="I66" i="7" s="1"/>
  <c r="D11" i="9" s="1"/>
  <c r="U3" i="4"/>
  <c r="V44" i="7" s="1"/>
  <c r="I6" i="7" s="1" a="1"/>
  <c r="I6" i="7" s="1"/>
  <c r="I60" i="7" s="1"/>
  <c r="X26" i="4"/>
  <c r="AA44" i="7" s="1"/>
  <c r="L6" i="7" s="1" a="1"/>
  <c r="L6" i="7" s="1"/>
  <c r="U32" i="4"/>
  <c r="AB50" i="6" s="1"/>
  <c r="M24" i="6" s="1" a="1"/>
  <c r="M24" i="6" s="1"/>
  <c r="T27" i="4"/>
  <c r="AA45" i="6" s="1"/>
  <c r="L9" i="6" s="1" a="1"/>
  <c r="L9" i="6" s="1"/>
  <c r="W17" i="4"/>
  <c r="X58" i="7" s="1"/>
  <c r="K48" i="7" s="1" a="1"/>
  <c r="K48" i="7" s="1"/>
  <c r="J102" i="7" s="1"/>
  <c r="E47" i="9" s="1"/>
  <c r="X38" i="4"/>
  <c r="AA56" i="7" s="1"/>
  <c r="L42" i="7" s="1" a="1"/>
  <c r="L42" i="7" s="1"/>
  <c r="Q15" i="4"/>
  <c r="Q11" i="4"/>
  <c r="X34" i="4"/>
  <c r="AA52" i="7" s="1"/>
  <c r="L30" i="7" s="1" a="1"/>
  <c r="L30" i="7" s="1"/>
  <c r="U11" i="4"/>
  <c r="V52" i="7" s="1"/>
  <c r="I30" i="7" s="1" a="1"/>
  <c r="I30" i="7" s="1"/>
  <c r="I84" i="7" s="1"/>
  <c r="D29" i="9" s="1"/>
  <c r="W9" i="4"/>
  <c r="X50" i="7" s="1"/>
  <c r="K24" i="7" s="1" a="1"/>
  <c r="K24" i="7" s="1"/>
  <c r="S5" i="4"/>
  <c r="W3" i="4"/>
  <c r="X44" i="7" s="1"/>
  <c r="K6" i="7" s="1" a="1"/>
  <c r="K6" i="7" s="1"/>
  <c r="J60" i="7" s="1"/>
  <c r="E5" i="9" s="1"/>
  <c r="Z26" i="4"/>
  <c r="AC44" i="7" s="1"/>
  <c r="N6" i="7" s="1" a="1"/>
  <c r="N6" i="7" s="1"/>
  <c r="W8" i="3"/>
  <c r="X29" i="7" s="1"/>
  <c r="K20" i="7" s="1" a="1"/>
  <c r="K20" i="7" s="1"/>
  <c r="Z31" i="3"/>
  <c r="AC29" i="7" s="1"/>
  <c r="N20" i="7" s="1" a="1"/>
  <c r="N20" i="7" s="1"/>
  <c r="T31" i="3"/>
  <c r="AA29" i="6" s="1"/>
  <c r="L20" i="6" s="1" a="1"/>
  <c r="L20" i="6" s="1"/>
  <c r="T29" i="3"/>
  <c r="AA27" i="6" s="1"/>
  <c r="L14" i="6" s="1" a="1"/>
  <c r="L14" i="6" s="1"/>
  <c r="U29" i="3"/>
  <c r="AB27" i="6" s="1"/>
  <c r="M14" i="6" s="1" a="1"/>
  <c r="M14" i="6" s="1"/>
  <c r="V29" i="3"/>
  <c r="AC27" i="6" s="1"/>
  <c r="N14" i="6" s="1" a="1"/>
  <c r="N14" i="6" s="1"/>
  <c r="W13" i="3"/>
  <c r="X34" i="7" s="1"/>
  <c r="K35" i="7" s="1" a="1"/>
  <c r="K35" i="7" s="1"/>
  <c r="Z36" i="3"/>
  <c r="AC34" i="7" s="1"/>
  <c r="N35" i="7" s="1" a="1"/>
  <c r="N35" i="7" s="1"/>
  <c r="T36" i="3"/>
  <c r="AA34" i="6" s="1"/>
  <c r="L35" i="6" s="1" a="1"/>
  <c r="L35" i="6" s="1"/>
  <c r="V36" i="3"/>
  <c r="AC34" i="6" s="1"/>
  <c r="N35" i="6" s="1" a="1"/>
  <c r="N35" i="6" s="1"/>
  <c r="S13" i="3"/>
  <c r="U33" i="3"/>
  <c r="AB31" i="6" s="1"/>
  <c r="M26" i="6" s="1" a="1"/>
  <c r="M26" i="6" s="1"/>
  <c r="V33" i="3"/>
  <c r="AC31" i="6" s="1"/>
  <c r="N26" i="6" s="1" a="1"/>
  <c r="N26" i="6" s="1"/>
  <c r="U26" i="3"/>
  <c r="AB24" i="6" s="1"/>
  <c r="M5" i="6" s="1" a="1"/>
  <c r="M5" i="6" s="1"/>
  <c r="V26" i="3"/>
  <c r="AC24" i="6" s="1"/>
  <c r="N5" i="6" s="1" a="1"/>
  <c r="N5" i="6" s="1"/>
  <c r="V37" i="3"/>
  <c r="AC35" i="6" s="1"/>
  <c r="N38" i="6" s="1" a="1"/>
  <c r="N38" i="6" s="1"/>
  <c r="T37" i="3"/>
  <c r="AA35" i="6" s="1"/>
  <c r="L38" i="6" s="1" a="1"/>
  <c r="L38" i="6" s="1"/>
  <c r="U39" i="3"/>
  <c r="AB37" i="6" s="1"/>
  <c r="M44" i="6" s="1" a="1"/>
  <c r="M44" i="6" s="1"/>
  <c r="T39" i="3"/>
  <c r="AA37" i="6" s="1"/>
  <c r="L44" i="6" s="1" a="1"/>
  <c r="L44" i="6" s="1"/>
  <c r="R17" i="3"/>
  <c r="V17" i="3"/>
  <c r="W38" i="7" s="1"/>
  <c r="J47" i="7" s="1" a="1"/>
  <c r="J47" i="7" s="1"/>
  <c r="U40" i="3"/>
  <c r="AB38" i="6" s="1"/>
  <c r="M47" i="6" s="1" a="1"/>
  <c r="M47" i="6" s="1"/>
  <c r="Y40" i="3"/>
  <c r="AB38" i="7" s="1"/>
  <c r="M47" i="7" s="1" a="1"/>
  <c r="M47" i="7" s="1"/>
  <c r="V32" i="3"/>
  <c r="AC30" i="6" s="1"/>
  <c r="N23" i="6" s="1" a="1"/>
  <c r="N23" i="6" s="1"/>
  <c r="T32" i="3"/>
  <c r="AA30" i="6" s="1"/>
  <c r="L23" i="6" s="1" a="1"/>
  <c r="L23" i="6" s="1"/>
  <c r="W18" i="3"/>
  <c r="X39" i="7" s="1"/>
  <c r="K50" i="7" s="1" a="1"/>
  <c r="K50" i="7" s="1"/>
  <c r="Z41" i="3"/>
  <c r="AC39" i="7" s="1"/>
  <c r="N50" i="7" s="1" a="1"/>
  <c r="N50" i="7" s="1"/>
  <c r="T41" i="3"/>
  <c r="AA39" i="6" s="1"/>
  <c r="L50" i="6" s="1" a="1"/>
  <c r="L50" i="6" s="1"/>
  <c r="V41" i="3"/>
  <c r="AC39" i="6" s="1"/>
  <c r="N50" i="6" s="1" a="1"/>
  <c r="N50" i="6" s="1"/>
  <c r="S18" i="3"/>
  <c r="S8" i="3"/>
  <c r="R7" i="3"/>
  <c r="V7" i="3"/>
  <c r="W28" i="7" s="1"/>
  <c r="J17" i="7" s="1" a="1"/>
  <c r="J17" i="7" s="1"/>
  <c r="H71" i="7" s="1"/>
  <c r="C16" i="9" s="1"/>
  <c r="U30" i="3"/>
  <c r="AB28" i="6" s="1"/>
  <c r="M17" i="6" s="1" a="1"/>
  <c r="M17" i="6" s="1"/>
  <c r="Y30" i="3"/>
  <c r="AB28" i="7" s="1"/>
  <c r="M17" i="7" s="1" a="1"/>
  <c r="M17" i="7" s="1"/>
  <c r="Q10" i="3"/>
  <c r="T33" i="3"/>
  <c r="AA31" i="6" s="1"/>
  <c r="L26" i="6" s="1" a="1"/>
  <c r="L26" i="6" s="1"/>
  <c r="X33" i="3"/>
  <c r="AA31" i="7" s="1"/>
  <c r="L26" i="7" s="1" a="1"/>
  <c r="L26" i="7" s="1"/>
  <c r="U10" i="3"/>
  <c r="V31" i="7" s="1"/>
  <c r="I26" i="7" s="1" a="1"/>
  <c r="I26" i="7" s="1"/>
  <c r="T27" i="3"/>
  <c r="AA25" i="6" s="1"/>
  <c r="L8" i="6" s="1" a="1"/>
  <c r="L8" i="6" s="1"/>
  <c r="V8" i="3"/>
  <c r="W29" i="7" s="1"/>
  <c r="J20" i="7" s="1" a="1"/>
  <c r="J20" i="7" s="1"/>
  <c r="X39" i="3"/>
  <c r="AA37" i="7" s="1"/>
  <c r="L44" i="7" s="1" a="1"/>
  <c r="L44" i="7" s="1"/>
  <c r="X34" i="3"/>
  <c r="AA32" i="7" s="1"/>
  <c r="L29" i="7" s="1" a="1"/>
  <c r="L29" i="7" s="1"/>
  <c r="Y31" i="3"/>
  <c r="AB29" i="7" s="1"/>
  <c r="M20" i="7" s="1" a="1"/>
  <c r="M20" i="7" s="1"/>
  <c r="V16" i="3"/>
  <c r="W37" i="7" s="1"/>
  <c r="J44" i="7" s="1" a="1"/>
  <c r="J44" i="7" s="1"/>
  <c r="Z38" i="3"/>
  <c r="AC36" i="7" s="1"/>
  <c r="N41" i="7" s="1" a="1"/>
  <c r="N41" i="7" s="1"/>
  <c r="J95" i="7" s="1"/>
  <c r="R13" i="3"/>
  <c r="Q12" i="3"/>
  <c r="U12" i="3"/>
  <c r="V33" i="7" s="1"/>
  <c r="I32" i="7" s="1" a="1"/>
  <c r="I32" i="7" s="1"/>
  <c r="I86" i="7" s="1"/>
  <c r="D31" i="9" s="1"/>
  <c r="Q8" i="3"/>
  <c r="R6" i="3"/>
  <c r="V5" i="3"/>
  <c r="W26" i="7" s="1"/>
  <c r="J11" i="7" s="1" a="1"/>
  <c r="J11" i="7" s="1"/>
  <c r="H65" i="7" s="1"/>
  <c r="C10" i="9" s="1"/>
  <c r="R5" i="3"/>
  <c r="Z27" i="3"/>
  <c r="AC25" i="7" s="1"/>
  <c r="N8" i="7" s="1" a="1"/>
  <c r="N8" i="7" s="1"/>
  <c r="W4" i="3"/>
  <c r="X25" i="7" s="1"/>
  <c r="K8" i="7" s="1" a="1"/>
  <c r="K8" i="7" s="1"/>
  <c r="V39" i="3"/>
  <c r="AC37" i="6" s="1"/>
  <c r="N44" i="6" s="1" a="1"/>
  <c r="N44" i="6" s="1"/>
  <c r="X31" i="3"/>
  <c r="AA29" i="7" s="1"/>
  <c r="L20" i="7" s="1" a="1"/>
  <c r="L20" i="7" s="1"/>
  <c r="Y28" i="3"/>
  <c r="AB26" i="7" s="1"/>
  <c r="M11" i="7" s="1" a="1"/>
  <c r="M11" i="7" s="1"/>
  <c r="U16" i="3"/>
  <c r="V37" i="7" s="1"/>
  <c r="I44" i="7" s="1" a="1"/>
  <c r="I44" i="7" s="1"/>
  <c r="V10" i="3"/>
  <c r="W31" i="7" s="1"/>
  <c r="J26" i="7" s="1" a="1"/>
  <c r="J26" i="7" s="1"/>
  <c r="H80" i="7" s="1"/>
  <c r="C25" i="9" s="1"/>
  <c r="R9" i="3"/>
  <c r="V9" i="3"/>
  <c r="W30" i="7" s="1"/>
  <c r="J23" i="7" s="1" a="1"/>
  <c r="J23" i="7" s="1"/>
  <c r="H77" i="7" s="1"/>
  <c r="C22" i="9" s="1"/>
  <c r="Q6" i="3"/>
  <c r="Q5" i="3"/>
  <c r="V31" i="3"/>
  <c r="AC29" i="6" s="1"/>
  <c r="N20" i="6" s="1" a="1"/>
  <c r="N20" i="6" s="1"/>
  <c r="Z39" i="3"/>
  <c r="AC37" i="7" s="1"/>
  <c r="N44" i="7" s="1" a="1"/>
  <c r="N44" i="7" s="1"/>
  <c r="W16" i="3"/>
  <c r="X37" i="7" s="1"/>
  <c r="K44" i="7" s="1" a="1"/>
  <c r="K44" i="7" s="1"/>
  <c r="Z35" i="3"/>
  <c r="AC33" i="7" s="1"/>
  <c r="N32" i="7" s="1" a="1"/>
  <c r="N32" i="7" s="1"/>
  <c r="R3" i="3"/>
  <c r="Z30" i="3"/>
  <c r="AC28" i="7" s="1"/>
  <c r="N17" i="7" s="1" a="1"/>
  <c r="N17" i="7" s="1"/>
  <c r="X28" i="3"/>
  <c r="AA26" i="7" s="1"/>
  <c r="L11" i="7" s="1" a="1"/>
  <c r="L11" i="7" s="1"/>
  <c r="I65" i="7" s="1"/>
  <c r="D10" i="9" s="1"/>
  <c r="T34" i="3"/>
  <c r="AA32" i="6" s="1"/>
  <c r="L29" i="6" s="1" a="1"/>
  <c r="L29" i="6" s="1"/>
  <c r="U31" i="3"/>
  <c r="AB29" i="6" s="1"/>
  <c r="M20" i="6" s="1" a="1"/>
  <c r="M20" i="6" s="1"/>
  <c r="V28" i="3"/>
  <c r="AC26" i="6" s="1"/>
  <c r="N11" i="6" s="1" a="1"/>
  <c r="N11" i="6" s="1"/>
  <c r="Q17" i="3"/>
  <c r="U17" i="3"/>
  <c r="V38" i="7" s="1"/>
  <c r="I47" i="7" s="1" a="1"/>
  <c r="I47" i="7" s="1"/>
  <c r="I101" i="7" s="1"/>
  <c r="D46" i="9" s="1"/>
  <c r="Q13" i="3"/>
  <c r="Q9" i="3"/>
  <c r="U9" i="3"/>
  <c r="V30" i="7" s="1"/>
  <c r="I23" i="7" s="1" a="1"/>
  <c r="I23" i="7" s="1"/>
  <c r="W7" i="3"/>
  <c r="X28" i="7" s="1"/>
  <c r="K17" i="7" s="1" a="1"/>
  <c r="K17" i="7" s="1"/>
  <c r="J71" i="7" s="1"/>
  <c r="Z28" i="3"/>
  <c r="AC26" i="7" s="1"/>
  <c r="N11" i="7" s="1" a="1"/>
  <c r="N11" i="7" s="1"/>
  <c r="R12" i="3"/>
  <c r="V12" i="3"/>
  <c r="W33" i="7" s="1"/>
  <c r="J32" i="7" s="1" a="1"/>
  <c r="J32" i="7" s="1"/>
  <c r="H86" i="7" s="1"/>
  <c r="C31" i="9" s="1"/>
  <c r="U28" i="3"/>
  <c r="AB26" i="6" s="1"/>
  <c r="M11" i="6" s="1" a="1"/>
  <c r="M11" i="6" s="1"/>
  <c r="R14" i="3"/>
  <c r="V14" i="3"/>
  <c r="W35" i="7" s="1"/>
  <c r="J38" i="7" s="1" a="1"/>
  <c r="J38" i="7" s="1"/>
  <c r="H92" i="7" s="1"/>
  <c r="C37" i="9" s="1"/>
  <c r="Q11" i="3"/>
  <c r="Z32" i="3"/>
  <c r="AC30" i="7" s="1"/>
  <c r="N23" i="7" s="1" a="1"/>
  <c r="N23" i="7" s="1"/>
  <c r="W9" i="3"/>
  <c r="X30" i="7" s="1"/>
  <c r="K23" i="7" s="1" a="1"/>
  <c r="K23" i="7" s="1"/>
  <c r="J77" i="7" s="1"/>
  <c r="E22" i="9" s="1"/>
  <c r="S7" i="3"/>
  <c r="Z34" i="3"/>
  <c r="AC32" i="7" s="1"/>
  <c r="N29" i="7" s="1" a="1"/>
  <c r="N29" i="7" s="1"/>
  <c r="W11" i="3"/>
  <c r="X32" i="7" s="1"/>
  <c r="K29" i="7" s="1" a="1"/>
  <c r="K29" i="7" s="1"/>
  <c r="X38" i="3"/>
  <c r="AA36" i="7" s="1"/>
  <c r="L41" i="7" s="1" a="1"/>
  <c r="L41" i="7" s="1"/>
  <c r="Y35" i="3"/>
  <c r="AB33" i="7" s="1"/>
  <c r="M32" i="7" s="1" a="1"/>
  <c r="M32" i="7" s="1"/>
  <c r="V30" i="3"/>
  <c r="AC28" i="6" s="1"/>
  <c r="N17" i="6" s="1" a="1"/>
  <c r="N17" i="6" s="1"/>
  <c r="Z40" i="3"/>
  <c r="AC38" i="7" s="1"/>
  <c r="N47" i="7" s="1" a="1"/>
  <c r="N47" i="7" s="1"/>
  <c r="J101" i="7" s="1"/>
  <c r="E46" i="9" s="1"/>
  <c r="U15" i="3"/>
  <c r="V36" i="7" s="1"/>
  <c r="I41" i="7" s="1" a="1"/>
  <c r="I41" i="7" s="1"/>
  <c r="S11" i="3"/>
  <c r="U8" i="3"/>
  <c r="V29" i="7" s="1"/>
  <c r="I20" i="7" s="1" a="1"/>
  <c r="I20" i="7" s="1"/>
  <c r="S4" i="3"/>
  <c r="Q3" i="3"/>
  <c r="T26" i="3"/>
  <c r="AA24" i="6" s="1"/>
  <c r="L5" i="6" s="1" a="1"/>
  <c r="L5" i="6" s="1"/>
  <c r="Q18" i="3"/>
  <c r="R16" i="3"/>
  <c r="S15" i="3"/>
  <c r="Q14" i="3"/>
  <c r="U14" i="3"/>
  <c r="V35" i="7" s="1"/>
  <c r="I38" i="7" s="1" a="1"/>
  <c r="I38" i="7" s="1"/>
  <c r="I92" i="7" s="1"/>
  <c r="D37" i="9" s="1"/>
  <c r="W12" i="3"/>
  <c r="X33" i="7" s="1"/>
  <c r="K32" i="7" s="1" a="1"/>
  <c r="K32" i="7" s="1"/>
  <c r="J86" i="7" s="1"/>
  <c r="Z29" i="3"/>
  <c r="AC27" i="7" s="1"/>
  <c r="N14" i="7" s="1" a="1"/>
  <c r="N14" i="7" s="1"/>
  <c r="W6" i="3"/>
  <c r="X27" i="7" s="1"/>
  <c r="K14" i="7" s="1" a="1"/>
  <c r="K14" i="7" s="1"/>
  <c r="W3" i="3"/>
  <c r="X24" i="7" s="1"/>
  <c r="K5" i="7" s="1" a="1"/>
  <c r="K5" i="7" s="1"/>
  <c r="Y39" i="3"/>
  <c r="AB37" i="7" s="1"/>
  <c r="M44" i="7" s="1" a="1"/>
  <c r="M44" i="7" s="1"/>
  <c r="Q4" i="3"/>
  <c r="U4" i="3"/>
  <c r="V25" i="7" s="1"/>
  <c r="I8" i="7" s="1" a="1"/>
  <c r="I8" i="7" s="1"/>
  <c r="I62" i="7" s="1"/>
  <c r="D7" i="9" s="1"/>
  <c r="V40" i="3"/>
  <c r="AC38" i="6" s="1"/>
  <c r="N47" i="6" s="1" a="1"/>
  <c r="N47" i="6" s="1"/>
  <c r="T38" i="3"/>
  <c r="AA36" i="6" s="1"/>
  <c r="L41" i="6" s="1" a="1"/>
  <c r="L41" i="6" s="1"/>
  <c r="V35" i="3"/>
  <c r="AC33" i="6" s="1"/>
  <c r="N32" i="6" s="1" a="1"/>
  <c r="N32" i="6" s="1"/>
  <c r="Y32" i="3"/>
  <c r="AB30" i="7" s="1"/>
  <c r="M23" i="7" s="1" a="1"/>
  <c r="M23" i="7" s="1"/>
  <c r="T30" i="3"/>
  <c r="AA28" i="6" s="1"/>
  <c r="L17" i="6" s="1" a="1"/>
  <c r="L17" i="6" s="1"/>
  <c r="Y29" i="3"/>
  <c r="AB27" i="7" s="1"/>
  <c r="M14" i="7" s="1" a="1"/>
  <c r="M14" i="7" s="1"/>
  <c r="H68" i="7" s="1"/>
  <c r="C13" i="9" s="1"/>
  <c r="V27" i="3"/>
  <c r="AC25" i="6" s="1"/>
  <c r="N8" i="6" s="1" a="1"/>
  <c r="N8" i="6" s="1"/>
  <c r="Q16" i="3"/>
  <c r="Z37" i="3"/>
  <c r="AC35" i="7" s="1"/>
  <c r="N38" i="7" s="1" a="1"/>
  <c r="N38" i="7" s="1"/>
  <c r="W14" i="3"/>
  <c r="X35" i="7" s="1"/>
  <c r="K38" i="7" s="1" a="1"/>
  <c r="K38" i="7" s="1"/>
  <c r="S12" i="3"/>
  <c r="Z33" i="3"/>
  <c r="AC31" i="7" s="1"/>
  <c r="N26" i="7" s="1" a="1"/>
  <c r="N26" i="7" s="1"/>
  <c r="J80" i="7" s="1"/>
  <c r="R8" i="3"/>
  <c r="Q7" i="3"/>
  <c r="U7" i="3"/>
  <c r="V28" i="7" s="1"/>
  <c r="I17" i="7" s="1" a="1"/>
  <c r="I17" i="7" s="1"/>
  <c r="I71" i="7" s="1"/>
  <c r="D16" i="9" s="1"/>
  <c r="W5" i="3"/>
  <c r="X26" i="7" s="1"/>
  <c r="K11" i="7" s="1" a="1"/>
  <c r="K11" i="7" s="1"/>
  <c r="R4" i="3"/>
  <c r="V4" i="3"/>
  <c r="W25" i="7" s="1"/>
  <c r="J8" i="7" s="1" a="1"/>
  <c r="J8" i="7" s="1"/>
  <c r="H62" i="7" s="1"/>
  <c r="C7" i="9" s="1"/>
  <c r="Z26" i="3"/>
  <c r="AC24" i="7" s="1"/>
  <c r="N5" i="7" s="1" a="1"/>
  <c r="N5" i="7" s="1"/>
  <c r="X40" i="2"/>
  <c r="AA18" i="7" s="1"/>
  <c r="L46" i="7" s="1" a="1"/>
  <c r="L46" i="7" s="1"/>
  <c r="Q17" i="2"/>
  <c r="U17" i="2"/>
  <c r="V18" i="7" s="1"/>
  <c r="I46" i="7" s="1" a="1"/>
  <c r="I46" i="7" s="1"/>
  <c r="T40" i="2"/>
  <c r="AA18" i="6" s="1"/>
  <c r="L46" i="6" s="1" a="1"/>
  <c r="L46" i="6" s="1"/>
  <c r="S14" i="2"/>
  <c r="V37" i="2"/>
  <c r="AC15" i="6" s="1"/>
  <c r="N37" i="6" s="1" a="1"/>
  <c r="N37" i="6" s="1"/>
  <c r="X35" i="2"/>
  <c r="AA13" i="7" s="1"/>
  <c r="L31" i="7" s="1" a="1"/>
  <c r="L31" i="7" s="1"/>
  <c r="Q12" i="2"/>
  <c r="U12" i="2"/>
  <c r="V13" i="7" s="1"/>
  <c r="I31" i="7" s="1" a="1"/>
  <c r="I31" i="7" s="1"/>
  <c r="T35" i="2"/>
  <c r="AA13" i="6" s="1"/>
  <c r="L31" i="6" s="1" a="1"/>
  <c r="L31" i="6" s="1"/>
  <c r="V32" i="2"/>
  <c r="AC10" i="6" s="1"/>
  <c r="N22" i="6" s="1" a="1"/>
  <c r="N22" i="6" s="1"/>
  <c r="S9" i="2"/>
  <c r="X30" i="2"/>
  <c r="AA8" i="7" s="1"/>
  <c r="L16" i="7" s="1" a="1"/>
  <c r="L16" i="7" s="1"/>
  <c r="Q7" i="2"/>
  <c r="U7" i="2"/>
  <c r="V8" i="7" s="1"/>
  <c r="I16" i="7" s="1" a="1"/>
  <c r="I16" i="7" s="1"/>
  <c r="T30" i="2"/>
  <c r="AA8" i="6" s="1"/>
  <c r="L16" i="6" s="1" a="1"/>
  <c r="L16" i="6" s="1"/>
  <c r="W5" i="2"/>
  <c r="X6" i="7" s="1"/>
  <c r="K10" i="7" s="1" a="1"/>
  <c r="K10" i="7" s="1"/>
  <c r="Z28" i="2"/>
  <c r="AC6" i="7" s="1"/>
  <c r="N10" i="7" s="1" a="1"/>
  <c r="N10" i="7" s="1"/>
  <c r="Z40" i="2"/>
  <c r="AC18" i="7" s="1"/>
  <c r="N46" i="7" s="1" a="1"/>
  <c r="N46" i="7" s="1"/>
  <c r="W17" i="2"/>
  <c r="X18" i="7" s="1"/>
  <c r="K46" i="7" s="1" a="1"/>
  <c r="K46" i="7" s="1"/>
  <c r="J100" i="7" s="1"/>
  <c r="E45" i="9" s="1"/>
  <c r="Y37" i="2"/>
  <c r="AB15" i="7" s="1"/>
  <c r="M37" i="7" s="1" a="1"/>
  <c r="M37" i="7" s="1"/>
  <c r="R14" i="2"/>
  <c r="V14" i="2"/>
  <c r="W15" i="7" s="1"/>
  <c r="J37" i="7" s="1" a="1"/>
  <c r="J37" i="7" s="1"/>
  <c r="U37" i="2"/>
  <c r="AB15" i="6" s="1"/>
  <c r="M37" i="6" s="1" a="1"/>
  <c r="M37" i="6" s="1"/>
  <c r="Z35" i="2"/>
  <c r="AC13" i="7" s="1"/>
  <c r="N31" i="7" s="1" a="1"/>
  <c r="N31" i="7" s="1"/>
  <c r="W12" i="2"/>
  <c r="X13" i="7" s="1"/>
  <c r="K31" i="7" s="1" a="1"/>
  <c r="K31" i="7" s="1"/>
  <c r="Y32" i="2"/>
  <c r="AB10" i="7" s="1"/>
  <c r="M22" i="7" s="1" a="1"/>
  <c r="M22" i="7" s="1"/>
  <c r="R9" i="2"/>
  <c r="V9" i="2"/>
  <c r="W10" i="7" s="1"/>
  <c r="J22" i="7" s="1" a="1"/>
  <c r="J22" i="7" s="1"/>
  <c r="U32" i="2"/>
  <c r="AB10" i="6" s="1"/>
  <c r="M22" i="6" s="1" a="1"/>
  <c r="M22" i="6" s="1"/>
  <c r="Z30" i="2"/>
  <c r="AC8" i="7" s="1"/>
  <c r="N16" i="7" s="1" a="1"/>
  <c r="N16" i="7" s="1"/>
  <c r="W7" i="2"/>
  <c r="X8" i="7" s="1"/>
  <c r="K16" i="7" s="1" a="1"/>
  <c r="K16" i="7" s="1"/>
  <c r="V27" i="2"/>
  <c r="AC5" i="6" s="1"/>
  <c r="N7" i="6" s="1" a="1"/>
  <c r="N7" i="6" s="1"/>
  <c r="S4" i="2"/>
  <c r="S16" i="2"/>
  <c r="V39" i="2"/>
  <c r="AC17" i="6" s="1"/>
  <c r="N43" i="6" s="1" a="1"/>
  <c r="N43" i="6" s="1"/>
  <c r="X37" i="2"/>
  <c r="AA15" i="7" s="1"/>
  <c r="L37" i="7" s="1" a="1"/>
  <c r="L37" i="7" s="1"/>
  <c r="Q14" i="2"/>
  <c r="U14" i="2"/>
  <c r="V15" i="7" s="1"/>
  <c r="I37" i="7" s="1" a="1"/>
  <c r="I37" i="7" s="1"/>
  <c r="T37" i="2"/>
  <c r="AA15" i="6" s="1"/>
  <c r="L37" i="6" s="1" a="1"/>
  <c r="L37" i="6" s="1"/>
  <c r="V34" i="2"/>
  <c r="AC12" i="6" s="1"/>
  <c r="N28" i="6" s="1" a="1"/>
  <c r="N28" i="6" s="1"/>
  <c r="S11" i="2"/>
  <c r="X32" i="2"/>
  <c r="AA10" i="7" s="1"/>
  <c r="L22" i="7" s="1" a="1"/>
  <c r="L22" i="7" s="1"/>
  <c r="Q9" i="2"/>
  <c r="U9" i="2"/>
  <c r="V10" i="7" s="1"/>
  <c r="I22" i="7" s="1" a="1"/>
  <c r="I22" i="7" s="1"/>
  <c r="T32" i="2"/>
  <c r="AA10" i="6" s="1"/>
  <c r="L22" i="6" s="1" a="1"/>
  <c r="L22" i="6" s="1"/>
  <c r="S6" i="2"/>
  <c r="Y29" i="2"/>
  <c r="AB7" i="7" s="1"/>
  <c r="M13" i="7" s="1" a="1"/>
  <c r="M13" i="7" s="1"/>
  <c r="V29" i="2"/>
  <c r="AC7" i="6" s="1"/>
  <c r="N13" i="6" s="1" a="1"/>
  <c r="N13" i="6" s="1"/>
  <c r="Y27" i="2"/>
  <c r="AB5" i="7" s="1"/>
  <c r="M7" i="7" s="1" a="1"/>
  <c r="M7" i="7" s="1"/>
  <c r="R4" i="2"/>
  <c r="V4" i="2"/>
  <c r="W5" i="7" s="1"/>
  <c r="J7" i="7" s="1" a="1"/>
  <c r="J7" i="7" s="1"/>
  <c r="U27" i="2"/>
  <c r="AB5" i="6" s="1"/>
  <c r="M7" i="6" s="1" a="1"/>
  <c r="M7" i="6" s="1"/>
  <c r="R16" i="2"/>
  <c r="Y39" i="2"/>
  <c r="AB17" i="7" s="1"/>
  <c r="M43" i="7" s="1" a="1"/>
  <c r="M43" i="7" s="1"/>
  <c r="V16" i="2"/>
  <c r="W17" i="7" s="1"/>
  <c r="J43" i="7" s="1" a="1"/>
  <c r="J43" i="7" s="1"/>
  <c r="U39" i="2"/>
  <c r="AB17" i="6" s="1"/>
  <c r="M43" i="6" s="1" a="1"/>
  <c r="M43" i="6" s="1"/>
  <c r="Z37" i="2"/>
  <c r="AC15" i="7" s="1"/>
  <c r="N37" i="7" s="1" a="1"/>
  <c r="N37" i="7" s="1"/>
  <c r="W14" i="2"/>
  <c r="X15" i="7" s="1"/>
  <c r="K37" i="7" s="1" a="1"/>
  <c r="K37" i="7" s="1"/>
  <c r="R11" i="2"/>
  <c r="Y34" i="2"/>
  <c r="AB12" i="7" s="1"/>
  <c r="M28" i="7" s="1" a="1"/>
  <c r="M28" i="7" s="1"/>
  <c r="V11" i="2"/>
  <c r="W12" i="7" s="1"/>
  <c r="J28" i="7" s="1" a="1"/>
  <c r="J28" i="7" s="1"/>
  <c r="U34" i="2"/>
  <c r="AB12" i="6" s="1"/>
  <c r="M28" i="6" s="1" a="1"/>
  <c r="M28" i="6" s="1"/>
  <c r="Z32" i="2"/>
  <c r="AC10" i="7" s="1"/>
  <c r="N22" i="7" s="1" a="1"/>
  <c r="N22" i="7" s="1"/>
  <c r="W9" i="2"/>
  <c r="X10" i="7" s="1"/>
  <c r="K22" i="7" s="1" a="1"/>
  <c r="K22" i="7" s="1"/>
  <c r="S18" i="2"/>
  <c r="V41" i="2"/>
  <c r="AC19" i="6" s="1"/>
  <c r="N49" i="6" s="1" a="1"/>
  <c r="N49" i="6" s="1"/>
  <c r="X39" i="2"/>
  <c r="AA17" i="7" s="1"/>
  <c r="L43" i="7" s="1" a="1"/>
  <c r="L43" i="7" s="1"/>
  <c r="U16" i="2"/>
  <c r="V17" i="7" s="1"/>
  <c r="I43" i="7" s="1" a="1"/>
  <c r="I43" i="7" s="1"/>
  <c r="T39" i="2"/>
  <c r="AA17" i="6" s="1"/>
  <c r="L43" i="6" s="1" a="1"/>
  <c r="L43" i="6" s="1"/>
  <c r="Q16" i="2"/>
  <c r="S13" i="2"/>
  <c r="V36" i="2"/>
  <c r="AC14" i="6" s="1"/>
  <c r="N34" i="6" s="1" a="1"/>
  <c r="N34" i="6" s="1"/>
  <c r="Q11" i="2"/>
  <c r="X34" i="2"/>
  <c r="AA12" i="7" s="1"/>
  <c r="L28" i="7" s="1" a="1"/>
  <c r="L28" i="7" s="1"/>
  <c r="U11" i="2"/>
  <c r="V12" i="7" s="1"/>
  <c r="I28" i="7" s="1" a="1"/>
  <c r="I28" i="7" s="1"/>
  <c r="T34" i="2"/>
  <c r="AA12" i="6" s="1"/>
  <c r="L28" i="6" s="1" a="1"/>
  <c r="L28" i="6" s="1"/>
  <c r="S8" i="2"/>
  <c r="V31" i="2"/>
  <c r="AC9" i="6" s="1"/>
  <c r="N19" i="6" s="1" a="1"/>
  <c r="N19" i="6" s="1"/>
  <c r="V18" i="2"/>
  <c r="W19" i="7" s="1"/>
  <c r="J49" i="7" s="1" a="1"/>
  <c r="J49" i="7" s="1"/>
  <c r="R18" i="2"/>
  <c r="U41" i="2"/>
  <c r="AB19" i="6" s="1"/>
  <c r="M49" i="6" s="1" a="1"/>
  <c r="M49" i="6" s="1"/>
  <c r="Z39" i="2"/>
  <c r="AC17" i="7" s="1"/>
  <c r="N43" i="7" s="1" a="1"/>
  <c r="N43" i="7" s="1"/>
  <c r="W16" i="2"/>
  <c r="X17" i="7" s="1"/>
  <c r="K43" i="7" s="1" a="1"/>
  <c r="K43" i="7" s="1"/>
  <c r="Y36" i="2"/>
  <c r="AB14" i="7" s="1"/>
  <c r="M34" i="7" s="1" a="1"/>
  <c r="M34" i="7" s="1"/>
  <c r="V13" i="2"/>
  <c r="W14" i="7" s="1"/>
  <c r="J34" i="7" s="1" a="1"/>
  <c r="J34" i="7" s="1"/>
  <c r="R13" i="2"/>
  <c r="U36" i="2"/>
  <c r="AB14" i="6" s="1"/>
  <c r="M34" i="6" s="1" a="1"/>
  <c r="M34" i="6" s="1"/>
  <c r="Z34" i="2"/>
  <c r="AC12" i="7" s="1"/>
  <c r="N28" i="7" s="1" a="1"/>
  <c r="N28" i="7" s="1"/>
  <c r="W11" i="2"/>
  <c r="X12" i="7" s="1"/>
  <c r="K28" i="7" s="1" a="1"/>
  <c r="K28" i="7" s="1"/>
  <c r="V8" i="2"/>
  <c r="W9" i="7" s="1"/>
  <c r="J19" i="7" s="1" a="1"/>
  <c r="J19" i="7" s="1"/>
  <c r="Y31" i="2"/>
  <c r="AB9" i="7" s="1"/>
  <c r="M19" i="7" s="1" a="1"/>
  <c r="M19" i="7" s="1"/>
  <c r="R8" i="2"/>
  <c r="U31" i="2"/>
  <c r="AB9" i="6" s="1"/>
  <c r="M19" i="6" s="1" a="1"/>
  <c r="M19" i="6" s="1"/>
  <c r="Q6" i="2"/>
  <c r="X29" i="2"/>
  <c r="AA7" i="7" s="1"/>
  <c r="L13" i="7" s="1" a="1"/>
  <c r="L13" i="7" s="1"/>
  <c r="U6" i="2"/>
  <c r="V7" i="7" s="1"/>
  <c r="I13" i="7" s="1" a="1"/>
  <c r="I13" i="7" s="1"/>
  <c r="T29" i="2"/>
  <c r="AA7" i="6" s="1"/>
  <c r="L13" i="6" s="1" a="1"/>
  <c r="L13" i="6" s="1"/>
  <c r="Z27" i="2"/>
  <c r="AC5" i="7" s="1"/>
  <c r="N7" i="7" s="1" a="1"/>
  <c r="N7" i="7" s="1"/>
  <c r="W4" i="2"/>
  <c r="X5" i="7" s="1"/>
  <c r="K7" i="7" s="1" a="1"/>
  <c r="K7" i="7" s="1"/>
  <c r="T27" i="2"/>
  <c r="AA5" i="6" s="1"/>
  <c r="L7" i="6" s="1" a="1"/>
  <c r="L7" i="6" s="1"/>
  <c r="U18" i="2"/>
  <c r="V19" i="7" s="1"/>
  <c r="I49" i="7" s="1" a="1"/>
  <c r="I49" i="7" s="1"/>
  <c r="X41" i="2"/>
  <c r="AA19" i="7" s="1"/>
  <c r="L49" i="7" s="1" a="1"/>
  <c r="L49" i="7" s="1"/>
  <c r="T41" i="2"/>
  <c r="AA19" i="6" s="1"/>
  <c r="L49" i="6" s="1" a="1"/>
  <c r="L49" i="6" s="1"/>
  <c r="Q18" i="2"/>
  <c r="V38" i="2"/>
  <c r="AC16" i="6" s="1"/>
  <c r="N40" i="6" s="1" a="1"/>
  <c r="N40" i="6" s="1"/>
  <c r="S15" i="2"/>
  <c r="U13" i="2"/>
  <c r="V14" i="7" s="1"/>
  <c r="I34" i="7" s="1" a="1"/>
  <c r="I34" i="7" s="1"/>
  <c r="X36" i="2"/>
  <c r="AA14" i="7" s="1"/>
  <c r="L34" i="7" s="1" a="1"/>
  <c r="L34" i="7" s="1"/>
  <c r="T36" i="2"/>
  <c r="AA14" i="6" s="1"/>
  <c r="L34" i="6" s="1" a="1"/>
  <c r="L34" i="6" s="1"/>
  <c r="Q13" i="2"/>
  <c r="S10" i="2"/>
  <c r="V33" i="2"/>
  <c r="AC11" i="6" s="1"/>
  <c r="N25" i="6" s="1" a="1"/>
  <c r="N25" i="6" s="1"/>
  <c r="U8" i="2"/>
  <c r="V9" i="7" s="1"/>
  <c r="I19" i="7" s="1" a="1"/>
  <c r="I19" i="7" s="1"/>
  <c r="X31" i="2"/>
  <c r="AA9" i="7" s="1"/>
  <c r="L19" i="7" s="1" a="1"/>
  <c r="L19" i="7" s="1"/>
  <c r="Q8" i="2"/>
  <c r="T31" i="2"/>
  <c r="AA9" i="6" s="1"/>
  <c r="L19" i="6" s="1" a="1"/>
  <c r="L19" i="6" s="1"/>
  <c r="Z29" i="2"/>
  <c r="AC7" i="7" s="1"/>
  <c r="N13" i="7" s="1" a="1"/>
  <c r="N13" i="7" s="1"/>
  <c r="W6" i="2"/>
  <c r="X7" i="7" s="1"/>
  <c r="K13" i="7" s="1" a="1"/>
  <c r="K13" i="7" s="1"/>
  <c r="S3" i="2"/>
  <c r="V26" i="2"/>
  <c r="AC4" i="6" s="1"/>
  <c r="N4" i="6" s="1" a="1"/>
  <c r="N4" i="6" s="1"/>
  <c r="W18" i="2"/>
  <c r="X19" i="7" s="1"/>
  <c r="K49" i="7" s="1" a="1"/>
  <c r="K49" i="7" s="1"/>
  <c r="Z41" i="2"/>
  <c r="AC19" i="7" s="1"/>
  <c r="N49" i="7" s="1" a="1"/>
  <c r="N49" i="7" s="1"/>
  <c r="Y38" i="2"/>
  <c r="AB16" i="7" s="1"/>
  <c r="M40" i="7" s="1" a="1"/>
  <c r="M40" i="7" s="1"/>
  <c r="R15" i="2"/>
  <c r="U38" i="2"/>
  <c r="AB16" i="6" s="1"/>
  <c r="M40" i="6" s="1" a="1"/>
  <c r="M40" i="6" s="1"/>
  <c r="V15" i="2"/>
  <c r="W16" i="7" s="1"/>
  <c r="J40" i="7" s="1" a="1"/>
  <c r="J40" i="7" s="1"/>
  <c r="W13" i="2"/>
  <c r="X14" i="7" s="1"/>
  <c r="K34" i="7" s="1" a="1"/>
  <c r="K34" i="7" s="1"/>
  <c r="Z36" i="2"/>
  <c r="AC14" i="7" s="1"/>
  <c r="N34" i="7" s="1" a="1"/>
  <c r="N34" i="7" s="1"/>
  <c r="V10" i="2"/>
  <c r="W11" i="7" s="1"/>
  <c r="J25" i="7" s="1" a="1"/>
  <c r="J25" i="7" s="1"/>
  <c r="Y33" i="2"/>
  <c r="AB11" i="7" s="1"/>
  <c r="M25" i="7" s="1" a="1"/>
  <c r="M25" i="7" s="1"/>
  <c r="R10" i="2"/>
  <c r="U33" i="2"/>
  <c r="AB11" i="6" s="1"/>
  <c r="M25" i="6" s="1" a="1"/>
  <c r="M25" i="6" s="1"/>
  <c r="W8" i="2"/>
  <c r="X9" i="7" s="1"/>
  <c r="K19" i="7" s="1" a="1"/>
  <c r="K19" i="7" s="1"/>
  <c r="Z31" i="2"/>
  <c r="AC9" i="7" s="1"/>
  <c r="N19" i="7" s="1" a="1"/>
  <c r="N19" i="7" s="1"/>
  <c r="S5" i="2"/>
  <c r="V28" i="2"/>
  <c r="AC6" i="6" s="1"/>
  <c r="N10" i="6" s="1" a="1"/>
  <c r="N10" i="6" s="1"/>
  <c r="V3" i="2"/>
  <c r="W4" i="7" s="1"/>
  <c r="J4" i="7" s="1" a="1"/>
  <c r="J4" i="7" s="1"/>
  <c r="Y26" i="2"/>
  <c r="AB4" i="7" s="1"/>
  <c r="M4" i="7" s="1" a="1"/>
  <c r="M4" i="7" s="1"/>
  <c r="R3" i="2"/>
  <c r="U26" i="2"/>
  <c r="AB4" i="6" s="1"/>
  <c r="M4" i="6" s="1" a="1"/>
  <c r="M4" i="6" s="1"/>
  <c r="V40" i="2"/>
  <c r="AC18" i="6" s="1"/>
  <c r="N46" i="6" s="1" a="1"/>
  <c r="N46" i="6" s="1"/>
  <c r="S17" i="2"/>
  <c r="X38" i="2"/>
  <c r="AA16" i="7" s="1"/>
  <c r="L40" i="7" s="1" a="1"/>
  <c r="L40" i="7" s="1"/>
  <c r="Q15" i="2"/>
  <c r="T38" i="2"/>
  <c r="AA16" i="6" s="1"/>
  <c r="L40" i="6" s="1" a="1"/>
  <c r="L40" i="6" s="1"/>
  <c r="U15" i="2"/>
  <c r="V16" i="7" s="1"/>
  <c r="I40" i="7" s="1" a="1"/>
  <c r="I40" i="7" s="1"/>
  <c r="V35" i="2"/>
  <c r="AC13" i="6" s="1"/>
  <c r="N31" i="6" s="1" a="1"/>
  <c r="N31" i="6" s="1"/>
  <c r="S12" i="2"/>
  <c r="X33" i="2"/>
  <c r="AA11" i="7" s="1"/>
  <c r="L25" i="7" s="1" a="1"/>
  <c r="L25" i="7" s="1"/>
  <c r="Q10" i="2"/>
  <c r="T33" i="2"/>
  <c r="AA11" i="6" s="1"/>
  <c r="L25" i="6" s="1" a="1"/>
  <c r="L25" i="6" s="1"/>
  <c r="U10" i="2"/>
  <c r="V11" i="7" s="1"/>
  <c r="I25" i="7" s="1" a="1"/>
  <c r="I25" i="7" s="1"/>
  <c r="V30" i="2"/>
  <c r="AC8" i="6" s="1"/>
  <c r="N16" i="6" s="1" a="1"/>
  <c r="N16" i="6" s="1"/>
  <c r="S7" i="2"/>
  <c r="V5" i="2"/>
  <c r="W6" i="7" s="1"/>
  <c r="J10" i="7" s="1" a="1"/>
  <c r="J10" i="7" s="1"/>
  <c r="Y28" i="2"/>
  <c r="AB6" i="7" s="1"/>
  <c r="M10" i="7" s="1" a="1"/>
  <c r="M10" i="7" s="1"/>
  <c r="R5" i="2"/>
  <c r="U28" i="2"/>
  <c r="AB6" i="6" s="1"/>
  <c r="M10" i="6" s="1" a="1"/>
  <c r="M10" i="6" s="1"/>
  <c r="U3" i="2"/>
  <c r="V4" i="7" s="1"/>
  <c r="I4" i="7" s="1" a="1"/>
  <c r="I4" i="7" s="1"/>
  <c r="X26" i="2"/>
  <c r="AA4" i="7" s="1"/>
  <c r="L4" i="7" s="1" a="1"/>
  <c r="L4" i="7" s="1"/>
  <c r="Q3" i="2"/>
  <c r="T26" i="2"/>
  <c r="AA4" i="6" s="1"/>
  <c r="L4" i="6" s="1" a="1"/>
  <c r="L4" i="6" s="1"/>
  <c r="Y40" i="2"/>
  <c r="AB18" i="7" s="1"/>
  <c r="M46" i="7" s="1" a="1"/>
  <c r="M46" i="7" s="1"/>
  <c r="R17" i="2"/>
  <c r="V17" i="2"/>
  <c r="W18" i="7" s="1"/>
  <c r="J46" i="7" s="1" a="1"/>
  <c r="J46" i="7" s="1"/>
  <c r="U40" i="2"/>
  <c r="AB18" i="6" s="1"/>
  <c r="M46" i="6" s="1" a="1"/>
  <c r="M46" i="6" s="1"/>
  <c r="W15" i="2"/>
  <c r="X16" i="7" s="1"/>
  <c r="K40" i="7" s="1" a="1"/>
  <c r="K40" i="7" s="1"/>
  <c r="Z38" i="2"/>
  <c r="AC16" i="7" s="1"/>
  <c r="N40" i="7" s="1" a="1"/>
  <c r="N40" i="7" s="1"/>
  <c r="Y35" i="2"/>
  <c r="AB13" i="7" s="1"/>
  <c r="M31" i="7" s="1" a="1"/>
  <c r="M31" i="7" s="1"/>
  <c r="R12" i="2"/>
  <c r="V12" i="2"/>
  <c r="W13" i="7" s="1"/>
  <c r="J31" i="7" s="1" a="1"/>
  <c r="J31" i="7" s="1"/>
  <c r="U35" i="2"/>
  <c r="AB13" i="6" s="1"/>
  <c r="M31" i="6" s="1" a="1"/>
  <c r="M31" i="6" s="1"/>
  <c r="W10" i="2"/>
  <c r="X11" i="7" s="1"/>
  <c r="K25" i="7" s="1" a="1"/>
  <c r="K25" i="7" s="1"/>
  <c r="Z33" i="2"/>
  <c r="AC11" i="7" s="1"/>
  <c r="N25" i="7" s="1" a="1"/>
  <c r="N25" i="7" s="1"/>
  <c r="Y30" i="2"/>
  <c r="AB8" i="7" s="1"/>
  <c r="M16" i="7" s="1" a="1"/>
  <c r="M16" i="7" s="1"/>
  <c r="R7" i="2"/>
  <c r="V7" i="2"/>
  <c r="W8" i="7" s="1"/>
  <c r="J16" i="7" s="1" a="1"/>
  <c r="J16" i="7" s="1"/>
  <c r="U30" i="2"/>
  <c r="AB8" i="6" s="1"/>
  <c r="M16" i="6" s="1" a="1"/>
  <c r="M16" i="6" s="1"/>
  <c r="X28" i="2"/>
  <c r="AA6" i="7" s="1"/>
  <c r="L10" i="7" s="1" a="1"/>
  <c r="L10" i="7" s="1"/>
  <c r="Q5" i="2"/>
  <c r="T28" i="2"/>
  <c r="AA6" i="6" s="1"/>
  <c r="L10" i="6" s="1" a="1"/>
  <c r="L10" i="6" s="1"/>
  <c r="U5" i="2"/>
  <c r="V6" i="7" s="1"/>
  <c r="I10" i="7" s="1" a="1"/>
  <c r="I10" i="7" s="1"/>
  <c r="W3" i="2"/>
  <c r="X4" i="7" s="1"/>
  <c r="K4" i="7" s="1" a="1"/>
  <c r="K4" i="7" s="1"/>
  <c r="Z26" i="2"/>
  <c r="AC4" i="7" s="1"/>
  <c r="N4" i="7" s="1" a="1"/>
  <c r="N4" i="7" s="1"/>
  <c r="U29" i="2"/>
  <c r="AB7" i="6" s="1"/>
  <c r="M13" i="6" s="1" a="1"/>
  <c r="M13" i="6" s="1"/>
  <c r="U4" i="2"/>
  <c r="V5" i="7" s="1"/>
  <c r="I7" i="7" s="1" a="1"/>
  <c r="I7" i="7" s="1"/>
  <c r="I61" i="7" s="1"/>
  <c r="D6" i="9" s="1"/>
  <c r="V6" i="2"/>
  <c r="W7" i="7" s="1"/>
  <c r="J13" i="7" s="1" a="1"/>
  <c r="J13" i="7" s="1"/>
  <c r="Q4" i="2"/>
  <c r="J59" i="7" l="1"/>
  <c r="E4" i="9" s="1"/>
  <c r="H74" i="7"/>
  <c r="H101" i="7"/>
  <c r="C46" i="9" s="1"/>
  <c r="J74" i="7"/>
  <c r="E19" i="9" s="1"/>
  <c r="I105" i="7"/>
  <c r="D50" i="9" s="1"/>
  <c r="H99" i="7"/>
  <c r="I98" i="7"/>
  <c r="D43" i="9" s="1"/>
  <c r="J99" i="7"/>
  <c r="E44" i="9" s="1"/>
  <c r="H75" i="7"/>
  <c r="J98" i="7"/>
  <c r="J104" i="7"/>
  <c r="E49" i="9" s="1"/>
  <c r="J92" i="7"/>
  <c r="I93" i="7"/>
  <c r="D38" i="9" s="1"/>
  <c r="I90" i="7"/>
  <c r="I69" i="7"/>
  <c r="D14" i="9" s="1"/>
  <c r="I99" i="7"/>
  <c r="D44" i="9" s="1"/>
  <c r="J68" i="7"/>
  <c r="J69" i="7"/>
  <c r="E14" i="9" s="1"/>
  <c r="I75" i="7"/>
  <c r="D20" i="9" s="1"/>
  <c r="I95" i="7"/>
  <c r="D40" i="9" s="1"/>
  <c r="J89" i="7"/>
  <c r="J78" i="7"/>
  <c r="E23" i="9" s="1"/>
  <c r="J75" i="7"/>
  <c r="E20" i="9" s="1"/>
  <c r="J66" i="7"/>
  <c r="E11" i="9" s="1"/>
  <c r="J84" i="7"/>
  <c r="E29" i="9" s="1"/>
  <c r="I78" i="7"/>
  <c r="I102" i="7"/>
  <c r="D47" i="9" s="1"/>
  <c r="I72" i="7"/>
  <c r="D17" i="9" s="1"/>
  <c r="I83" i="7"/>
  <c r="D28" i="9" s="1"/>
  <c r="I77" i="7"/>
  <c r="D22" i="9" s="1"/>
  <c r="M28" i="4" a="1"/>
  <c r="M28" i="4" s="1"/>
  <c r="V51" i="6"/>
  <c r="I27" i="6" s="1" a="1"/>
  <c r="I27" i="6" s="1"/>
  <c r="I81" i="6" s="1"/>
  <c r="I28" i="12" s="1"/>
  <c r="L30" i="10"/>
  <c r="M29" i="4" a="1"/>
  <c r="M29" i="4" s="1"/>
  <c r="V53" i="6"/>
  <c r="I33" i="6" s="1" a="1"/>
  <c r="I33" i="6" s="1"/>
  <c r="I87" i="6" s="1"/>
  <c r="I34" i="12" s="1"/>
  <c r="L32" i="10"/>
  <c r="K60" i="4" a="1"/>
  <c r="K60" i="4" s="1"/>
  <c r="W58" i="6"/>
  <c r="J48" i="6" s="1" a="1"/>
  <c r="J48" i="6" s="1"/>
  <c r="H102" i="6" s="1"/>
  <c r="H49" i="12" s="1"/>
  <c r="M37" i="10"/>
  <c r="M48" i="4" a="1"/>
  <c r="M48" i="4" s="1"/>
  <c r="M32" i="10"/>
  <c r="W53" i="6"/>
  <c r="J33" i="6" s="1" a="1"/>
  <c r="J33" i="6" s="1"/>
  <c r="H87" i="6" s="1"/>
  <c r="H34" i="12" s="1"/>
  <c r="L33" i="4" a="1"/>
  <c r="L33" i="4" s="1"/>
  <c r="V49" i="6"/>
  <c r="I21" i="6" s="1" a="1"/>
  <c r="I21" i="6" s="1"/>
  <c r="I75" i="6" s="1"/>
  <c r="I22" i="12" s="1"/>
  <c r="L28" i="10"/>
  <c r="L51" i="4" a="1"/>
  <c r="L51" i="4" s="1"/>
  <c r="W47" i="6"/>
  <c r="J15" i="6" s="1" a="1"/>
  <c r="J15" i="6" s="1"/>
  <c r="H69" i="6" s="1"/>
  <c r="H16" i="12" s="1"/>
  <c r="M26" i="10"/>
  <c r="J62" i="7"/>
  <c r="H98" i="7"/>
  <c r="C43" i="9" s="1"/>
  <c r="L71" i="4" a="1"/>
  <c r="L71" i="4" s="1"/>
  <c r="X49" i="6"/>
  <c r="K21" i="6" s="1" a="1"/>
  <c r="K21" i="6" s="1"/>
  <c r="J75" i="6" s="1"/>
  <c r="J22" i="12" s="1"/>
  <c r="N28" i="10"/>
  <c r="L70" i="4" a="1"/>
  <c r="L70" i="4" s="1"/>
  <c r="X47" i="6"/>
  <c r="K15" i="6" s="1" a="1"/>
  <c r="K15" i="6" s="1"/>
  <c r="J69" i="6" s="1"/>
  <c r="J16" i="12" s="1"/>
  <c r="N26" i="10"/>
  <c r="K77" i="4" a="1"/>
  <c r="K77" i="4" s="1"/>
  <c r="N23" i="10"/>
  <c r="X44" i="6"/>
  <c r="K6" i="6" s="1" a="1"/>
  <c r="K6" i="6" s="1"/>
  <c r="J60" i="6" s="1"/>
  <c r="J7" i="12" s="1"/>
  <c r="M45" i="4" a="1"/>
  <c r="M45" i="4" s="1"/>
  <c r="M24" i="10"/>
  <c r="W45" i="6"/>
  <c r="J9" i="6" s="1" a="1"/>
  <c r="J9" i="6" s="1"/>
  <c r="H63" i="6" s="1"/>
  <c r="H10" i="12" s="1"/>
  <c r="H95" i="6"/>
  <c r="H42" i="12" s="1"/>
  <c r="L36" i="4" a="1"/>
  <c r="L36" i="4" s="1"/>
  <c r="V52" i="6"/>
  <c r="I30" i="6" s="1" a="1"/>
  <c r="I30" i="6" s="1"/>
  <c r="I84" i="6" s="1"/>
  <c r="I31" i="12" s="1"/>
  <c r="L31" i="10"/>
  <c r="L35" i="4" a="1"/>
  <c r="L35" i="4" s="1"/>
  <c r="L29" i="10"/>
  <c r="V50" i="6"/>
  <c r="I24" i="6" s="1" a="1"/>
  <c r="I24" i="6" s="1"/>
  <c r="I78" i="6" s="1"/>
  <c r="I25" i="12" s="1"/>
  <c r="K41" i="4" a="1"/>
  <c r="K41" i="4" s="1"/>
  <c r="V58" i="6"/>
  <c r="I48" i="6" s="1" a="1"/>
  <c r="I48" i="6" s="1"/>
  <c r="I102" i="6" s="1"/>
  <c r="I49" i="12" s="1"/>
  <c r="L37" i="10"/>
  <c r="M27" i="4" a="1"/>
  <c r="M27" i="4" s="1"/>
  <c r="V48" i="6"/>
  <c r="I18" i="6" s="1" a="1"/>
  <c r="I18" i="6" s="1"/>
  <c r="I72" i="6" s="1"/>
  <c r="I19" i="12" s="1"/>
  <c r="L27" i="10"/>
  <c r="M47" i="4" a="1"/>
  <c r="M47" i="4" s="1"/>
  <c r="W51" i="6"/>
  <c r="J27" i="6" s="1" a="1"/>
  <c r="J27" i="6" s="1"/>
  <c r="H81" i="6" s="1"/>
  <c r="H28" i="12" s="1"/>
  <c r="M30" i="10"/>
  <c r="J61" i="7"/>
  <c r="J82" i="7"/>
  <c r="E27" i="9" s="1"/>
  <c r="M30" i="4" a="1"/>
  <c r="M30" i="4" s="1"/>
  <c r="V56" i="6"/>
  <c r="I42" i="6" s="1" a="1"/>
  <c r="I42" i="6" s="1"/>
  <c r="I96" i="6" s="1"/>
  <c r="I43" i="12" s="1"/>
  <c r="L35" i="10"/>
  <c r="L55" i="4" a="1"/>
  <c r="L55" i="4" s="1"/>
  <c r="W52" i="6"/>
  <c r="J30" i="6" s="1" a="1"/>
  <c r="J30" i="6" s="1"/>
  <c r="H84" i="6" s="1"/>
  <c r="H31" i="12" s="1"/>
  <c r="M31" i="10"/>
  <c r="L38" i="4" a="1"/>
  <c r="L38" i="4" s="1"/>
  <c r="V55" i="6"/>
  <c r="I39" i="6" s="1" a="1"/>
  <c r="I39" i="6" s="1"/>
  <c r="I93" i="6" s="1"/>
  <c r="I40" i="12" s="1"/>
  <c r="L34" i="10"/>
  <c r="M66" i="4" a="1"/>
  <c r="M66" i="4" s="1"/>
  <c r="X51" i="6"/>
  <c r="K27" i="6" s="1" a="1"/>
  <c r="K27" i="6" s="1"/>
  <c r="J81" i="6" s="1"/>
  <c r="J28" i="12" s="1"/>
  <c r="N30" i="10"/>
  <c r="X58" i="6"/>
  <c r="K48" i="6" s="1" a="1"/>
  <c r="K48" i="6" s="1"/>
  <c r="J102" i="6" s="1"/>
  <c r="J49" i="12" s="1"/>
  <c r="N37" i="10"/>
  <c r="K79" i="4" a="1"/>
  <c r="K79" i="4" s="1"/>
  <c r="J88" i="7"/>
  <c r="E33" i="9" s="1"/>
  <c r="J67" i="7"/>
  <c r="I91" i="7"/>
  <c r="D36" i="9" s="1"/>
  <c r="J83" i="7"/>
  <c r="E28" i="9" s="1"/>
  <c r="M64" i="4" a="1"/>
  <c r="M64" i="4" s="1"/>
  <c r="N24" i="10"/>
  <c r="X45" i="6"/>
  <c r="K9" i="6" s="1" a="1"/>
  <c r="K9" i="6" s="1"/>
  <c r="J63" i="6" s="1"/>
  <c r="J10" i="12" s="1"/>
  <c r="L72" i="4" a="1"/>
  <c r="L72" i="4" s="1"/>
  <c r="X59" i="6"/>
  <c r="K51" i="6" s="1" a="1"/>
  <c r="K51" i="6" s="1"/>
  <c r="J105" i="6" s="1"/>
  <c r="J52" i="12" s="1"/>
  <c r="N38" i="10"/>
  <c r="K58" i="4" a="1"/>
  <c r="K58" i="4" s="1"/>
  <c r="M23" i="10"/>
  <c r="W44" i="6"/>
  <c r="J6" i="6" s="1" a="1"/>
  <c r="J6" i="6" s="1"/>
  <c r="H60" i="6" s="1"/>
  <c r="H7" i="12" s="1"/>
  <c r="L32" i="4" a="1"/>
  <c r="L32" i="4" s="1"/>
  <c r="L26" i="10"/>
  <c r="V47" i="6"/>
  <c r="I15" i="6" s="1" a="1"/>
  <c r="I15" i="6" s="1"/>
  <c r="I69" i="6" s="1"/>
  <c r="I16" i="12" s="1"/>
  <c r="K40" i="4" a="1"/>
  <c r="K40" i="4" s="1"/>
  <c r="L36" i="10"/>
  <c r="V57" i="6"/>
  <c r="I45" i="6" s="1" a="1"/>
  <c r="I45" i="6" s="1"/>
  <c r="I99" i="6" s="1"/>
  <c r="I46" i="12" s="1"/>
  <c r="L74" i="4" a="1"/>
  <c r="L74" i="4" s="1"/>
  <c r="X52" i="6"/>
  <c r="K30" i="6" s="1" a="1"/>
  <c r="K30" i="6" s="1"/>
  <c r="J84" i="6" s="1"/>
  <c r="J31" i="12" s="1"/>
  <c r="N31" i="10"/>
  <c r="L54" i="4" a="1"/>
  <c r="L54" i="4" s="1"/>
  <c r="M29" i="10"/>
  <c r="W50" i="6"/>
  <c r="J24" i="6" s="1" a="1"/>
  <c r="J24" i="6" s="1"/>
  <c r="H78" i="6" s="1"/>
  <c r="H25" i="12" s="1"/>
  <c r="K78" i="4" a="1"/>
  <c r="K78" i="4" s="1"/>
  <c r="N36" i="10"/>
  <c r="X57" i="6"/>
  <c r="K45" i="6" s="1" a="1"/>
  <c r="K45" i="6" s="1"/>
  <c r="J99" i="6" s="1"/>
  <c r="J46" i="12" s="1"/>
  <c r="L75" i="4" a="1"/>
  <c r="L75" i="4" s="1"/>
  <c r="X54" i="6"/>
  <c r="K36" i="6" s="1" a="1"/>
  <c r="K36" i="6" s="1"/>
  <c r="J90" i="6" s="1"/>
  <c r="J37" i="12" s="1"/>
  <c r="N33" i="10"/>
  <c r="N32" i="10"/>
  <c r="X53" i="6"/>
  <c r="K33" i="6" s="1" a="1"/>
  <c r="K33" i="6" s="1"/>
  <c r="J87" i="6" s="1"/>
  <c r="J34" i="12" s="1"/>
  <c r="M67" i="4" a="1"/>
  <c r="M67" i="4" s="1"/>
  <c r="M65" i="4" a="1"/>
  <c r="M65" i="4" s="1"/>
  <c r="X48" i="6"/>
  <c r="K18" i="6" s="1" a="1"/>
  <c r="K18" i="6" s="1"/>
  <c r="J72" i="6" s="1"/>
  <c r="J19" i="12" s="1"/>
  <c r="N27" i="10"/>
  <c r="L34" i="4" a="1"/>
  <c r="L34" i="4" s="1"/>
  <c r="V59" i="6"/>
  <c r="I51" i="6" s="1" a="1"/>
  <c r="I51" i="6" s="1"/>
  <c r="I105" i="6" s="1"/>
  <c r="I52" i="12" s="1"/>
  <c r="L38" i="10"/>
  <c r="J65" i="7"/>
  <c r="K59" i="4" a="1"/>
  <c r="K59" i="4" s="1"/>
  <c r="M36" i="10"/>
  <c r="W57" i="6"/>
  <c r="J45" i="6" s="1" a="1"/>
  <c r="J45" i="6" s="1"/>
  <c r="H99" i="6" s="1"/>
  <c r="H46" i="12" s="1"/>
  <c r="I74" i="7"/>
  <c r="D19" i="9" s="1"/>
  <c r="J76" i="7"/>
  <c r="L69" i="4" a="1"/>
  <c r="L69" i="4" s="1"/>
  <c r="N25" i="10"/>
  <c r="X46" i="6"/>
  <c r="K12" i="6" s="1" a="1"/>
  <c r="K12" i="6" s="1"/>
  <c r="J66" i="6" s="1"/>
  <c r="J13" i="12" s="1"/>
  <c r="M46" i="4" a="1"/>
  <c r="M46" i="4" s="1"/>
  <c r="W48" i="6"/>
  <c r="J18" i="6" s="1" a="1"/>
  <c r="J18" i="6" s="1"/>
  <c r="H72" i="6" s="1"/>
  <c r="H19" i="12" s="1"/>
  <c r="M27" i="10"/>
  <c r="L52" i="4" a="1"/>
  <c r="L52" i="4" s="1"/>
  <c r="W49" i="6"/>
  <c r="J21" i="6" s="1" a="1"/>
  <c r="J21" i="6" s="1"/>
  <c r="H75" i="6" s="1"/>
  <c r="H22" i="12" s="1"/>
  <c r="M28" i="10"/>
  <c r="M26" i="4" a="1"/>
  <c r="M26" i="4" s="1"/>
  <c r="L24" i="10"/>
  <c r="V45" i="6"/>
  <c r="I9" i="6" s="1" a="1"/>
  <c r="I9" i="6" s="1"/>
  <c r="I63" i="6" s="1"/>
  <c r="I10" i="12" s="1"/>
  <c r="M68" i="4" a="1"/>
  <c r="M68" i="4" s="1"/>
  <c r="N35" i="10"/>
  <c r="X56" i="6"/>
  <c r="K42" i="6" s="1" a="1"/>
  <c r="K42" i="6" s="1"/>
  <c r="J96" i="6" s="1"/>
  <c r="J43" i="12" s="1"/>
  <c r="L31" i="4" a="1"/>
  <c r="L31" i="4" s="1"/>
  <c r="L25" i="10"/>
  <c r="V46" i="6"/>
  <c r="I12" i="6" s="1" a="1"/>
  <c r="I12" i="6" s="1"/>
  <c r="I66" i="6" s="1"/>
  <c r="I13" i="12" s="1"/>
  <c r="L57" i="4" a="1"/>
  <c r="L57" i="4" s="1"/>
  <c r="W55" i="6"/>
  <c r="J39" i="6" s="1" a="1"/>
  <c r="J39" i="6" s="1"/>
  <c r="H93" i="6" s="1"/>
  <c r="H40" i="12" s="1"/>
  <c r="M34" i="10"/>
  <c r="M64" i="3" a="1"/>
  <c r="M64" i="3" s="1"/>
  <c r="N4" i="10"/>
  <c r="X25" i="6"/>
  <c r="K8" i="6" s="1" a="1"/>
  <c r="K8" i="6" s="1"/>
  <c r="J62" i="6" s="1"/>
  <c r="J9" i="12" s="1"/>
  <c r="M65" i="3" a="1"/>
  <c r="M65" i="3" s="1"/>
  <c r="N7" i="10"/>
  <c r="X28" i="6"/>
  <c r="K17" i="6" s="1" a="1"/>
  <c r="K17" i="6" s="1"/>
  <c r="J71" i="6" s="1"/>
  <c r="J18" i="12" s="1"/>
  <c r="L33" i="3" a="1"/>
  <c r="L33" i="3" s="1"/>
  <c r="L8" i="10"/>
  <c r="V29" i="6"/>
  <c r="I20" i="6" s="1" a="1"/>
  <c r="I20" i="6" s="1"/>
  <c r="I74" i="6" s="1"/>
  <c r="I21" i="12" s="1"/>
  <c r="L72" i="3" a="1"/>
  <c r="L72" i="3" s="1"/>
  <c r="N18" i="10"/>
  <c r="X39" i="6"/>
  <c r="K50" i="6" s="1" a="1"/>
  <c r="K50" i="6" s="1"/>
  <c r="J104" i="6" s="1"/>
  <c r="J51" i="12" s="1"/>
  <c r="K60" i="3" a="1"/>
  <c r="K60" i="3" s="1"/>
  <c r="M17" i="10"/>
  <c r="W38" i="6"/>
  <c r="J47" i="6" s="1" a="1"/>
  <c r="J47" i="6" s="1"/>
  <c r="H101" i="6" s="1"/>
  <c r="H48" i="12" s="1"/>
  <c r="H100" i="7"/>
  <c r="C45" i="9" s="1"/>
  <c r="H64" i="7"/>
  <c r="H88" i="7"/>
  <c r="I82" i="7"/>
  <c r="D27" i="9" s="1"/>
  <c r="H97" i="7"/>
  <c r="C42" i="9" s="1"/>
  <c r="J85" i="7"/>
  <c r="K58" i="3" a="1"/>
  <c r="K58" i="3" s="1"/>
  <c r="M3" i="10"/>
  <c r="W24" i="6"/>
  <c r="J5" i="6" s="1" a="1"/>
  <c r="J5" i="6" s="1"/>
  <c r="H59" i="6" s="1"/>
  <c r="H6" i="12" s="1"/>
  <c r="N3" i="10"/>
  <c r="X24" i="6"/>
  <c r="K5" i="6" s="1" a="1"/>
  <c r="K5" i="6" s="1"/>
  <c r="J59" i="6" s="1"/>
  <c r="J6" i="12" s="1"/>
  <c r="K77" i="3" a="1"/>
  <c r="K77" i="3" s="1"/>
  <c r="M67" i="3" a="1"/>
  <c r="M67" i="3" s="1"/>
  <c r="X33" i="6"/>
  <c r="K32" i="6" s="1" a="1"/>
  <c r="K32" i="6" s="1"/>
  <c r="J86" i="6" s="1"/>
  <c r="J33" i="12" s="1"/>
  <c r="N12" i="10"/>
  <c r="M27" i="3" a="1"/>
  <c r="M27" i="3" s="1"/>
  <c r="L7" i="10"/>
  <c r="V28" i="6"/>
  <c r="I17" i="6" s="1" a="1"/>
  <c r="I17" i="6" s="1"/>
  <c r="I71" i="6" s="1"/>
  <c r="I18" i="12" s="1"/>
  <c r="L74" i="3" a="1"/>
  <c r="L74" i="3" s="1"/>
  <c r="N11" i="10"/>
  <c r="X32" i="6"/>
  <c r="K29" i="6" s="1" a="1"/>
  <c r="K29" i="6" s="1"/>
  <c r="J83" i="6" s="1"/>
  <c r="J30" i="12" s="1"/>
  <c r="L35" i="3" a="1"/>
  <c r="L35" i="3" s="1"/>
  <c r="L9" i="10"/>
  <c r="V30" i="6"/>
  <c r="I23" i="6" s="1" a="1"/>
  <c r="I23" i="6" s="1"/>
  <c r="I77" i="6" s="1"/>
  <c r="I24" i="12" s="1"/>
  <c r="M29" i="3" a="1"/>
  <c r="M29" i="3" s="1"/>
  <c r="L12" i="10"/>
  <c r="V33" i="6"/>
  <c r="I32" i="6" s="1" a="1"/>
  <c r="I32" i="6" s="1"/>
  <c r="I86" i="6" s="1"/>
  <c r="I33" i="12" s="1"/>
  <c r="M11" i="10"/>
  <c r="L55" i="3" a="1"/>
  <c r="L55" i="3" s="1"/>
  <c r="W32" i="6"/>
  <c r="J29" i="6" s="1" a="1"/>
  <c r="J29" i="6" s="1"/>
  <c r="H83" i="6" s="1"/>
  <c r="H30" i="12" s="1"/>
  <c r="L52" i="3" a="1"/>
  <c r="L52" i="3" s="1"/>
  <c r="M8" i="10"/>
  <c r="W29" i="6"/>
  <c r="J20" i="6" s="1" a="1"/>
  <c r="J20" i="6" s="1"/>
  <c r="H74" i="6" s="1"/>
  <c r="H21" i="12" s="1"/>
  <c r="L36" i="3" a="1"/>
  <c r="L36" i="3" s="1"/>
  <c r="L11" i="10"/>
  <c r="V32" i="6"/>
  <c r="I29" i="6" s="1" a="1"/>
  <c r="I29" i="6" s="1"/>
  <c r="I83" i="6" s="1"/>
  <c r="I30" i="12" s="1"/>
  <c r="L37" i="3" a="1"/>
  <c r="L37" i="3" s="1"/>
  <c r="L13" i="10"/>
  <c r="V34" i="6"/>
  <c r="I35" i="6" s="1" a="1"/>
  <c r="I35" i="6" s="1"/>
  <c r="I89" i="6" s="1"/>
  <c r="I36" i="12" s="1"/>
  <c r="L56" i="3" a="1"/>
  <c r="L56" i="3" s="1"/>
  <c r="W34" i="6"/>
  <c r="J35" i="6" s="1" a="1"/>
  <c r="J35" i="6" s="1"/>
  <c r="H89" i="6" s="1"/>
  <c r="H36" i="12" s="1"/>
  <c r="M13" i="10"/>
  <c r="K63" i="7"/>
  <c r="N17" i="10"/>
  <c r="X38" i="6"/>
  <c r="K47" i="6" s="1" a="1"/>
  <c r="K47" i="6" s="1"/>
  <c r="J101" i="6" s="1"/>
  <c r="J48" i="12" s="1"/>
  <c r="K79" i="3" a="1"/>
  <c r="K79" i="3" s="1"/>
  <c r="L69" i="3" a="1"/>
  <c r="L69" i="3" s="1"/>
  <c r="X26" i="6"/>
  <c r="K11" i="6" s="1" a="1"/>
  <c r="K11" i="6" s="1"/>
  <c r="J65" i="6" s="1"/>
  <c r="J12" i="12" s="1"/>
  <c r="N5" i="10"/>
  <c r="M68" i="3" a="1"/>
  <c r="M68" i="3" s="1"/>
  <c r="X36" i="6"/>
  <c r="K41" i="6" s="1" a="1"/>
  <c r="K41" i="6" s="1"/>
  <c r="J95" i="6" s="1"/>
  <c r="J42" i="12" s="1"/>
  <c r="N15" i="10"/>
  <c r="I100" i="7"/>
  <c r="D45" i="9" s="1"/>
  <c r="L38" i="3" a="1"/>
  <c r="L38" i="3" s="1"/>
  <c r="L14" i="10"/>
  <c r="V35" i="6"/>
  <c r="I38" i="6" s="1" a="1"/>
  <c r="I38" i="6" s="1"/>
  <c r="I92" i="6" s="1"/>
  <c r="I39" i="12" s="1"/>
  <c r="M28" i="3" a="1"/>
  <c r="M28" i="3" s="1"/>
  <c r="L10" i="10"/>
  <c r="V31" i="6"/>
  <c r="I26" i="6" s="1" a="1"/>
  <c r="I26" i="6" s="1"/>
  <c r="I80" i="6" s="1"/>
  <c r="I27" i="12" s="1"/>
  <c r="K41" i="3" a="1"/>
  <c r="K41" i="3" s="1"/>
  <c r="L17" i="10"/>
  <c r="V38" i="6"/>
  <c r="I47" i="6" s="1" a="1"/>
  <c r="I47" i="6" s="1"/>
  <c r="I101" i="6" s="1"/>
  <c r="I48" i="12" s="1"/>
  <c r="L57" i="3" a="1"/>
  <c r="L57" i="3" s="1"/>
  <c r="M14" i="10"/>
  <c r="W35" i="6"/>
  <c r="J38" i="6" s="1" a="1"/>
  <c r="J38" i="6" s="1"/>
  <c r="H92" i="6" s="1"/>
  <c r="H39" i="12" s="1"/>
  <c r="K59" i="3" a="1"/>
  <c r="K59" i="3" s="1"/>
  <c r="W37" i="6"/>
  <c r="J44" i="6" s="1" a="1"/>
  <c r="J44" i="6" s="1"/>
  <c r="H98" i="6" s="1"/>
  <c r="H45" i="12" s="1"/>
  <c r="M16" i="10"/>
  <c r="L31" i="3" a="1"/>
  <c r="L31" i="3" s="1"/>
  <c r="V26" i="6"/>
  <c r="I11" i="6" s="1" a="1"/>
  <c r="I11" i="6" s="1"/>
  <c r="I65" i="6" s="1"/>
  <c r="I12" i="12" s="1"/>
  <c r="L5" i="10"/>
  <c r="F12" i="12"/>
  <c r="M26" i="3" a="1"/>
  <c r="M26" i="3" s="1"/>
  <c r="L4" i="10"/>
  <c r="V25" i="6"/>
  <c r="I8" i="6" s="1" a="1"/>
  <c r="I8" i="6" s="1"/>
  <c r="I62" i="6" s="1"/>
  <c r="I9" i="12" s="1"/>
  <c r="L34" i="3" a="1"/>
  <c r="L34" i="3" s="1"/>
  <c r="L18" i="10"/>
  <c r="V39" i="6"/>
  <c r="I50" i="6" s="1" a="1"/>
  <c r="I50" i="6" s="1"/>
  <c r="I104" i="6" s="1"/>
  <c r="I51" i="12" s="1"/>
  <c r="L32" i="3" a="1"/>
  <c r="L32" i="3" s="1"/>
  <c r="V27" i="6"/>
  <c r="I14" i="6" s="1" a="1"/>
  <c r="I14" i="6" s="1"/>
  <c r="I68" i="6" s="1"/>
  <c r="I15" i="12" s="1"/>
  <c r="L6" i="10"/>
  <c r="L50" i="3" a="1"/>
  <c r="L50" i="3" s="1"/>
  <c r="W26" i="6"/>
  <c r="J11" i="6" s="1" a="1"/>
  <c r="J11" i="6" s="1"/>
  <c r="H65" i="6" s="1"/>
  <c r="H12" i="12" s="1"/>
  <c r="M5" i="10"/>
  <c r="M10" i="10"/>
  <c r="W31" i="6"/>
  <c r="J26" i="6" s="1" a="1"/>
  <c r="J26" i="6" s="1"/>
  <c r="H80" i="6" s="1"/>
  <c r="H27" i="12" s="1"/>
  <c r="M47" i="3" a="1"/>
  <c r="M47" i="3" s="1"/>
  <c r="I80" i="7"/>
  <c r="D25" i="9" s="1"/>
  <c r="B65" i="9" s="1"/>
  <c r="L73" i="3" a="1"/>
  <c r="L73" i="3" s="1"/>
  <c r="X30" i="6"/>
  <c r="K23" i="6" s="1" a="1"/>
  <c r="K23" i="6" s="1"/>
  <c r="J77" i="6" s="1"/>
  <c r="J24" i="12" s="1"/>
  <c r="N9" i="10"/>
  <c r="K40" i="3" a="1"/>
  <c r="K40" i="3" s="1"/>
  <c r="V37" i="6"/>
  <c r="I44" i="6" s="1" a="1"/>
  <c r="I44" i="6" s="1"/>
  <c r="I98" i="6" s="1"/>
  <c r="I45" i="12" s="1"/>
  <c r="L16" i="10"/>
  <c r="M48" i="3" a="1"/>
  <c r="M48" i="3" s="1"/>
  <c r="M12" i="10"/>
  <c r="W33" i="6"/>
  <c r="J32" i="6" s="1" a="1"/>
  <c r="J32" i="6" s="1"/>
  <c r="H86" i="6" s="1"/>
  <c r="H33" i="12" s="1"/>
  <c r="M46" i="3" a="1"/>
  <c r="M46" i="3" s="1"/>
  <c r="M7" i="10"/>
  <c r="W28" i="6"/>
  <c r="J17" i="6" s="1" a="1"/>
  <c r="J17" i="6" s="1"/>
  <c r="H71" i="6" s="1"/>
  <c r="H18" i="12" s="1"/>
  <c r="X27" i="6"/>
  <c r="K14" i="6" s="1" a="1"/>
  <c r="K14" i="6" s="1"/>
  <c r="J68" i="6" s="1"/>
  <c r="J15" i="12" s="1"/>
  <c r="N6" i="10"/>
  <c r="L70" i="3" a="1"/>
  <c r="L70" i="3" s="1"/>
  <c r="M30" i="3" a="1"/>
  <c r="M30" i="3" s="1"/>
  <c r="L15" i="10"/>
  <c r="V36" i="6"/>
  <c r="I41" i="6" s="1" a="1"/>
  <c r="I41" i="6" s="1"/>
  <c r="I95" i="6" s="1"/>
  <c r="I42" i="12" s="1"/>
  <c r="I88" i="7"/>
  <c r="D33" i="9" s="1"/>
  <c r="M45" i="3" a="1"/>
  <c r="M45" i="3" s="1"/>
  <c r="M4" i="10"/>
  <c r="W25" i="6"/>
  <c r="J8" i="6" s="1" a="1"/>
  <c r="J8" i="6" s="1"/>
  <c r="H62" i="6" s="1"/>
  <c r="H9" i="12" s="1"/>
  <c r="K39" i="3" a="1"/>
  <c r="K39" i="3" s="1"/>
  <c r="V24" i="6"/>
  <c r="I5" i="6" s="1" a="1"/>
  <c r="I5" i="6" s="1"/>
  <c r="I59" i="6" s="1"/>
  <c r="I6" i="12" s="1"/>
  <c r="L3" i="10"/>
  <c r="L54" i="3" a="1"/>
  <c r="L54" i="3" s="1"/>
  <c r="M9" i="10"/>
  <c r="W30" i="6"/>
  <c r="J23" i="6" s="1" a="1"/>
  <c r="J23" i="6" s="1"/>
  <c r="H77" i="6" s="1"/>
  <c r="H24" i="12" s="1"/>
  <c r="L51" i="3" a="1"/>
  <c r="L51" i="3" s="1"/>
  <c r="W27" i="6"/>
  <c r="J14" i="6" s="1" a="1"/>
  <c r="J14" i="6" s="1"/>
  <c r="H68" i="6" s="1"/>
  <c r="H15" i="12" s="1"/>
  <c r="M6" i="10"/>
  <c r="L71" i="3" a="1"/>
  <c r="L71" i="3" s="1"/>
  <c r="N8" i="10"/>
  <c r="X29" i="6"/>
  <c r="K20" i="6" s="1" a="1"/>
  <c r="K20" i="6" s="1"/>
  <c r="J74" i="6" s="1"/>
  <c r="J21" i="12" s="1"/>
  <c r="L75" i="3" a="1"/>
  <c r="L75" i="3" s="1"/>
  <c r="N13" i="10"/>
  <c r="X34" i="6"/>
  <c r="K35" i="6" s="1" a="1"/>
  <c r="K35" i="6" s="1"/>
  <c r="J89" i="6" s="1"/>
  <c r="J36" i="12" s="1"/>
  <c r="N10" i="10"/>
  <c r="X31" i="6"/>
  <c r="K26" i="6" s="1" a="1"/>
  <c r="K26" i="6" s="1"/>
  <c r="J80" i="6" s="1"/>
  <c r="J27" i="12" s="1"/>
  <c r="M66" i="3" a="1"/>
  <c r="M66" i="3" s="1"/>
  <c r="X35" i="6"/>
  <c r="K38" i="6" s="1" a="1"/>
  <c r="K38" i="6" s="1"/>
  <c r="J92" i="6" s="1"/>
  <c r="J39" i="12" s="1"/>
  <c r="N14" i="10"/>
  <c r="L76" i="3" a="1"/>
  <c r="L76" i="3" s="1"/>
  <c r="K78" i="3" a="1"/>
  <c r="K78" i="3" s="1"/>
  <c r="X37" i="6"/>
  <c r="K44" i="6" s="1" a="1"/>
  <c r="K44" i="6" s="1"/>
  <c r="J98" i="6" s="1"/>
  <c r="J45" i="12" s="1"/>
  <c r="N16" i="10"/>
  <c r="J73" i="7"/>
  <c r="E18" i="9" s="1"/>
  <c r="J97" i="7"/>
  <c r="E42" i="9" s="1"/>
  <c r="J79" i="7"/>
  <c r="E24" i="9" s="1"/>
  <c r="J58" i="7"/>
  <c r="E3" i="9" s="1"/>
  <c r="I64" i="7"/>
  <c r="D9" i="9" s="1"/>
  <c r="H91" i="7"/>
  <c r="C36" i="9" s="1"/>
  <c r="J103" i="7"/>
  <c r="E48" i="9" s="1"/>
  <c r="I103" i="7"/>
  <c r="D48" i="9" s="1"/>
  <c r="H82" i="7"/>
  <c r="C27" i="9" s="1"/>
  <c r="J70" i="7"/>
  <c r="E15" i="9" s="1"/>
  <c r="K101" i="7"/>
  <c r="I97" i="7"/>
  <c r="D42" i="9" s="1"/>
  <c r="J91" i="7"/>
  <c r="E36" i="9" s="1"/>
  <c r="H58" i="7"/>
  <c r="C3" i="9" s="1"/>
  <c r="J94" i="7"/>
  <c r="E39" i="9" s="1"/>
  <c r="J64" i="7"/>
  <c r="E9" i="9" s="1"/>
  <c r="K66" i="7"/>
  <c r="K100" i="7"/>
  <c r="C33" i="9"/>
  <c r="E30" i="9"/>
  <c r="E21" i="9"/>
  <c r="C9" i="9"/>
  <c r="E6" i="9"/>
  <c r="E12" i="9"/>
  <c r="L69" i="2" a="1"/>
  <c r="L69" i="2" s="1"/>
  <c r="N44" i="10"/>
  <c r="X6" i="6"/>
  <c r="K10" i="6" s="1" a="1"/>
  <c r="K10" i="6" s="1"/>
  <c r="J64" i="6" s="1"/>
  <c r="J11" i="12" s="1"/>
  <c r="M66" i="2" a="1"/>
  <c r="M66" i="2" s="1"/>
  <c r="N49" i="10"/>
  <c r="X11" i="6"/>
  <c r="K25" i="6" s="1" a="1"/>
  <c r="K25" i="6" s="1"/>
  <c r="L75" i="2" a="1"/>
  <c r="L75" i="2" s="1"/>
  <c r="N52" i="10"/>
  <c r="X14" i="6"/>
  <c r="K34" i="6" s="1" a="1"/>
  <c r="K34" i="6" s="1"/>
  <c r="J88" i="6" s="1"/>
  <c r="J35" i="12" s="1"/>
  <c r="L74" i="2" a="1"/>
  <c r="L74" i="2" s="1"/>
  <c r="N50" i="10"/>
  <c r="X12" i="6"/>
  <c r="K28" i="6" s="1" a="1"/>
  <c r="K28" i="6" s="1"/>
  <c r="J82" i="6" s="1"/>
  <c r="J29" i="12" s="1"/>
  <c r="L57" i="2" a="1"/>
  <c r="L57" i="2" s="1"/>
  <c r="M53" i="10"/>
  <c r="W15" i="6"/>
  <c r="J37" i="6" s="1" a="1"/>
  <c r="J37" i="6" s="1"/>
  <c r="L73" i="2" a="1"/>
  <c r="L73" i="2" s="1"/>
  <c r="N48" i="10"/>
  <c r="X10" i="6"/>
  <c r="K22" i="6" s="1" a="1"/>
  <c r="K22" i="6" s="1"/>
  <c r="J76" i="6" s="1"/>
  <c r="J23" i="12" s="1"/>
  <c r="K41" i="2" a="1"/>
  <c r="K41" i="2" s="1"/>
  <c r="L56" i="10"/>
  <c r="V18" i="6"/>
  <c r="I46" i="6" s="1" a="1"/>
  <c r="I46" i="6" s="1"/>
  <c r="I100" i="6" s="1"/>
  <c r="I47" i="12" s="1"/>
  <c r="K89" i="7"/>
  <c r="E34" i="9"/>
  <c r="K81" i="7"/>
  <c r="C26" i="9"/>
  <c r="K104" i="7"/>
  <c r="I76" i="7"/>
  <c r="D21" i="9" s="1"/>
  <c r="H76" i="7"/>
  <c r="C21" i="9" s="1"/>
  <c r="F32" i="12"/>
  <c r="I79" i="7"/>
  <c r="D24" i="9" s="1"/>
  <c r="H79" i="7"/>
  <c r="C24" i="9" s="1"/>
  <c r="M45" i="10"/>
  <c r="W7" i="6"/>
  <c r="J13" i="6" s="1" a="1"/>
  <c r="J13" i="6" s="1"/>
  <c r="H67" i="6" s="1"/>
  <c r="H14" i="12" s="1"/>
  <c r="L51" i="2" a="1"/>
  <c r="L51" i="2" s="1"/>
  <c r="L53" i="2" a="1"/>
  <c r="L53" i="2" s="1"/>
  <c r="M57" i="10"/>
  <c r="W19" i="6"/>
  <c r="J49" i="6" s="1" a="1"/>
  <c r="J49" i="6" s="1"/>
  <c r="H103" i="6" s="1"/>
  <c r="H50" i="12" s="1"/>
  <c r="K40" i="2" a="1"/>
  <c r="K40" i="2" s="1"/>
  <c r="L55" i="10"/>
  <c r="V17" i="6"/>
  <c r="I43" i="6" s="1" a="1"/>
  <c r="I43" i="6" s="1"/>
  <c r="I97" i="6" s="1"/>
  <c r="I44" i="12" s="1"/>
  <c r="M45" i="2" a="1"/>
  <c r="M45" i="2" s="1"/>
  <c r="M43" i="10"/>
  <c r="W5" i="6"/>
  <c r="J7" i="6" s="1" a="1"/>
  <c r="J7" i="6" s="1"/>
  <c r="H61" i="6" s="1"/>
  <c r="H8" i="12" s="1"/>
  <c r="K90" i="7"/>
  <c r="D35" i="9"/>
  <c r="K105" i="7"/>
  <c r="C50" i="9"/>
  <c r="F65" i="9"/>
  <c r="F23" i="12"/>
  <c r="F35" i="12"/>
  <c r="I85" i="7"/>
  <c r="D30" i="9" s="1"/>
  <c r="H85" i="7"/>
  <c r="C30" i="9" s="1"/>
  <c r="L37" i="2" a="1"/>
  <c r="L37" i="2" s="1"/>
  <c r="L52" i="10"/>
  <c r="V14" i="6"/>
  <c r="I34" i="6" s="1" a="1"/>
  <c r="I34" i="6" s="1"/>
  <c r="I88" i="6" s="1"/>
  <c r="I35" i="12" s="1"/>
  <c r="K71" i="7"/>
  <c r="E16" i="9"/>
  <c r="K92" i="7"/>
  <c r="E37" i="9"/>
  <c r="K93" i="7"/>
  <c r="E38" i="9"/>
  <c r="J72" i="9" s="1"/>
  <c r="M47" i="2" a="1"/>
  <c r="M47" i="2" s="1"/>
  <c r="M49" i="10"/>
  <c r="W11" i="6"/>
  <c r="J25" i="6" s="1" a="1"/>
  <c r="J25" i="6" s="1"/>
  <c r="K58" i="2" a="1"/>
  <c r="K58" i="2" s="1"/>
  <c r="M42" i="10"/>
  <c r="W4" i="6"/>
  <c r="J4" i="6" s="1" a="1"/>
  <c r="J4" i="6" s="1"/>
  <c r="H58" i="6" s="1"/>
  <c r="H5" i="12" s="1"/>
  <c r="L55" i="2" a="1"/>
  <c r="L55" i="2" s="1"/>
  <c r="M50" i="10"/>
  <c r="W12" i="6"/>
  <c r="J28" i="6" s="1" a="1"/>
  <c r="J28" i="6" s="1"/>
  <c r="H82" i="6" s="1"/>
  <c r="H29" i="12" s="1"/>
  <c r="M26" i="2" a="1"/>
  <c r="M26" i="2" s="1"/>
  <c r="L43" i="10"/>
  <c r="V5" i="6"/>
  <c r="I7" i="6" s="1" a="1"/>
  <c r="I7" i="6" s="1"/>
  <c r="I61" i="6" s="1"/>
  <c r="I8" i="12" s="1"/>
  <c r="K84" i="7"/>
  <c r="C29" i="9"/>
  <c r="H103" i="7"/>
  <c r="C48" i="9" s="1"/>
  <c r="F41" i="12"/>
  <c r="K39" i="2" a="1"/>
  <c r="K39" i="2" s="1"/>
  <c r="L42" i="10"/>
  <c r="V4" i="6"/>
  <c r="I4" i="6" s="1" a="1"/>
  <c r="I4" i="6" s="1"/>
  <c r="I58" i="6" s="1"/>
  <c r="I5" i="12" s="1"/>
  <c r="L31" i="2" a="1"/>
  <c r="L31" i="2" s="1"/>
  <c r="L44" i="10"/>
  <c r="V6" i="6"/>
  <c r="I10" i="6" s="1" a="1"/>
  <c r="I10" i="6" s="1"/>
  <c r="I64" i="6" s="1"/>
  <c r="I11" i="12" s="1"/>
  <c r="M48" i="2" a="1"/>
  <c r="M48" i="2" s="1"/>
  <c r="M51" i="10"/>
  <c r="W13" i="6"/>
  <c r="J31" i="6" s="1" a="1"/>
  <c r="J31" i="6" s="1"/>
  <c r="H85" i="6" s="1"/>
  <c r="H32" i="12" s="1"/>
  <c r="M28" i="2" a="1"/>
  <c r="M28" i="2" s="1"/>
  <c r="L49" i="10"/>
  <c r="V11" i="6"/>
  <c r="I25" i="6" s="1" a="1"/>
  <c r="I25" i="6" s="1"/>
  <c r="I79" i="6" s="1"/>
  <c r="I26" i="12" s="1"/>
  <c r="K77" i="2" a="1"/>
  <c r="K77" i="2" s="1"/>
  <c r="N42" i="10"/>
  <c r="X4" i="6"/>
  <c r="K4" i="6" s="1" a="1"/>
  <c r="K4" i="6" s="1"/>
  <c r="J58" i="6" s="1"/>
  <c r="J5" i="12" s="1"/>
  <c r="M67" i="2" a="1"/>
  <c r="M67" i="2" s="1"/>
  <c r="N51" i="10"/>
  <c r="X13" i="6"/>
  <c r="K31" i="6" s="1" a="1"/>
  <c r="K31" i="6" s="1"/>
  <c r="J85" i="6" s="1"/>
  <c r="J32" i="12" s="1"/>
  <c r="L50" i="2" a="1"/>
  <c r="L50" i="2" s="1"/>
  <c r="M44" i="10"/>
  <c r="W6" i="6"/>
  <c r="J10" i="6" s="1" a="1"/>
  <c r="J10" i="6" s="1"/>
  <c r="L71" i="2" a="1"/>
  <c r="L71" i="2" s="1"/>
  <c r="N47" i="10"/>
  <c r="X9" i="6"/>
  <c r="K19" i="6" s="1" a="1"/>
  <c r="K19" i="6" s="1"/>
  <c r="J73" i="6" s="1"/>
  <c r="J20" i="12" s="1"/>
  <c r="L38" i="2" a="1"/>
  <c r="L38" i="2" s="1"/>
  <c r="L53" i="10"/>
  <c r="V15" i="6"/>
  <c r="I37" i="6" s="1" a="1"/>
  <c r="I37" i="6" s="1"/>
  <c r="L54" i="2" a="1"/>
  <c r="L54" i="2" s="1"/>
  <c r="M48" i="10"/>
  <c r="W10" i="6"/>
  <c r="J22" i="6" s="1" a="1"/>
  <c r="J22" i="6" s="1"/>
  <c r="H76" i="6" s="1"/>
  <c r="H23" i="12" s="1"/>
  <c r="M29" i="2" a="1"/>
  <c r="M29" i="2" s="1"/>
  <c r="V13" i="6"/>
  <c r="I31" i="6" s="1" a="1"/>
  <c r="I31" i="6" s="1"/>
  <c r="I85" i="6" s="1"/>
  <c r="I32" i="12" s="1"/>
  <c r="L51" i="10"/>
  <c r="K95" i="7"/>
  <c r="E40" i="9"/>
  <c r="B72" i="9"/>
  <c r="C72" i="9" s="1"/>
  <c r="K77" i="7"/>
  <c r="K62" i="7"/>
  <c r="E7" i="9"/>
  <c r="I94" i="7"/>
  <c r="D39" i="9" s="1"/>
  <c r="H94" i="7"/>
  <c r="C39" i="9" s="1"/>
  <c r="M46" i="2" a="1"/>
  <c r="M46" i="2" s="1"/>
  <c r="M46" i="10"/>
  <c r="W8" i="6"/>
  <c r="J16" i="6" s="1" a="1"/>
  <c r="J16" i="6" s="1"/>
  <c r="H70" i="6" s="1"/>
  <c r="H17" i="12" s="1"/>
  <c r="M68" i="2" a="1"/>
  <c r="M68" i="2" s="1"/>
  <c r="N54" i="10"/>
  <c r="X16" i="6"/>
  <c r="K40" i="6" s="1" a="1"/>
  <c r="K40" i="6" s="1"/>
  <c r="J94" i="6" s="1"/>
  <c r="J41" i="12" s="1"/>
  <c r="L56" i="2" a="1"/>
  <c r="L56" i="2" s="1"/>
  <c r="M52" i="10"/>
  <c r="W14" i="6"/>
  <c r="J34" i="6" s="1" a="1"/>
  <c r="J34" i="6" s="1"/>
  <c r="H88" i="6" s="1"/>
  <c r="H35" i="12" s="1"/>
  <c r="L70" i="2" a="1"/>
  <c r="L70" i="2" s="1"/>
  <c r="N45" i="10"/>
  <c r="X7" i="6"/>
  <c r="K13" i="6" s="1" a="1"/>
  <c r="K13" i="6" s="1"/>
  <c r="J67" i="6" s="1"/>
  <c r="J14" i="12" s="1"/>
  <c r="K98" i="7"/>
  <c r="E43" i="9"/>
  <c r="K96" i="7"/>
  <c r="C41" i="9"/>
  <c r="K59" i="7"/>
  <c r="F14" i="12"/>
  <c r="F8" i="12"/>
  <c r="L33" i="2" a="1"/>
  <c r="L33" i="2" s="1"/>
  <c r="L47" i="10"/>
  <c r="V9" i="6"/>
  <c r="I19" i="6" s="1" a="1"/>
  <c r="I19" i="6" s="1"/>
  <c r="I73" i="6" s="1"/>
  <c r="I20" i="12" s="1"/>
  <c r="L72" i="2" a="1"/>
  <c r="L72" i="2" s="1"/>
  <c r="X19" i="6"/>
  <c r="K49" i="6" s="1" a="1"/>
  <c r="K49" i="6" s="1"/>
  <c r="J103" i="6" s="1"/>
  <c r="J50" i="12" s="1"/>
  <c r="N57" i="10"/>
  <c r="K80" i="7"/>
  <c r="E25" i="9"/>
  <c r="K87" i="7"/>
  <c r="C32" i="9"/>
  <c r="K74" i="7"/>
  <c r="C19" i="9"/>
  <c r="K69" i="7"/>
  <c r="K102" i="7"/>
  <c r="C47" i="9"/>
  <c r="I67" i="7"/>
  <c r="D12" i="9" s="1"/>
  <c r="H67" i="7"/>
  <c r="C12" i="9" s="1"/>
  <c r="H61" i="7"/>
  <c r="C6" i="9" s="1"/>
  <c r="M30" i="2" a="1"/>
  <c r="M30" i="2" s="1"/>
  <c r="L54" i="10"/>
  <c r="V16" i="6"/>
  <c r="I40" i="6" s="1" a="1"/>
  <c r="I40" i="6" s="1"/>
  <c r="I94" i="6" s="1"/>
  <c r="I41" i="12" s="1"/>
  <c r="M49" i="2" a="1"/>
  <c r="M49" i="2" s="1"/>
  <c r="W16" i="6"/>
  <c r="J40" i="6" s="1" a="1"/>
  <c r="J40" i="6" s="1"/>
  <c r="H94" i="6" s="1"/>
  <c r="H41" i="12" s="1"/>
  <c r="M54" i="10"/>
  <c r="L34" i="2" a="1"/>
  <c r="L34" i="2" s="1"/>
  <c r="L57" i="10"/>
  <c r="V19" i="6"/>
  <c r="I49" i="6" s="1" a="1"/>
  <c r="I49" i="6" s="1"/>
  <c r="I103" i="6" s="1"/>
  <c r="I50" i="12" s="1"/>
  <c r="L32" i="2" a="1"/>
  <c r="L32" i="2" s="1"/>
  <c r="L45" i="10"/>
  <c r="V7" i="6"/>
  <c r="I13" i="6" s="1" a="1"/>
  <c r="I13" i="6" s="1"/>
  <c r="I67" i="6" s="1"/>
  <c r="I14" i="12" s="1"/>
  <c r="K78" i="2" a="1"/>
  <c r="K78" i="2" s="1"/>
  <c r="N55" i="10"/>
  <c r="X17" i="6"/>
  <c r="K43" i="6" s="1" a="1"/>
  <c r="K43" i="6" s="1"/>
  <c r="J97" i="6" s="1"/>
  <c r="J44" i="12" s="1"/>
  <c r="L76" i="2" a="1"/>
  <c r="L76" i="2" s="1"/>
  <c r="N53" i="10"/>
  <c r="X15" i="6"/>
  <c r="K37" i="6" s="1" a="1"/>
  <c r="K37" i="6" s="1"/>
  <c r="J91" i="6" s="1"/>
  <c r="J38" i="12" s="1"/>
  <c r="K65" i="7"/>
  <c r="E10" i="9"/>
  <c r="K72" i="7"/>
  <c r="C17" i="9"/>
  <c r="K83" i="7"/>
  <c r="C28" i="9"/>
  <c r="B59" i="9" s="1"/>
  <c r="I73" i="7"/>
  <c r="D18" i="9" s="1"/>
  <c r="H73" i="7"/>
  <c r="C18" i="9" s="1"/>
  <c r="F5" i="12"/>
  <c r="L36" i="2" a="1"/>
  <c r="L36" i="2" s="1"/>
  <c r="L50" i="10"/>
  <c r="V12" i="6"/>
  <c r="I28" i="6" s="1" a="1"/>
  <c r="I28" i="6" s="1"/>
  <c r="I82" i="6" s="1"/>
  <c r="I29" i="12" s="1"/>
  <c r="K59" i="2" a="1"/>
  <c r="K59" i="2" s="1"/>
  <c r="M55" i="10"/>
  <c r="W17" i="6"/>
  <c r="J43" i="6" s="1" a="1"/>
  <c r="J43" i="6" s="1"/>
  <c r="H97" i="6" s="1"/>
  <c r="H44" i="12" s="1"/>
  <c r="L35" i="2" a="1"/>
  <c r="L35" i="2" s="1"/>
  <c r="L48" i="10"/>
  <c r="V10" i="6"/>
  <c r="I22" i="6" s="1" a="1"/>
  <c r="I22" i="6" s="1"/>
  <c r="I76" i="6" s="1"/>
  <c r="I23" i="12" s="1"/>
  <c r="M64" i="2" a="1"/>
  <c r="M64" i="2" s="1"/>
  <c r="N43" i="10"/>
  <c r="X5" i="6"/>
  <c r="K7" i="6" s="1" a="1"/>
  <c r="K7" i="6" s="1"/>
  <c r="J61" i="6" s="1"/>
  <c r="J8" i="12" s="1"/>
  <c r="M27" i="2" a="1"/>
  <c r="M27" i="2" s="1"/>
  <c r="L46" i="10"/>
  <c r="V8" i="6"/>
  <c r="I16" i="6" s="1" a="1"/>
  <c r="I16" i="6" s="1"/>
  <c r="I70" i="6" s="1"/>
  <c r="I17" i="12" s="1"/>
  <c r="K86" i="7"/>
  <c r="E31" i="9"/>
  <c r="K60" i="7"/>
  <c r="D5" i="9"/>
  <c r="K99" i="7"/>
  <c r="C44" i="9"/>
  <c r="K78" i="7"/>
  <c r="D23" i="9"/>
  <c r="F20" i="12"/>
  <c r="F17" i="12"/>
  <c r="I58" i="7"/>
  <c r="D3" i="9" s="1"/>
  <c r="K60" i="2" a="1"/>
  <c r="K60" i="2" s="1"/>
  <c r="M56" i="10"/>
  <c r="W18" i="6"/>
  <c r="J46" i="6" s="1" a="1"/>
  <c r="J46" i="6" s="1"/>
  <c r="H100" i="6" s="1"/>
  <c r="H47" i="12" s="1"/>
  <c r="M65" i="2" a="1"/>
  <c r="M65" i="2" s="1"/>
  <c r="N46" i="10"/>
  <c r="X8" i="6"/>
  <c r="K16" i="6" s="1" a="1"/>
  <c r="K16" i="6" s="1"/>
  <c r="J70" i="6" s="1"/>
  <c r="J17" i="12" s="1"/>
  <c r="K79" i="2" a="1"/>
  <c r="K79" i="2" s="1"/>
  <c r="N56" i="10"/>
  <c r="X18" i="6"/>
  <c r="K46" i="6" s="1" a="1"/>
  <c r="K46" i="6" s="1"/>
  <c r="J100" i="6" s="1"/>
  <c r="J47" i="12" s="1"/>
  <c r="L52" i="2" a="1"/>
  <c r="L52" i="2" s="1"/>
  <c r="M47" i="10"/>
  <c r="W9" i="6"/>
  <c r="J19" i="6" s="1" a="1"/>
  <c r="J19" i="6" s="1"/>
  <c r="H73" i="6" s="1"/>
  <c r="H20" i="12" s="1"/>
  <c r="K68" i="7"/>
  <c r="E13" i="9"/>
  <c r="K75" i="7"/>
  <c r="C20" i="9"/>
  <c r="F38" i="12"/>
  <c r="H91" i="6"/>
  <c r="H38" i="12" s="1"/>
  <c r="I91" i="6"/>
  <c r="I38" i="12" s="1"/>
  <c r="I70" i="7"/>
  <c r="D15" i="9" s="1"/>
  <c r="H70" i="7"/>
  <c r="C15" i="9" s="1"/>
  <c r="F11" i="12"/>
  <c r="H64" i="6"/>
  <c r="H11" i="12" s="1"/>
  <c r="H79" i="6"/>
  <c r="H26" i="12" s="1"/>
  <c r="F26" i="12"/>
  <c r="J79" i="6"/>
  <c r="J26" i="12" s="1"/>
  <c r="K88" i="7" l="1"/>
  <c r="J65" i="9"/>
  <c r="C59" i="9"/>
  <c r="J59" i="9"/>
  <c r="F72" i="9"/>
  <c r="G72" i="9" s="1"/>
  <c r="B71" i="9"/>
  <c r="C71" i="9" s="1"/>
  <c r="B60" i="9"/>
  <c r="C60" i="9" s="1"/>
  <c r="K91" i="7"/>
  <c r="K97" i="7"/>
  <c r="K64" i="7"/>
  <c r="M71" i="9" a="1"/>
  <c r="M71" i="9" s="1"/>
  <c r="B70" i="9"/>
  <c r="C70" i="9" s="1"/>
  <c r="M72" i="9" a="1"/>
  <c r="M72" i="9" s="1"/>
  <c r="F59" i="9"/>
  <c r="G59" i="9" s="1"/>
  <c r="K82" i="7"/>
  <c r="F71" i="9"/>
  <c r="G71" i="9" s="1"/>
  <c r="H108" i="7" a="1"/>
  <c r="H108" i="7" s="1"/>
  <c r="J64" i="9"/>
  <c r="F64" i="9"/>
  <c r="M64" i="9" a="1"/>
  <c r="M64" i="9" s="1"/>
  <c r="M65" i="9" a="1"/>
  <c r="M65" i="9" s="1"/>
  <c r="M66" i="9" a="1"/>
  <c r="M66" i="9" s="1"/>
  <c r="F60" i="9"/>
  <c r="G60" i="9" s="1"/>
  <c r="J60" i="9"/>
  <c r="J66" i="9"/>
  <c r="F66" i="9"/>
  <c r="G66" i="9" s="1"/>
  <c r="B66" i="9"/>
  <c r="C66" i="9" s="1"/>
  <c r="M70" i="9" a="1"/>
  <c r="M70" i="9" s="1"/>
  <c r="J70" i="9"/>
  <c r="K67" i="7"/>
  <c r="B64" i="9"/>
  <c r="J71" i="9"/>
  <c r="K76" i="7"/>
  <c r="C65" i="9"/>
  <c r="K103" i="7"/>
  <c r="G109" i="7" a="1"/>
  <c r="G109" i="7" s="1"/>
  <c r="J58" i="9"/>
  <c r="M60" i="9" a="1"/>
  <c r="M60" i="9" s="1"/>
  <c r="M59" i="9" a="1"/>
  <c r="M59" i="9" s="1"/>
  <c r="M58" i="9" a="1"/>
  <c r="M58" i="9" s="1"/>
  <c r="B58" i="9"/>
  <c r="F58" i="9"/>
  <c r="K61" i="7"/>
  <c r="F70" i="9"/>
  <c r="K85" i="7"/>
  <c r="K58" i="7"/>
  <c r="K73" i="7"/>
  <c r="K70" i="7"/>
  <c r="K94" i="7"/>
  <c r="K79" i="7"/>
  <c r="G108" i="7" a="1"/>
  <c r="G108" i="7" s="1"/>
  <c r="H109" i="7" a="1"/>
  <c r="H109" i="7" s="1"/>
  <c r="G65" i="9"/>
  <c r="J63" i="9" l="1"/>
  <c r="B69" i="9"/>
  <c r="C64" i="9"/>
  <c r="B63" i="9"/>
  <c r="J57" i="9"/>
  <c r="G70" i="9"/>
  <c r="F69" i="9"/>
  <c r="G58" i="9"/>
  <c r="F57" i="9"/>
  <c r="F63" i="9"/>
  <c r="G64" i="9"/>
  <c r="C58" i="9"/>
  <c r="B57" i="9"/>
  <c r="J69" i="9"/>
  <c r="P69" i="9" l="1"/>
  <c r="M16" i="12" s="1"/>
  <c r="P63" i="9"/>
  <c r="M10" i="12" s="1"/>
  <c r="P57" i="9"/>
  <c r="M4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C9452A-FA20-FF4A-BBDC-9175CD819BAD}" name="test-formulas" type="6" refreshedVersion="8" background="1" saveData="1">
    <textPr codePage="10000" sourceFile="/Users/anna/Desktop/test-formulas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14447BD-A3AF-6B46-99B3-FAAEC8CBF1DA}" name="test-formulas1" type="6" refreshedVersion="8" background="1" saveData="1">
    <textPr codePage="10000" sourceFile="/Users/anna/Desktop/test-formulas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256131A4-0745-F840-A7C5-204D0A5FC88C}" name="test-formulas2" type="6" refreshedVersion="8" background="1" saveData="1">
    <textPr codePage="10000" sourceFile="/Users/anna/Desktop/test-formulas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4A232677-5022-C04B-912A-73949EC1AEA5}" name="test-formulas3" type="6" refreshedVersion="8" background="1" saveData="1">
    <textPr codePage="10000" sourceFile="/Users/anna/Desktop/test-formulas.csv" tab="0" comma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C34D7BBE-5DFA-6941-8580-0AF767D1201B}" name="test-formulas4" type="6" refreshedVersion="8" background="1" saveData="1">
    <textPr codePage="10000" sourceFile="/Users/anna/Desktop/test-formulas.csv" tab="0" comma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CE2FBD28-446F-614C-90AB-B1D63D8B42CD}" name="test-formulas5" type="6" refreshedVersion="8" background="1" saveData="1">
    <textPr codePage="10000" sourceFile="/Users/anna/Desktop/test-formulas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CD1EACA5-7458-AA47-B5C8-1589D37BBDF3}" name="test-formulas6" type="6" refreshedVersion="8" background="1" saveData="1">
    <textPr codePage="10000" sourceFile="/Users/anna/Desktop/test-formulas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<sst xmlns="http://schemas.openxmlformats.org/spreadsheetml/2006/main" count="2075" uniqueCount="139">
  <si>
    <t>Size</t>
  </si>
  <si>
    <t>Query</t>
  </si>
  <si>
    <t>TyQL</t>
  </si>
  <si>
    <t>ScalaSQL</t>
  </si>
  <si>
    <t>Collections</t>
  </si>
  <si>
    <t>JDBC_RSQL</t>
  </si>
  <si>
    <t>Large</t>
  </si>
  <si>
    <t>ancestry</t>
  </si>
  <si>
    <t>Ancestry</t>
  </si>
  <si>
    <t>Small</t>
  </si>
  <si>
    <t>andersens</t>
  </si>
  <si>
    <t>APT</t>
  </si>
  <si>
    <t>Medium</t>
  </si>
  <si>
    <t>asps</t>
  </si>
  <si>
    <t>ASPS</t>
  </si>
  <si>
    <t>bom</t>
  </si>
  <si>
    <t>BOM</t>
  </si>
  <si>
    <t>cba</t>
  </si>
  <si>
    <t>CBA</t>
  </si>
  <si>
    <t>cc</t>
  </si>
  <si>
    <t>CC</t>
  </si>
  <si>
    <t>cspa</t>
  </si>
  <si>
    <t>CSPA</t>
  </si>
  <si>
    <t>dataflow</t>
  </si>
  <si>
    <t>evenodd</t>
  </si>
  <si>
    <t>Even-Odd</t>
  </si>
  <si>
    <t>javapointsto</t>
  </si>
  <si>
    <t>JPT</t>
  </si>
  <si>
    <t>orbits</t>
  </si>
  <si>
    <t>Orbits</t>
  </si>
  <si>
    <t>party</t>
  </si>
  <si>
    <t>Party</t>
  </si>
  <si>
    <t>pointstocount</t>
  </si>
  <si>
    <t>PTC</t>
  </si>
  <si>
    <t>sssp</t>
  </si>
  <si>
    <t>SSSP</t>
  </si>
  <si>
    <t>tc</t>
  </si>
  <si>
    <t>TC</t>
  </si>
  <si>
    <t>trustchain</t>
  </si>
  <si>
    <t>COT</t>
  </si>
  <si>
    <t>SCALASQL</t>
  </si>
  <si>
    <t>COLLECTIONS</t>
  </si>
  <si>
    <t>VS TYQL</t>
  </si>
  <si>
    <t>VS JDBC_RSQL</t>
  </si>
  <si>
    <t>Backend</t>
  </si>
  <si>
    <t>Mode</t>
  </si>
  <si>
    <t>Threads</t>
  </si>
  <si>
    <t>Samples</t>
  </si>
  <si>
    <t>Score</t>
  </si>
  <si>
    <t>Score Error (99.9%)</t>
  </si>
  <si>
    <t>Unit</t>
  </si>
  <si>
    <t>Formal Name</t>
  </si>
  <si>
    <t>Speedup over Non-Recursive SQL</t>
  </si>
  <si>
    <t>Speedup over Collections</t>
  </si>
  <si>
    <t>Speedup over JDBC_RSQL</t>
  </si>
  <si>
    <t>Speedup over TyQL</t>
  </si>
  <si>
    <t>avgt</t>
  </si>
  <si>
    <t>s/op</t>
  </si>
  <si>
    <t>Data Flow</t>
  </si>
  <si>
    <t>Margin of Error:</t>
  </si>
  <si>
    <t>TYQL Speedup exceeds error margin?</t>
  </si>
  <si>
    <t>JDBC_RSQL Speedup exceeds error margin?</t>
  </si>
  <si>
    <t xml:space="preserve"> </t>
  </si>
  <si>
    <t>Benchmark</t>
  </si>
  <si>
    <t>TyQL Speedup exceeds error margin?</t>
  </si>
  <si>
    <t>TIMEOUT:</t>
  </si>
  <si>
    <t>TO</t>
  </si>
  <si>
    <t>-</t>
  </si>
  <si>
    <t>Iterations</t>
  </si>
  <si>
    <t>Dataset</t>
  </si>
  <si>
    <t>Non-Recursive SQL Valid</t>
  </si>
  <si>
    <t>Collections Valid</t>
  </si>
  <si>
    <t>JDBC_RSQL Valid</t>
  </si>
  <si>
    <t>S</t>
  </si>
  <si>
    <t>0.01MB</t>
  </si>
  <si>
    <t>M</t>
  </si>
  <si>
    <t>10MB</t>
  </si>
  <si>
    <t>L</t>
  </si>
  <si>
    <t>100MB</t>
  </si>
  <si>
    <t>0.02MB</t>
  </si>
  <si>
    <t>0.04MB</t>
  </si>
  <si>
    <t>1MB</t>
  </si>
  <si>
    <t>5MB</t>
  </si>
  <si>
    <t>2MB</t>
  </si>
  <si>
    <t>20MB</t>
  </si>
  <si>
    <t>0.1MB</t>
  </si>
  <si>
    <t>0.2MB</t>
  </si>
  <si>
    <t>1.5MB</t>
  </si>
  <si>
    <t>0.03MB</t>
  </si>
  <si>
    <t>0.05MB</t>
  </si>
  <si>
    <t>25MB</t>
  </si>
  <si>
    <t>15MB</t>
  </si>
  <si>
    <t>FINAL TABLE</t>
  </si>
  <si>
    <t>Non-Recursive SQL</t>
  </si>
  <si>
    <t>Speedup Collections</t>
  </si>
  <si>
    <t>Speedup Non-Recursive SQL</t>
  </si>
  <si>
    <t>Speedup JDBC_RSQL</t>
  </si>
  <si>
    <t>max without &gt;:</t>
  </si>
  <si>
    <t>max with &gt;:</t>
  </si>
  <si>
    <t>DF, CBA</t>
  </si>
  <si>
    <t>EvenOdd, JPT</t>
  </si>
  <si>
    <t>TyQL Valid</t>
  </si>
  <si>
    <t>Speedup TyQL</t>
  </si>
  <si>
    <t>MAX-MIN-AVG</t>
  </si>
  <si>
    <t>SCALASQL:</t>
  </si>
  <si>
    <t>JDBC_RSQQL</t>
  </si>
  <si>
    <t>MAX ALL:</t>
  </si>
  <si>
    <t>MIN ALL:</t>
  </si>
  <si>
    <t>AVG ALL:</t>
  </si>
  <si>
    <t>Max S:</t>
  </si>
  <si>
    <t>Min S:</t>
  </si>
  <si>
    <t>Avg S:</t>
  </si>
  <si>
    <t>Med S:</t>
  </si>
  <si>
    <t>Max M:</t>
  </si>
  <si>
    <t>Min M:</t>
  </si>
  <si>
    <t>Avg M:</t>
  </si>
  <si>
    <t>Med M:</t>
  </si>
  <si>
    <t>Max L:</t>
  </si>
  <si>
    <t>Min L:</t>
  </si>
  <si>
    <t>Avg L:</t>
  </si>
  <si>
    <t>Med L:</t>
  </si>
  <si>
    <t>SS</t>
  </si>
  <si>
    <t>Coll</t>
  </si>
  <si>
    <t>JDBC</t>
  </si>
  <si>
    <t>DNF</t>
  </si>
  <si>
    <t>VS TYQL M: Docker artifact run by authors</t>
  </si>
  <si>
    <t>VS TYQL L: Docker artifact run by authors</t>
  </si>
  <si>
    <t>VS TYQL M: Submitted Paper Version (Bare metal)</t>
  </si>
  <si>
    <t>VS TYQL L: Submitted Paper Version (Bare metal)</t>
  </si>
  <si>
    <t>VS TYQL S: Submitted Paper Version (Bare metal)</t>
  </si>
  <si>
    <t>JUST RUN: M</t>
  </si>
  <si>
    <t>JUST RUN: S</t>
  </si>
  <si>
    <t>EXACT TABLE 4</t>
  </si>
  <si>
    <t>DIFFERENCE VS. BARE METAL</t>
  </si>
  <si>
    <t>DIFFERENCE VS. AUTHORS DOCKER</t>
  </si>
  <si>
    <t>EVERYTHING IN ONE PLACE</t>
  </si>
  <si>
    <t>EXACT TABLE 5</t>
  </si>
  <si>
    <t>&gt;&gt; INPUT LARGE CLEANED CSV HERE</t>
  </si>
  <si>
    <t>&gt;&gt; INPUT SMALL CLEANED CSV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</si>
</sst>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4"/>
      <name val="Aptos Narrow"/>
      <scheme val="minor"/>
    </font>
    <font>
      <b/>
      <sz val="12"/>
      <color theme="8"/>
      <name val="Aptos Narrow"/>
      <scheme val="minor"/>
    </font>
    <font>
      <b/>
      <sz val="12"/>
      <color rgb="FFA02B93"/>
      <name val="Aptos Narrow"/>
      <scheme val="minor"/>
    </font>
    <font>
      <sz val="12"/>
      <color rgb="FF000000"/>
      <name val="Aptos Narrow"/>
      <family val="2"/>
      <scheme val="minor"/>
    </font>
    <font>
      <b/>
      <sz val="50"/>
      <color theme="1"/>
      <name val="Aptos Narrow"/>
      <scheme val="minor"/>
    </font>
    <font>
      <b/>
      <sz val="50"/>
      <color theme="1"/>
      <name val="Aptos Narrow (Body)"/>
    </font>
    <font>
      <b/>
      <sz val="50"/>
      <color theme="8"/>
      <name val="Aptos Narrow"/>
      <scheme val="minor"/>
    </font>
    <font>
      <b/>
      <sz val="50"/>
      <color rgb="FFA02B93"/>
      <name val="Aptos Narrow"/>
      <scheme val="minor"/>
    </font>
    <font>
      <b/>
      <sz val="5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7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3" borderId="0" xfId="0" applyFont="1" applyFill="1"/>
    <xf numFmtId="0" fontId="5" fillId="3" borderId="0" xfId="0" applyFont="1" applyFill="1"/>
    <xf numFmtId="0" fontId="10" fillId="2" borderId="0" xfId="0" applyFont="1" applyFill="1"/>
    <xf numFmtId="0" fontId="6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7" xr16:uid="{502BE8E2-79CB-8B4F-9E88-D5E82D57C82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2" xr16:uid="{E68DCD77-59D1-7A4C-94D6-257FBC25B8E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1" xr16:uid="{BD4AC2CE-BF25-BA4B-9402-1416B4F2E90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3" xr16:uid="{4A2B81B1-999A-3348-B78E-B2137FBFC98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4" xr16:uid="{A765979F-5ACA-534C-939C-7416D4437B5C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5" xr16:uid="{169013A5-1787-2643-AA6B-20F1B9658055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formulas" connectionId="6" xr16:uid="{115CA988-87A5-DF47-B3B6-4680BE7002E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C9E6-9CD9-2B43-AF1C-EA691A32FC1E}">
  <dimension ref="A1:M52"/>
  <sheetViews>
    <sheetView workbookViewId="0">
      <selection activeCell="K28" sqref="K28"/>
    </sheetView>
  </sheetViews>
  <sheetFormatPr baseColWidth="10" defaultRowHeight="16" x14ac:dyDescent="0.2"/>
  <cols>
    <col min="12" max="12" width="15.5" customWidth="1"/>
    <col min="13" max="13" width="23.5" customWidth="1"/>
  </cols>
  <sheetData>
    <row r="1" spans="1:13" x14ac:dyDescent="0.2">
      <c r="A1" t="s">
        <v>135</v>
      </c>
    </row>
    <row r="3" spans="1:13" ht="65" x14ac:dyDescent="0.75">
      <c r="A3" s="11" t="s">
        <v>132</v>
      </c>
      <c r="B3" s="11"/>
      <c r="C3" s="11"/>
      <c r="D3" s="11"/>
      <c r="E3" s="11"/>
      <c r="F3" s="12"/>
      <c r="G3" s="12"/>
      <c r="H3" s="12"/>
      <c r="I3" s="12"/>
      <c r="J3" s="12"/>
      <c r="L3" s="11" t="s">
        <v>136</v>
      </c>
      <c r="M3" s="13"/>
    </row>
    <row r="4" spans="1:13" x14ac:dyDescent="0.2">
      <c r="A4" s="12" t="str">
        <f>'table-4'!A57</f>
        <v>Query</v>
      </c>
      <c r="B4" s="12" t="str">
        <f>'table-4'!B57</f>
        <v>Dataset</v>
      </c>
      <c r="C4" s="12" t="str">
        <f>'table-4'!C57</f>
        <v>Iterations</v>
      </c>
      <c r="D4" s="12" t="str">
        <f>'table-4'!D57</f>
        <v>Collections</v>
      </c>
      <c r="E4" s="12" t="str">
        <f>'table-4'!E57</f>
        <v>Non-Recursive SQL</v>
      </c>
      <c r="F4" s="12" t="str">
        <f>'table-4'!F57</f>
        <v>TyQL</v>
      </c>
      <c r="G4" s="12" t="str">
        <f>'table-4'!G57</f>
        <v>JDBC_RSQL</v>
      </c>
      <c r="H4" s="12" t="str">
        <f>'table-4'!H57</f>
        <v>Speedup Collections</v>
      </c>
      <c r="I4" s="12" t="str">
        <f>'table-4'!I57</f>
        <v>Speedup Non-Recursive SQL</v>
      </c>
      <c r="J4" s="12" t="str">
        <f>'table-4'!J57</f>
        <v>Speedup JDBC_RSQL</v>
      </c>
      <c r="L4" s="12" t="s">
        <v>103</v>
      </c>
      <c r="M4" s="12" t="str">
        <f>'table-5'!P57</f>
        <v>25000X, 0.12X, 2624.185625X</v>
      </c>
    </row>
    <row r="5" spans="1:13" x14ac:dyDescent="0.2">
      <c r="A5" s="12" t="str">
        <f>'table-4'!A58</f>
        <v>Ancestry</v>
      </c>
      <c r="B5" s="12" t="str">
        <f>'table-4'!B58</f>
        <v>0.01MB</v>
      </c>
      <c r="C5" s="12">
        <f>'table-4'!C58</f>
        <v>3</v>
      </c>
      <c r="D5" s="12" t="str">
        <f>'table-4'!D58</f>
        <v>0.001</v>
      </c>
      <c r="E5" s="12" t="str">
        <f>'table-4'!E58</f>
        <v>0.045</v>
      </c>
      <c r="F5" s="12" t="str">
        <f>'table-4'!F58</f>
        <v>0.007</v>
      </c>
      <c r="G5" s="12" t="str">
        <f>'table-4'!G58</f>
        <v>0.006</v>
      </c>
      <c r="H5" s="12" t="str">
        <f>'table-4'!H58</f>
        <v>0.19X*</v>
      </c>
      <c r="I5" s="12" t="str">
        <f>'table-4'!I58</f>
        <v>6.16X</v>
      </c>
      <c r="J5" s="12" t="str">
        <f>'table-4'!J58</f>
        <v>0.79X*</v>
      </c>
      <c r="L5" s="12"/>
      <c r="M5" s="12"/>
    </row>
    <row r="6" spans="1:13" x14ac:dyDescent="0.2">
      <c r="A6" s="12">
        <f>'table-4'!A59</f>
        <v>0</v>
      </c>
      <c r="B6" s="12" t="str">
        <f>'table-4'!B59</f>
        <v>10MB</v>
      </c>
      <c r="C6" s="12">
        <f>'table-4'!C59</f>
        <v>15</v>
      </c>
      <c r="D6" s="12" t="str">
        <f>'table-4'!D59</f>
        <v>3.440</v>
      </c>
      <c r="E6" s="12" t="str">
        <f>'table-4'!E59</f>
        <v>0.435</v>
      </c>
      <c r="F6" s="12" t="str">
        <f>'table-4'!F59</f>
        <v>0.219</v>
      </c>
      <c r="G6" s="12" t="str">
        <f>'table-4'!G59</f>
        <v>0.233</v>
      </c>
      <c r="H6" s="12" t="str">
        <f>'table-4'!H59</f>
        <v>15.69X</v>
      </c>
      <c r="I6" s="12" t="str">
        <f>'table-4'!I59</f>
        <v>1.98X</v>
      </c>
      <c r="J6" s="12" t="str">
        <f>'table-4'!J59</f>
        <v>1.06X*</v>
      </c>
      <c r="L6" s="12"/>
      <c r="M6" s="12"/>
    </row>
    <row r="7" spans="1:13" x14ac:dyDescent="0.2">
      <c r="A7" s="12">
        <f>'table-4'!A60</f>
        <v>0</v>
      </c>
      <c r="B7" s="12" t="str">
        <f>'table-4'!B60</f>
        <v>100MB</v>
      </c>
      <c r="C7" s="12">
        <f>'table-4'!C60</f>
        <v>189</v>
      </c>
      <c r="D7" s="12" t="str">
        <f>'table-4'!D60</f>
        <v>TO</v>
      </c>
      <c r="E7" s="12" t="str">
        <f>'table-4'!E60</f>
        <v>TO</v>
      </c>
      <c r="F7" s="12" t="str">
        <f>'table-4'!F60</f>
        <v>39.965</v>
      </c>
      <c r="G7" s="12" t="str">
        <f>'table-4'!G60</f>
        <v>39.820</v>
      </c>
      <c r="H7" s="12" t="str">
        <f>'table-4'!H60</f>
        <v>&gt;15.01X</v>
      </c>
      <c r="I7" s="12" t="str">
        <f>'table-4'!I60</f>
        <v>&gt;15.01X</v>
      </c>
      <c r="J7" s="12" t="str">
        <f>'table-4'!J60</f>
        <v>1.00X*</v>
      </c>
      <c r="L7" s="12"/>
      <c r="M7" s="12"/>
    </row>
    <row r="8" spans="1:13" x14ac:dyDescent="0.2">
      <c r="A8" s="12" t="str">
        <f>'table-4'!A61</f>
        <v>APT</v>
      </c>
      <c r="B8" s="12" t="str">
        <f>'table-4'!B61</f>
        <v>0.01MB</v>
      </c>
      <c r="C8" s="12">
        <f>'table-4'!C61</f>
        <v>3</v>
      </c>
      <c r="D8" s="12" t="str">
        <f>'table-4'!D61</f>
        <v>0.001</v>
      </c>
      <c r="E8" s="12" t="str">
        <f>'table-4'!E61</f>
        <v>0.051</v>
      </c>
      <c r="F8" s="12" t="str">
        <f>'table-4'!F61</f>
        <v>0.015</v>
      </c>
      <c r="G8" s="12" t="str">
        <f>'table-4'!G61</f>
        <v>0.014</v>
      </c>
      <c r="H8" s="12" t="str">
        <f>'table-4'!H61</f>
        <v>0.10X</v>
      </c>
      <c r="I8" s="12" t="str">
        <f>'table-4'!I61</f>
        <v>3.46X</v>
      </c>
      <c r="J8" s="12" t="str">
        <f>'table-4'!J61</f>
        <v>0.95X*</v>
      </c>
      <c r="L8" s="12"/>
      <c r="M8" s="12"/>
    </row>
    <row r="9" spans="1:13" x14ac:dyDescent="0.2">
      <c r="A9" s="12">
        <f>'table-4'!A62</f>
        <v>0</v>
      </c>
      <c r="B9" s="12" t="str">
        <f>'table-4'!B62</f>
        <v>0.02MB</v>
      </c>
      <c r="C9" s="12">
        <f>'table-4'!C62</f>
        <v>4</v>
      </c>
      <c r="D9" s="12" t="str">
        <f>'table-4'!D62</f>
        <v>3.496</v>
      </c>
      <c r="E9" s="12" t="str">
        <f>'table-4'!E62</f>
        <v>0.091</v>
      </c>
      <c r="F9" s="12" t="str">
        <f>'table-4'!F62</f>
        <v>0.019</v>
      </c>
      <c r="G9" s="12" t="str">
        <f>'table-4'!G62</f>
        <v>0.018</v>
      </c>
      <c r="H9" s="12" t="str">
        <f>'table-4'!H62</f>
        <v>183.62X</v>
      </c>
      <c r="I9" s="12" t="str">
        <f>'table-4'!I62</f>
        <v>4.77X</v>
      </c>
      <c r="J9" s="12" t="str">
        <f>'table-4'!J62</f>
        <v>0.96X*</v>
      </c>
      <c r="L9" s="12"/>
      <c r="M9" s="12"/>
    </row>
    <row r="10" spans="1:13" x14ac:dyDescent="0.2">
      <c r="A10" s="12">
        <f>'table-4'!A63</f>
        <v>0</v>
      </c>
      <c r="B10" s="12" t="str">
        <f>'table-4'!B63</f>
        <v>0.04MB</v>
      </c>
      <c r="C10" s="12">
        <f>'table-4'!C63</f>
        <v>9</v>
      </c>
      <c r="D10" s="12" t="str">
        <f>'table-4'!D63</f>
        <v>31.093</v>
      </c>
      <c r="E10" s="12" t="str">
        <f>'table-4'!E63</f>
        <v>0.212</v>
      </c>
      <c r="F10" s="12" t="str">
        <f>'table-4'!F63</f>
        <v>0.040</v>
      </c>
      <c r="G10" s="12" t="str">
        <f>'table-4'!G63</f>
        <v>0.039</v>
      </c>
      <c r="H10" s="12" t="str">
        <f>'table-4'!H63</f>
        <v>773.25X</v>
      </c>
      <c r="I10" s="12" t="str">
        <f>'table-4'!I63</f>
        <v>5.27X</v>
      </c>
      <c r="J10" s="12" t="str">
        <f>'table-4'!J63</f>
        <v>0.97X*</v>
      </c>
      <c r="L10" s="12" t="s">
        <v>103</v>
      </c>
      <c r="M10" s="12" t="str">
        <f>'table-5'!P63</f>
        <v>1255.23X, 1X, 39.169375X</v>
      </c>
    </row>
    <row r="11" spans="1:13" x14ac:dyDescent="0.2">
      <c r="A11" s="12" t="str">
        <f>'table-4'!A64</f>
        <v>ASPS</v>
      </c>
      <c r="B11" s="12" t="str">
        <f>'table-4'!B64</f>
        <v>0.01MB</v>
      </c>
      <c r="C11" s="12">
        <f>'table-4'!C64</f>
        <v>3</v>
      </c>
      <c r="D11" s="12" t="str">
        <f>'table-4'!D64</f>
        <v>0.004</v>
      </c>
      <c r="E11" s="12" t="str">
        <f>'table-4'!E64</f>
        <v>0.041</v>
      </c>
      <c r="F11" s="12" t="str">
        <f>'table-4'!F64</f>
        <v>0.013</v>
      </c>
      <c r="G11" s="12" t="str">
        <f>'table-4'!G64</f>
        <v>0.010</v>
      </c>
      <c r="H11" s="12" t="str">
        <f>'table-4'!H64</f>
        <v>0.27X</v>
      </c>
      <c r="I11" s="12" t="str">
        <f>'table-4'!I64</f>
        <v>3.18X</v>
      </c>
      <c r="J11" s="12" t="str">
        <f>'table-4'!J64</f>
        <v>0.76X*</v>
      </c>
      <c r="L11" s="12"/>
      <c r="M11" s="12"/>
    </row>
    <row r="12" spans="1:13" x14ac:dyDescent="0.2">
      <c r="A12" s="12">
        <f>'table-4'!A65</f>
        <v>0</v>
      </c>
      <c r="B12" s="12" t="str">
        <f>'table-4'!B65</f>
        <v>1MB</v>
      </c>
      <c r="C12" s="12">
        <f>'table-4'!C65</f>
        <v>3</v>
      </c>
      <c r="D12" s="12" t="str">
        <f>'table-4'!D65</f>
        <v>19.846</v>
      </c>
      <c r="E12" s="12" t="str">
        <f>'table-4'!E65</f>
        <v>0.185</v>
      </c>
      <c r="F12" s="12" t="str">
        <f>'table-4'!F65</f>
        <v>0.049</v>
      </c>
      <c r="G12" s="12" t="str">
        <f>'table-4'!G65</f>
        <v>0.045</v>
      </c>
      <c r="H12" s="12" t="str">
        <f>'table-4'!H65</f>
        <v>408.17X</v>
      </c>
      <c r="I12" s="12" t="str">
        <f>'table-4'!I65</f>
        <v>3.80X</v>
      </c>
      <c r="J12" s="12" t="str">
        <f>'table-4'!J65</f>
        <v>0.93X*</v>
      </c>
      <c r="L12" s="12"/>
      <c r="M12" s="12"/>
    </row>
    <row r="13" spans="1:13" x14ac:dyDescent="0.2">
      <c r="A13" s="12">
        <f>'table-4'!A66</f>
        <v>0</v>
      </c>
      <c r="B13" s="12" t="str">
        <f>'table-4'!B66</f>
        <v>5MB</v>
      </c>
      <c r="C13" s="12">
        <f>'table-4'!C66</f>
        <v>4</v>
      </c>
      <c r="D13" s="12" t="str">
        <f>'table-4'!D66</f>
        <v>TO</v>
      </c>
      <c r="E13" s="12" t="str">
        <f>'table-4'!E66</f>
        <v>0.663</v>
      </c>
      <c r="F13" s="12" t="str">
        <f>'table-4'!F66</f>
        <v>0.174</v>
      </c>
      <c r="G13" s="12" t="str">
        <f>'table-4'!G66</f>
        <v>0.178</v>
      </c>
      <c r="H13" s="12" t="str">
        <f>'table-4'!H66</f>
        <v>&gt;3448.28X</v>
      </c>
      <c r="I13" s="12" t="str">
        <f>'table-4'!I66</f>
        <v>3.81X</v>
      </c>
      <c r="J13" s="12" t="str">
        <f>'table-4'!J66</f>
        <v>1.03X*</v>
      </c>
      <c r="L13" s="12"/>
      <c r="M13" s="12"/>
    </row>
    <row r="14" spans="1:13" x14ac:dyDescent="0.2">
      <c r="A14" s="12" t="str">
        <f>'table-4'!A67</f>
        <v>BOM</v>
      </c>
      <c r="B14" s="12" t="str">
        <f>'table-4'!B67</f>
        <v>0.01MB</v>
      </c>
      <c r="C14" s="12">
        <f>'table-4'!C67</f>
        <v>2</v>
      </c>
      <c r="D14" s="12" t="str">
        <f>'table-4'!D67</f>
        <v>0.002</v>
      </c>
      <c r="E14" s="12" t="str">
        <f>'table-4'!E67</f>
        <v>0.038</v>
      </c>
      <c r="F14" s="12" t="str">
        <f>'table-4'!F67</f>
        <v>0.009</v>
      </c>
      <c r="G14" s="12" t="str">
        <f>'table-4'!G67</f>
        <v>0.009</v>
      </c>
      <c r="H14" s="12" t="str">
        <f>'table-4'!H67</f>
        <v>0.21X*</v>
      </c>
      <c r="I14" s="12" t="str">
        <f>'table-4'!I67</f>
        <v>4.36X</v>
      </c>
      <c r="J14" s="12" t="str">
        <f>'table-4'!J67</f>
        <v>0.99X*</v>
      </c>
      <c r="L14" s="12"/>
      <c r="M14" s="12"/>
    </row>
    <row r="15" spans="1:13" x14ac:dyDescent="0.2">
      <c r="A15" s="12">
        <f>'table-4'!A68</f>
        <v>0</v>
      </c>
      <c r="B15" s="12" t="str">
        <f>'table-4'!B68</f>
        <v>2MB</v>
      </c>
      <c r="C15" s="12">
        <f>'table-4'!C68</f>
        <v>5</v>
      </c>
      <c r="D15" s="12" t="str">
        <f>'table-4'!D68</f>
        <v>136.253</v>
      </c>
      <c r="E15" s="12" t="str">
        <f>'table-4'!E68</f>
        <v>0.566</v>
      </c>
      <c r="F15" s="12" t="str">
        <f>'table-4'!F68</f>
        <v>0.088</v>
      </c>
      <c r="G15" s="12" t="str">
        <f>'table-4'!G68</f>
        <v>0.090</v>
      </c>
      <c r="H15" s="12" t="str">
        <f>'table-4'!H68</f>
        <v>1541.17X</v>
      </c>
      <c r="I15" s="12" t="str">
        <f>'table-4'!I68</f>
        <v>6.40X</v>
      </c>
      <c r="J15" s="12" t="str">
        <f>'table-4'!J68</f>
        <v>1.02X*</v>
      </c>
      <c r="L15" s="12"/>
      <c r="M15" s="12"/>
    </row>
    <row r="16" spans="1:13" x14ac:dyDescent="0.2">
      <c r="A16" s="12">
        <f>'table-4'!A69</f>
        <v>0</v>
      </c>
      <c r="B16" s="12" t="str">
        <f>'table-4'!B69</f>
        <v>20MB</v>
      </c>
      <c r="C16" s="12">
        <f>'table-4'!C69</f>
        <v>22</v>
      </c>
      <c r="D16" s="12" t="str">
        <f>'table-4'!D69</f>
        <v>TO</v>
      </c>
      <c r="E16" s="12" t="str">
        <f>'table-4'!E69</f>
        <v>13.982</v>
      </c>
      <c r="F16" s="12" t="str">
        <f>'table-4'!F69</f>
        <v>2.044</v>
      </c>
      <c r="G16" s="12" t="str">
        <f>'table-4'!G69</f>
        <v>2.052</v>
      </c>
      <c r="H16" s="12" t="str">
        <f>'table-4'!H69</f>
        <v>&gt;293.54X</v>
      </c>
      <c r="I16" s="12" t="str">
        <f>'table-4'!I69</f>
        <v>6.84X</v>
      </c>
      <c r="J16" s="12" t="str">
        <f>'table-4'!J69</f>
        <v>1.00X*</v>
      </c>
      <c r="L16" s="12" t="s">
        <v>103</v>
      </c>
      <c r="M16" s="12" t="str">
        <f>'table-5'!P69</f>
        <v>1X, 1X, 1X</v>
      </c>
    </row>
    <row r="17" spans="1:10" x14ac:dyDescent="0.2">
      <c r="A17" s="12" t="str">
        <f>'table-4'!A70</f>
        <v>CBA</v>
      </c>
      <c r="B17" s="12" t="str">
        <f>'table-4'!B70</f>
        <v>0.02MB</v>
      </c>
      <c r="C17" s="12">
        <f>'table-4'!C70</f>
        <v>9</v>
      </c>
      <c r="D17" s="12" t="str">
        <f>'table-4'!D70</f>
        <v>0.006</v>
      </c>
      <c r="E17" s="12" t="str">
        <f>'table-4'!E70</f>
        <v>0.368</v>
      </c>
      <c r="F17" s="12" t="str">
        <f>'table-4'!F70</f>
        <v>0.031</v>
      </c>
      <c r="G17" s="12" t="str">
        <f>'table-4'!G70</f>
        <v>0.028</v>
      </c>
      <c r="H17" s="12" t="str">
        <f>'table-4'!H70</f>
        <v>0.19X</v>
      </c>
      <c r="I17" s="12" t="str">
        <f>'table-4'!I70</f>
        <v>11.89X</v>
      </c>
      <c r="J17" s="12" t="str">
        <f>'table-4'!J70</f>
        <v>0.91X*</v>
      </c>
    </row>
    <row r="18" spans="1:10" x14ac:dyDescent="0.2">
      <c r="A18" s="12">
        <f>'table-4'!A71</f>
        <v>0</v>
      </c>
      <c r="B18" s="12" t="str">
        <f>'table-4'!B71</f>
        <v>0.1MB</v>
      </c>
      <c r="C18" s="12">
        <f>'table-4'!C71</f>
        <v>1</v>
      </c>
      <c r="D18" s="12" t="str">
        <f>'table-4'!D71</f>
        <v>TO</v>
      </c>
      <c r="E18" s="12" t="str">
        <f>'table-4'!E71</f>
        <v>0.071</v>
      </c>
      <c r="F18" s="12" t="str">
        <f>'table-4'!F71</f>
        <v>0.024</v>
      </c>
      <c r="G18" s="12" t="str">
        <f>'table-4'!G71</f>
        <v>0.018</v>
      </c>
      <c r="H18" s="12" t="str">
        <f>'table-4'!H71</f>
        <v>&gt;25000.00X</v>
      </c>
      <c r="I18" s="12" t="str">
        <f>'table-4'!I71</f>
        <v>2.98X</v>
      </c>
      <c r="J18" s="12" t="str">
        <f>'table-4'!J71</f>
        <v>0.76X*</v>
      </c>
    </row>
    <row r="19" spans="1:10" x14ac:dyDescent="0.2">
      <c r="A19" s="12">
        <f>'table-4'!A72</f>
        <v>0</v>
      </c>
      <c r="B19" s="12" t="str">
        <f>'table-4'!B72</f>
        <v>0.2MB</v>
      </c>
      <c r="C19" s="12">
        <f>'table-4'!C72</f>
        <v>1</v>
      </c>
      <c r="D19" s="12" t="str">
        <f>'table-4'!D72</f>
        <v>TO</v>
      </c>
      <c r="E19" s="12" t="str">
        <f>'table-4'!E72</f>
        <v>0.062</v>
      </c>
      <c r="F19" s="12" t="str">
        <f>'table-4'!F72</f>
        <v>0.025</v>
      </c>
      <c r="G19" s="12" t="str">
        <f>'table-4'!G72</f>
        <v>0.020</v>
      </c>
      <c r="H19" s="12" t="str">
        <f>'table-4'!H72</f>
        <v>&gt;24000.00X</v>
      </c>
      <c r="I19" s="12" t="str">
        <f>'table-4'!I72</f>
        <v>2.47X</v>
      </c>
      <c r="J19" s="12" t="str">
        <f>'table-4'!J72</f>
        <v>0.78X*</v>
      </c>
    </row>
    <row r="20" spans="1:10" x14ac:dyDescent="0.2">
      <c r="A20" s="12" t="str">
        <f>'table-4'!A73</f>
        <v>CC</v>
      </c>
      <c r="B20" s="12" t="str">
        <f>'table-4'!B73</f>
        <v>0.01MB</v>
      </c>
      <c r="C20" s="12">
        <f>'table-4'!C73</f>
        <v>3</v>
      </c>
      <c r="D20" s="12" t="str">
        <f>'table-4'!D73</f>
        <v>0.002</v>
      </c>
      <c r="E20" s="12" t="str">
        <f>'table-4'!E73</f>
        <v>0.067</v>
      </c>
      <c r="F20" s="12" t="str">
        <f>'table-4'!F73</f>
        <v>0.010</v>
      </c>
      <c r="G20" s="12" t="str">
        <f>'table-4'!G73</f>
        <v>0.011</v>
      </c>
      <c r="H20" s="12" t="str">
        <f>'table-4'!H73</f>
        <v>0.24X*</v>
      </c>
      <c r="I20" s="12" t="str">
        <f>'table-4'!I73</f>
        <v>6.82X</v>
      </c>
      <c r="J20" s="12" t="str">
        <f>'table-4'!J73</f>
        <v>1.08X*</v>
      </c>
    </row>
    <row r="21" spans="1:10" x14ac:dyDescent="0.2">
      <c r="A21" s="12">
        <f>'table-4'!A74</f>
        <v>0</v>
      </c>
      <c r="B21" s="12" t="str">
        <f>'table-4'!B74</f>
        <v>1MB</v>
      </c>
      <c r="C21" s="12">
        <f>'table-4'!C74</f>
        <v>3</v>
      </c>
      <c r="D21" s="12" t="str">
        <f>'table-4'!D74</f>
        <v>14.768</v>
      </c>
      <c r="E21" s="12" t="str">
        <f>'table-4'!E74</f>
        <v>0.766</v>
      </c>
      <c r="F21" s="12" t="str">
        <f>'table-4'!F74</f>
        <v>0.303</v>
      </c>
      <c r="G21" s="12" t="str">
        <f>'table-4'!G74</f>
        <v>0.292</v>
      </c>
      <c r="H21" s="12" t="str">
        <f>'table-4'!H74</f>
        <v>48.82X</v>
      </c>
      <c r="I21" s="12" t="str">
        <f>'table-4'!I74</f>
        <v>2.53X</v>
      </c>
      <c r="J21" s="12" t="str">
        <f>'table-4'!J74</f>
        <v>0.96X*</v>
      </c>
    </row>
    <row r="22" spans="1:10" x14ac:dyDescent="0.2">
      <c r="A22" s="12">
        <f>'table-4'!A75</f>
        <v>0</v>
      </c>
      <c r="B22" s="12" t="str">
        <f>'table-4'!B75</f>
        <v>1.5MB</v>
      </c>
      <c r="C22" s="12">
        <f>'table-4'!C75</f>
        <v>3</v>
      </c>
      <c r="D22" s="12" t="str">
        <f>'table-4'!D75</f>
        <v>33.902</v>
      </c>
      <c r="E22" s="12" t="str">
        <f>'table-4'!E75</f>
        <v>0.918</v>
      </c>
      <c r="F22" s="12" t="str">
        <f>'table-4'!F75</f>
        <v>0.739</v>
      </c>
      <c r="G22" s="12" t="str">
        <f>'table-4'!G75</f>
        <v>0.695</v>
      </c>
      <c r="H22" s="12" t="str">
        <f>'table-4'!H75</f>
        <v>45.85X</v>
      </c>
      <c r="I22" s="12" t="str">
        <f>'table-4'!I75</f>
        <v>1.24X*</v>
      </c>
      <c r="J22" s="12" t="str">
        <f>'table-4'!J75</f>
        <v>0.94X*</v>
      </c>
    </row>
    <row r="23" spans="1:10" x14ac:dyDescent="0.2">
      <c r="A23" s="12" t="str">
        <f>'table-4'!A76</f>
        <v>CSPA</v>
      </c>
      <c r="B23" s="12" t="str">
        <f>'table-4'!B76</f>
        <v>0.01MB</v>
      </c>
      <c r="C23" s="12">
        <f>'table-4'!C76</f>
        <v>5</v>
      </c>
      <c r="D23" s="12" t="str">
        <f>'table-4'!D76</f>
        <v>0.002</v>
      </c>
      <c r="E23" s="12" t="str">
        <f>'table-4'!E76</f>
        <v>0.155</v>
      </c>
      <c r="F23" s="12" t="str">
        <f>'table-4'!F76</f>
        <v>0.026</v>
      </c>
      <c r="G23" s="12" t="str">
        <f>'table-4'!G76</f>
        <v>0.021</v>
      </c>
      <c r="H23" s="12" t="str">
        <f>'table-4'!H76</f>
        <v>0.09X</v>
      </c>
      <c r="I23" s="12" t="str">
        <f>'table-4'!I76</f>
        <v>5.90X</v>
      </c>
      <c r="J23" s="12" t="str">
        <f>'table-4'!J76</f>
        <v>0.80X*</v>
      </c>
    </row>
    <row r="24" spans="1:10" x14ac:dyDescent="0.2">
      <c r="A24" s="12">
        <f>'table-4'!A77</f>
        <v>0</v>
      </c>
      <c r="B24" s="12" t="str">
        <f>'table-4'!B77</f>
        <v>2MB</v>
      </c>
      <c r="C24" s="12">
        <f>'table-4'!C77</f>
        <v>11</v>
      </c>
      <c r="D24" s="12" t="str">
        <f>'table-4'!D77</f>
        <v>TO</v>
      </c>
      <c r="E24" s="12" t="str">
        <f>'table-4'!E77</f>
        <v>5.713</v>
      </c>
      <c r="F24" s="12" t="str">
        <f>'table-4'!F77</f>
        <v>1.110</v>
      </c>
      <c r="G24" s="12" t="str">
        <f>'table-4'!G77</f>
        <v>1.059</v>
      </c>
      <c r="H24" s="12" t="str">
        <f>'table-4'!H77</f>
        <v>&gt;540.54X</v>
      </c>
      <c r="I24" s="12" t="str">
        <f>'table-4'!I77</f>
        <v>5.15X</v>
      </c>
      <c r="J24" s="12" t="str">
        <f>'table-4'!J77</f>
        <v>0.95X*</v>
      </c>
    </row>
    <row r="25" spans="1:10" x14ac:dyDescent="0.2">
      <c r="A25" s="12">
        <f>'table-4'!A78</f>
        <v>0</v>
      </c>
      <c r="B25" s="12" t="str">
        <f>'table-4'!B78</f>
        <v>10MB</v>
      </c>
      <c r="C25" s="12">
        <f>'table-4'!C78</f>
        <v>14</v>
      </c>
      <c r="D25" s="12" t="str">
        <f>'table-4'!D78</f>
        <v>TO</v>
      </c>
      <c r="E25" s="12" t="str">
        <f>'table-4'!E78</f>
        <v>280.456</v>
      </c>
      <c r="F25" s="12" t="str">
        <f>'table-4'!F78</f>
        <v>28.579</v>
      </c>
      <c r="G25" s="12" t="str">
        <f>'table-4'!G78</f>
        <v>28.562</v>
      </c>
      <c r="H25" s="12" t="str">
        <f>'table-4'!H78</f>
        <v>&gt;20.99X</v>
      </c>
      <c r="I25" s="12" t="str">
        <f>'table-4'!I78</f>
        <v>9.81X</v>
      </c>
      <c r="J25" s="12" t="str">
        <f>'table-4'!J78</f>
        <v>1.00X*</v>
      </c>
    </row>
    <row r="26" spans="1:10" x14ac:dyDescent="0.2">
      <c r="A26" s="12" t="str">
        <f>'table-4'!A79</f>
        <v>Data Flow</v>
      </c>
      <c r="B26" s="12" t="str">
        <f>'table-4'!B79</f>
        <v>0.01MB</v>
      </c>
      <c r="C26" s="12">
        <f>'table-4'!C79</f>
        <v>3</v>
      </c>
      <c r="D26" s="12" t="str">
        <f>'table-4'!D79</f>
        <v>0.002</v>
      </c>
      <c r="E26" s="12" t="str">
        <f>'table-4'!E79</f>
        <v>0.045</v>
      </c>
      <c r="F26" s="12" t="str">
        <f>'table-4'!F79</f>
        <v>0.007</v>
      </c>
      <c r="G26" s="12" t="str">
        <f>'table-4'!G79</f>
        <v>0.005</v>
      </c>
      <c r="H26" s="12" t="str">
        <f>'table-4'!H79</f>
        <v>0.29X*</v>
      </c>
      <c r="I26" s="12" t="str">
        <f>'table-4'!I79</f>
        <v>6.34X</v>
      </c>
      <c r="J26" s="12" t="str">
        <f>'table-4'!J79</f>
        <v>0.65X*</v>
      </c>
    </row>
    <row r="27" spans="1:10" x14ac:dyDescent="0.2">
      <c r="A27" s="12">
        <f>'table-4'!A80</f>
        <v>0</v>
      </c>
      <c r="B27" s="12" t="str">
        <f>'table-4'!B80</f>
        <v>0.03MB</v>
      </c>
      <c r="C27" s="12">
        <f>'table-4'!C80</f>
        <v>3</v>
      </c>
      <c r="D27" s="12" t="str">
        <f>'table-4'!D80</f>
        <v>18.281</v>
      </c>
      <c r="E27" s="12" t="str">
        <f>'table-4'!E80</f>
        <v>0.064</v>
      </c>
      <c r="F27" s="12" t="str">
        <f>'table-4'!F80</f>
        <v>0.008</v>
      </c>
      <c r="G27" s="12" t="str">
        <f>'table-4'!G80</f>
        <v>0.008</v>
      </c>
      <c r="H27" s="12" t="str">
        <f>'table-4'!H80</f>
        <v>2380.08X</v>
      </c>
      <c r="I27" s="12" t="str">
        <f>'table-4'!I80</f>
        <v>8.33X</v>
      </c>
      <c r="J27" s="12" t="str">
        <f>'table-4'!J80</f>
        <v>1.06X*</v>
      </c>
    </row>
    <row r="28" spans="1:10" x14ac:dyDescent="0.2">
      <c r="A28" s="12">
        <f>'table-4'!A81</f>
        <v>0</v>
      </c>
      <c r="B28" s="12" t="str">
        <f>'table-4'!B81</f>
        <v>0.05MB</v>
      </c>
      <c r="C28" s="12">
        <f>'table-4'!C81</f>
        <v>5</v>
      </c>
      <c r="D28" s="12" t="str">
        <f>'table-4'!D81</f>
        <v>210.906</v>
      </c>
      <c r="E28" s="12" t="str">
        <f>'table-4'!E81</f>
        <v>0.121</v>
      </c>
      <c r="F28" s="12" t="str">
        <f>'table-4'!F81</f>
        <v>0.011</v>
      </c>
      <c r="G28" s="12" t="str">
        <f>'table-4'!G81</f>
        <v>0.010</v>
      </c>
      <c r="H28" s="12" t="str">
        <f>'table-4'!H81</f>
        <v>18723.85X</v>
      </c>
      <c r="I28" s="12" t="str">
        <f>'table-4'!I81</f>
        <v>10.71X</v>
      </c>
      <c r="J28" s="12" t="str">
        <f>'table-4'!J81</f>
        <v>0.91X*</v>
      </c>
    </row>
    <row r="29" spans="1:10" x14ac:dyDescent="0.2">
      <c r="A29" s="12" t="str">
        <f>'table-4'!A82</f>
        <v>Even-Odd</v>
      </c>
      <c r="B29" s="12" t="str">
        <f>'table-4'!B82</f>
        <v>0.01MB</v>
      </c>
      <c r="C29" s="12">
        <f>'table-4'!C82</f>
        <v>17</v>
      </c>
      <c r="D29" s="12" t="str">
        <f>'table-4'!D82</f>
        <v>0.002</v>
      </c>
      <c r="E29" s="12" t="str">
        <f>'table-4'!E82</f>
        <v>0.295</v>
      </c>
      <c r="F29" s="12" t="str">
        <f>'table-4'!F82</f>
        <v>0.011</v>
      </c>
      <c r="G29" s="12" t="str">
        <f>'table-4'!G82</f>
        <v>0.010</v>
      </c>
      <c r="H29" s="12" t="str">
        <f>'table-4'!H82</f>
        <v>0.22X*</v>
      </c>
      <c r="I29" s="12" t="str">
        <f>'table-4'!I82</f>
        <v>26.31X</v>
      </c>
      <c r="J29" s="12" t="str">
        <f>'table-4'!J82</f>
        <v>0.85X*</v>
      </c>
    </row>
    <row r="30" spans="1:10" x14ac:dyDescent="0.2">
      <c r="A30" s="12">
        <f>'table-4'!A83</f>
        <v>0</v>
      </c>
      <c r="B30" s="12" t="str">
        <f>'table-4'!B83</f>
        <v>1MB</v>
      </c>
      <c r="C30" s="12" t="str">
        <f>'table-4'!C83</f>
        <v>-</v>
      </c>
      <c r="D30" s="12" t="str">
        <f>'table-4'!D83</f>
        <v>TO</v>
      </c>
      <c r="E30" s="12" t="str">
        <f>'table-4'!E83</f>
        <v>TO</v>
      </c>
      <c r="F30" s="12" t="str">
        <f>'table-4'!F83</f>
        <v>182.745</v>
      </c>
      <c r="G30" s="12" t="str">
        <f>'table-4'!G83</f>
        <v>183.960</v>
      </c>
      <c r="H30" s="12" t="str">
        <f>'table-4'!H83</f>
        <v>&gt;3.28X</v>
      </c>
      <c r="I30" s="12" t="str">
        <f>'table-4'!I83</f>
        <v>&gt;3.28X</v>
      </c>
      <c r="J30" s="12" t="str">
        <f>'table-4'!J83</f>
        <v>1.01X*</v>
      </c>
    </row>
    <row r="31" spans="1:10" x14ac:dyDescent="0.2">
      <c r="A31" s="12">
        <f>'table-4'!A84</f>
        <v>0</v>
      </c>
      <c r="B31" s="12" t="str">
        <f>'table-4'!B84</f>
        <v>2MB</v>
      </c>
      <c r="C31" s="12" t="str">
        <f>'table-4'!C84</f>
        <v>-</v>
      </c>
      <c r="D31" s="12" t="str">
        <f>'table-4'!D84</f>
        <v>TO</v>
      </c>
      <c r="E31" s="12" t="str">
        <f>'table-4'!E84</f>
        <v>TO</v>
      </c>
      <c r="F31" s="12" t="str">
        <f>'table-4'!F84</f>
        <v>447.755</v>
      </c>
      <c r="G31" s="12" t="str">
        <f>'table-4'!G84</f>
        <v>442.862</v>
      </c>
      <c r="H31" s="12" t="str">
        <f>'table-4'!H84</f>
        <v>&gt;1.34X</v>
      </c>
      <c r="I31" s="12" t="str">
        <f>'table-4'!I84</f>
        <v>&gt;1.34X</v>
      </c>
      <c r="J31" s="12" t="str">
        <f>'table-4'!J84</f>
        <v>0.99X*</v>
      </c>
    </row>
    <row r="32" spans="1:10" x14ac:dyDescent="0.2">
      <c r="A32" s="12" t="str">
        <f>'table-4'!A85</f>
        <v>JPT</v>
      </c>
      <c r="B32" s="12" t="str">
        <f>'table-4'!B85</f>
        <v>0.02MB</v>
      </c>
      <c r="C32" s="12">
        <f>'table-4'!C85</f>
        <v>3</v>
      </c>
      <c r="D32" s="12" t="str">
        <f>'table-4'!D85</f>
        <v>0.002</v>
      </c>
      <c r="E32" s="12" t="str">
        <f>'table-4'!E85</f>
        <v>0.071</v>
      </c>
      <c r="F32" s="12" t="str">
        <f>'table-4'!F85</f>
        <v>0.018</v>
      </c>
      <c r="G32" s="12" t="str">
        <f>'table-4'!G85</f>
        <v>0.013</v>
      </c>
      <c r="H32" s="12" t="str">
        <f>'table-4'!H85</f>
        <v>0.12X</v>
      </c>
      <c r="I32" s="12" t="str">
        <f>'table-4'!I85</f>
        <v>4.06X</v>
      </c>
      <c r="J32" s="12" t="str">
        <f>'table-4'!J85</f>
        <v>0.73X*</v>
      </c>
    </row>
    <row r="33" spans="1:10" x14ac:dyDescent="0.2">
      <c r="A33" s="12">
        <f>'table-4'!A86</f>
        <v>0</v>
      </c>
      <c r="B33" s="12" t="str">
        <f>'table-4'!B86</f>
        <v>0.05MB</v>
      </c>
      <c r="C33" s="12">
        <f>'table-4'!C86</f>
        <v>16</v>
      </c>
      <c r="D33" s="12" t="str">
        <f>'table-4'!D86</f>
        <v>TO</v>
      </c>
      <c r="E33" s="12" t="str">
        <f>'table-4'!E86</f>
        <v>0.828</v>
      </c>
      <c r="F33" s="12" t="str">
        <f>'table-4'!F86</f>
        <v>0.055</v>
      </c>
      <c r="G33" s="12" t="str">
        <f>'table-4'!G86</f>
        <v>0.053</v>
      </c>
      <c r="H33" s="12" t="str">
        <f>'table-4'!H86</f>
        <v>&gt;10909.09X</v>
      </c>
      <c r="I33" s="12" t="str">
        <f>'table-4'!I86</f>
        <v>14.94X</v>
      </c>
      <c r="J33" s="12" t="str">
        <f>'table-4'!J86</f>
        <v>0.96X*</v>
      </c>
    </row>
    <row r="34" spans="1:10" x14ac:dyDescent="0.2">
      <c r="A34" s="12">
        <f>'table-4'!A87</f>
        <v>0</v>
      </c>
      <c r="B34" s="12" t="str">
        <f>'table-4'!B87</f>
        <v>0.1MB</v>
      </c>
      <c r="C34" s="12" t="str">
        <f>'table-4'!C87</f>
        <v>-</v>
      </c>
      <c r="D34" s="12" t="str">
        <f>'table-4'!D87</f>
        <v>TO</v>
      </c>
      <c r="E34" s="12" t="str">
        <f>'table-4'!E87</f>
        <v>TO</v>
      </c>
      <c r="F34" s="12" t="str">
        <f>'table-4'!F87</f>
        <v>0.478</v>
      </c>
      <c r="G34" s="12" t="str">
        <f>'table-4'!G87</f>
        <v>0.477</v>
      </c>
      <c r="H34" s="12" t="str">
        <f>'table-4'!H87</f>
        <v>&gt;1255.23X</v>
      </c>
      <c r="I34" s="12" t="str">
        <f>'table-4'!I87</f>
        <v>&gt;1255.23X</v>
      </c>
      <c r="J34" s="12" t="str">
        <f>'table-4'!J87</f>
        <v>1.00X*</v>
      </c>
    </row>
    <row r="35" spans="1:10" x14ac:dyDescent="0.2">
      <c r="A35" s="12" t="str">
        <f>'table-4'!A88</f>
        <v>Orbits</v>
      </c>
      <c r="B35" s="12" t="str">
        <f>'table-4'!B88</f>
        <v>0.01MB</v>
      </c>
      <c r="C35" s="12">
        <f>'table-4'!C88</f>
        <v>2</v>
      </c>
      <c r="D35" s="12" t="str">
        <f>'table-4'!D88</f>
        <v>0.002</v>
      </c>
      <c r="E35" s="12" t="str">
        <f>'table-4'!E88</f>
        <v>0.037</v>
      </c>
      <c r="F35" s="12" t="str">
        <f>'table-4'!F88</f>
        <v>0.007</v>
      </c>
      <c r="G35" s="12" t="str">
        <f>'table-4'!G88</f>
        <v>0.006</v>
      </c>
      <c r="H35" s="12" t="str">
        <f>'table-4'!H88</f>
        <v>0.32X*</v>
      </c>
      <c r="I35" s="12" t="str">
        <f>'table-4'!I88</f>
        <v>5.44X</v>
      </c>
      <c r="J35" s="12" t="str">
        <f>'table-4'!J88</f>
        <v>0.85X*</v>
      </c>
    </row>
    <row r="36" spans="1:10" x14ac:dyDescent="0.2">
      <c r="A36" s="12">
        <f>'table-4'!A89</f>
        <v>0</v>
      </c>
      <c r="B36" s="12" t="str">
        <f>'table-4'!B89</f>
        <v>1MB</v>
      </c>
      <c r="C36" s="12">
        <f>'table-4'!C89</f>
        <v>2</v>
      </c>
      <c r="D36" s="12" t="str">
        <f>'table-4'!D89</f>
        <v>TO</v>
      </c>
      <c r="E36" s="12" t="str">
        <f>'table-4'!E89</f>
        <v>0.392</v>
      </c>
      <c r="F36" s="12" t="str">
        <f>'table-4'!F89</f>
        <v>0.067</v>
      </c>
      <c r="G36" s="12" t="str">
        <f>'table-4'!G89</f>
        <v>0.069</v>
      </c>
      <c r="H36" s="12" t="str">
        <f>'table-4'!H89</f>
        <v>&gt;8955.22X</v>
      </c>
      <c r="I36" s="12" t="str">
        <f>'table-4'!I89</f>
        <v>5.89X</v>
      </c>
      <c r="J36" s="12" t="str">
        <f>'table-4'!J89</f>
        <v>1.04X*</v>
      </c>
    </row>
    <row r="37" spans="1:10" x14ac:dyDescent="0.2">
      <c r="A37" s="12">
        <f>'table-4'!A90</f>
        <v>0</v>
      </c>
      <c r="B37" s="12" t="str">
        <f>'table-4'!B90</f>
        <v>10MB</v>
      </c>
      <c r="C37" s="12">
        <f>'table-4'!C90</f>
        <v>2</v>
      </c>
      <c r="D37" s="12" t="str">
        <f>'table-4'!D90</f>
        <v>TO</v>
      </c>
      <c r="E37" s="12" t="str">
        <f>'table-4'!E90</f>
        <v>0.717</v>
      </c>
      <c r="F37" s="12" t="str">
        <f>'table-4'!F90</f>
        <v>0.706</v>
      </c>
      <c r="G37" s="12" t="str">
        <f>'table-4'!G90</f>
        <v>0.713</v>
      </c>
      <c r="H37" s="12" t="str">
        <f>'table-4'!H90</f>
        <v>&gt;849.86X</v>
      </c>
      <c r="I37" s="12" t="str">
        <f>'table-4'!I90</f>
        <v>1.01X*</v>
      </c>
      <c r="J37" s="12" t="str">
        <f>'table-4'!J90</f>
        <v>1.01X*</v>
      </c>
    </row>
    <row r="38" spans="1:10" x14ac:dyDescent="0.2">
      <c r="A38" s="12" t="str">
        <f>'table-4'!A91</f>
        <v>Party</v>
      </c>
      <c r="B38" s="12" t="str">
        <f>'table-4'!B91</f>
        <v>0.01MB</v>
      </c>
      <c r="C38" s="12">
        <f>'table-4'!C91</f>
        <v>5</v>
      </c>
      <c r="D38" s="12" t="str">
        <f>'table-4'!D91</f>
        <v>0.003</v>
      </c>
      <c r="E38" s="12" t="str">
        <f>'table-4'!E91</f>
        <v>0.074</v>
      </c>
      <c r="F38" s="12" t="str">
        <f>'table-4'!F91</f>
        <v>0.009</v>
      </c>
      <c r="G38" s="12" t="str">
        <f>'table-4'!G91</f>
        <v>0.006</v>
      </c>
      <c r="H38" s="12" t="str">
        <f>'table-4'!H91</f>
        <v>0.39X*</v>
      </c>
      <c r="I38" s="12" t="str">
        <f>'table-4'!I91</f>
        <v>8.34X</v>
      </c>
      <c r="J38" s="12" t="str">
        <f>'table-4'!J91</f>
        <v>0.67X*</v>
      </c>
    </row>
    <row r="39" spans="1:10" x14ac:dyDescent="0.2">
      <c r="A39" s="12">
        <f>'table-4'!A92</f>
        <v>0</v>
      </c>
      <c r="B39" s="12" t="str">
        <f>'table-4'!B92</f>
        <v>2MB</v>
      </c>
      <c r="C39" s="12">
        <f>'table-4'!C92</f>
        <v>5</v>
      </c>
      <c r="D39" s="12" t="str">
        <f>'table-4'!D92</f>
        <v>TO</v>
      </c>
      <c r="E39" s="12" t="str">
        <f>'table-4'!E92</f>
        <v>0.650</v>
      </c>
      <c r="F39" s="12" t="str">
        <f>'table-4'!F92</f>
        <v>0.091</v>
      </c>
      <c r="G39" s="12" t="str">
        <f>'table-4'!G92</f>
        <v>0.087</v>
      </c>
      <c r="H39" s="12" t="str">
        <f>'table-4'!H92</f>
        <v>&gt;6593.41X</v>
      </c>
      <c r="I39" s="12" t="str">
        <f>'table-4'!I92</f>
        <v>7.17X</v>
      </c>
      <c r="J39" s="12" t="str">
        <f>'table-4'!J92</f>
        <v>0.96X*</v>
      </c>
    </row>
    <row r="40" spans="1:10" x14ac:dyDescent="0.2">
      <c r="A40" s="12">
        <f>'table-4'!A93</f>
        <v>0</v>
      </c>
      <c r="B40" s="12" t="str">
        <f>'table-4'!B93</f>
        <v>20MB</v>
      </c>
      <c r="C40" s="12">
        <f>'table-4'!C93</f>
        <v>7</v>
      </c>
      <c r="D40" s="12" t="str">
        <f>'table-4'!D93</f>
        <v>TO</v>
      </c>
      <c r="E40" s="12" t="str">
        <f>'table-4'!E93</f>
        <v>3.369</v>
      </c>
      <c r="F40" s="12" t="str">
        <f>'table-4'!F93</f>
        <v>0.873</v>
      </c>
      <c r="G40" s="12" t="str">
        <f>'table-4'!G93</f>
        <v>0.866</v>
      </c>
      <c r="H40" s="12" t="str">
        <f>'table-4'!H93</f>
        <v>&gt;687.29X</v>
      </c>
      <c r="I40" s="12" t="str">
        <f>'table-4'!I93</f>
        <v>3.86X</v>
      </c>
      <c r="J40" s="12" t="str">
        <f>'table-4'!J93</f>
        <v>0.99X*</v>
      </c>
    </row>
    <row r="41" spans="1:10" x14ac:dyDescent="0.2">
      <c r="A41" s="12" t="str">
        <f>'table-4'!A94</f>
        <v>PTC</v>
      </c>
      <c r="B41" s="12" t="str">
        <f>'table-4'!B94</f>
        <v>0.02MB</v>
      </c>
      <c r="C41" s="12">
        <f>'table-4'!C94</f>
        <v>3</v>
      </c>
      <c r="D41" s="12" t="str">
        <f>'table-4'!D94</f>
        <v>0.002</v>
      </c>
      <c r="E41" s="12" t="str">
        <f>'table-4'!E94</f>
        <v>0.079</v>
      </c>
      <c r="F41" s="12" t="str">
        <f>'table-4'!F94</f>
        <v>0.014</v>
      </c>
      <c r="G41" s="12" t="str">
        <f>'table-4'!G94</f>
        <v>0.014</v>
      </c>
      <c r="H41" s="12" t="str">
        <f>'table-4'!H94</f>
        <v>0.15X</v>
      </c>
      <c r="I41" s="12" t="str">
        <f>'table-4'!I94</f>
        <v>5.59X</v>
      </c>
      <c r="J41" s="12" t="str">
        <f>'table-4'!J94</f>
        <v>1.02X*</v>
      </c>
    </row>
    <row r="42" spans="1:10" x14ac:dyDescent="0.2">
      <c r="A42" s="12">
        <f>'table-4'!A95</f>
        <v>0</v>
      </c>
      <c r="B42" s="12" t="str">
        <f>'table-4'!B95</f>
        <v>0.05MB</v>
      </c>
      <c r="C42" s="12">
        <f>'table-4'!C95</f>
        <v>16</v>
      </c>
      <c r="D42" s="12" t="str">
        <f>'table-4'!D95</f>
        <v>TO</v>
      </c>
      <c r="E42" s="12" t="str">
        <f>'table-4'!E95</f>
        <v>0.860</v>
      </c>
      <c r="F42" s="12" t="str">
        <f>'table-4'!F95</f>
        <v>0.054</v>
      </c>
      <c r="G42" s="12" t="str">
        <f>'table-4'!G95</f>
        <v>0.052</v>
      </c>
      <c r="H42" s="12" t="str">
        <f>'table-4'!H95</f>
        <v>&gt;11111.11X</v>
      </c>
      <c r="I42" s="12" t="str">
        <f>'table-4'!I95</f>
        <v>16.02X</v>
      </c>
      <c r="J42" s="12" t="str">
        <f>'table-4'!J95</f>
        <v>0.97X*</v>
      </c>
    </row>
    <row r="43" spans="1:10" x14ac:dyDescent="0.2">
      <c r="A43" s="12">
        <f>'table-4'!A96</f>
        <v>0</v>
      </c>
      <c r="B43" s="12" t="str">
        <f>'table-4'!B96</f>
        <v>0.1MB</v>
      </c>
      <c r="C43" s="12" t="str">
        <f>'table-4'!C96</f>
        <v>-</v>
      </c>
      <c r="D43" s="12" t="str">
        <f>'table-4'!D96</f>
        <v>TO</v>
      </c>
      <c r="E43" s="12" t="str">
        <f>'table-4'!E96</f>
        <v>TO</v>
      </c>
      <c r="F43" s="12" t="str">
        <f>'table-4'!F96</f>
        <v>2.188</v>
      </c>
      <c r="G43" s="12" t="str">
        <f>'table-4'!G96</f>
        <v>2.112</v>
      </c>
      <c r="H43" s="12" t="str">
        <f>'table-4'!H96</f>
        <v>&gt;274.22X</v>
      </c>
      <c r="I43" s="12" t="str">
        <f>'table-4'!I96</f>
        <v>&gt;274.22X</v>
      </c>
      <c r="J43" s="12" t="str">
        <f>'table-4'!J96</f>
        <v>0.97X*</v>
      </c>
    </row>
    <row r="44" spans="1:10" x14ac:dyDescent="0.2">
      <c r="A44" s="12" t="str">
        <f>'table-4'!A97</f>
        <v>SSSP</v>
      </c>
      <c r="B44" s="12" t="str">
        <f>'table-4'!B97</f>
        <v>0.01MB</v>
      </c>
      <c r="C44" s="12">
        <f>'table-4'!C97</f>
        <v>5</v>
      </c>
      <c r="D44" s="12" t="str">
        <f>'table-4'!D97</f>
        <v>0.002</v>
      </c>
      <c r="E44" s="12" t="str">
        <f>'table-4'!E97</f>
        <v>0.064</v>
      </c>
      <c r="F44" s="12" t="str">
        <f>'table-4'!F97</f>
        <v>0.012</v>
      </c>
      <c r="G44" s="12" t="str">
        <f>'table-4'!G97</f>
        <v>0.008</v>
      </c>
      <c r="H44" s="12" t="str">
        <f>'table-4'!H97</f>
        <v>0.19X</v>
      </c>
      <c r="I44" s="12" t="str">
        <f>'table-4'!I97</f>
        <v>5.34X</v>
      </c>
      <c r="J44" s="12" t="str">
        <f>'table-4'!J97</f>
        <v>0.71X*</v>
      </c>
    </row>
    <row r="45" spans="1:10" x14ac:dyDescent="0.2">
      <c r="A45" s="12">
        <f>'table-4'!A98</f>
        <v>0</v>
      </c>
      <c r="B45" s="12" t="str">
        <f>'table-4'!B98</f>
        <v>10MB</v>
      </c>
      <c r="C45" s="12">
        <f>'table-4'!C98</f>
        <v>9</v>
      </c>
      <c r="D45" s="12" t="str">
        <f>'table-4'!D98</f>
        <v>0.513</v>
      </c>
      <c r="E45" s="12" t="str">
        <f>'table-4'!E98</f>
        <v>0.161</v>
      </c>
      <c r="F45" s="12" t="str">
        <f>'table-4'!F98</f>
        <v>0.029</v>
      </c>
      <c r="G45" s="12" t="str">
        <f>'table-4'!G98</f>
        <v>0.027</v>
      </c>
      <c r="H45" s="12" t="str">
        <f>'table-4'!H98</f>
        <v>17.44X</v>
      </c>
      <c r="I45" s="12" t="str">
        <f>'table-4'!I98</f>
        <v>5.49X</v>
      </c>
      <c r="J45" s="12" t="str">
        <f>'table-4'!J98</f>
        <v>0.93X*</v>
      </c>
    </row>
    <row r="46" spans="1:10" x14ac:dyDescent="0.2">
      <c r="A46" s="12">
        <f>'table-4'!A99</f>
        <v>0</v>
      </c>
      <c r="B46" s="12" t="str">
        <f>'table-4'!B99</f>
        <v>25MB</v>
      </c>
      <c r="C46" s="12">
        <f>'table-4'!C99</f>
        <v>42</v>
      </c>
      <c r="D46" s="12" t="str">
        <f>'table-4'!D99</f>
        <v>160.057</v>
      </c>
      <c r="E46" s="12" t="str">
        <f>'table-4'!E99</f>
        <v>1.773</v>
      </c>
      <c r="F46" s="12" t="str">
        <f>'table-4'!F99</f>
        <v>0.173</v>
      </c>
      <c r="G46" s="12" t="str">
        <f>'table-4'!G99</f>
        <v>0.172</v>
      </c>
      <c r="H46" s="12" t="str">
        <f>'table-4'!H99</f>
        <v>924.99X</v>
      </c>
      <c r="I46" s="12" t="str">
        <f>'table-4'!I99</f>
        <v>10.25X</v>
      </c>
      <c r="J46" s="12" t="str">
        <f>'table-4'!J99</f>
        <v>0.99X*</v>
      </c>
    </row>
    <row r="47" spans="1:10" x14ac:dyDescent="0.2">
      <c r="A47" s="12" t="str">
        <f>'table-4'!A100</f>
        <v>TC</v>
      </c>
      <c r="B47" s="12" t="str">
        <f>'table-4'!B100</f>
        <v>0.01MB</v>
      </c>
      <c r="C47" s="12">
        <f>'table-4'!C100</f>
        <v>2</v>
      </c>
      <c r="D47" s="12" t="str">
        <f>'table-4'!D100</f>
        <v>0.001</v>
      </c>
      <c r="E47" s="12" t="str">
        <f>'table-4'!E100</f>
        <v>0.030</v>
      </c>
      <c r="F47" s="12" t="str">
        <f>'table-4'!F100</f>
        <v>0.009</v>
      </c>
      <c r="G47" s="12" t="str">
        <f>'table-4'!G100</f>
        <v>0.004</v>
      </c>
      <c r="H47" s="12" t="str">
        <f>'table-4'!H100</f>
        <v>0.10X</v>
      </c>
      <c r="I47" s="12" t="str">
        <f>'table-4'!I100</f>
        <v>3.36X*</v>
      </c>
      <c r="J47" s="12" t="str">
        <f>'table-4'!J100</f>
        <v>0.47X*</v>
      </c>
    </row>
    <row r="48" spans="1:10" x14ac:dyDescent="0.2">
      <c r="A48" s="12">
        <f>'table-4'!A101</f>
        <v>0</v>
      </c>
      <c r="B48" s="12" t="str">
        <f>'table-4'!B101</f>
        <v>5MB</v>
      </c>
      <c r="C48" s="12">
        <f>'table-4'!C101</f>
        <v>5</v>
      </c>
      <c r="D48" s="12" t="str">
        <f>'table-4'!D101</f>
        <v>0.365</v>
      </c>
      <c r="E48" s="12" t="str">
        <f>'table-4'!E101</f>
        <v>0.076</v>
      </c>
      <c r="F48" s="12" t="str">
        <f>'table-4'!F101</f>
        <v>0.021</v>
      </c>
      <c r="G48" s="12" t="str">
        <f>'table-4'!G101</f>
        <v>0.019</v>
      </c>
      <c r="H48" s="12" t="str">
        <f>'table-4'!H101</f>
        <v>17.01X</v>
      </c>
      <c r="I48" s="12" t="str">
        <f>'table-4'!I101</f>
        <v>3.55X</v>
      </c>
      <c r="J48" s="12" t="str">
        <f>'table-4'!J101</f>
        <v>0.86X*</v>
      </c>
    </row>
    <row r="49" spans="1:10" x14ac:dyDescent="0.2">
      <c r="A49" s="12">
        <f>'table-4'!A102</f>
        <v>0</v>
      </c>
      <c r="B49" s="12" t="str">
        <f>'table-4'!B102</f>
        <v>10MB</v>
      </c>
      <c r="C49" s="12">
        <f>'table-4'!C102</f>
        <v>10</v>
      </c>
      <c r="D49" s="12" t="str">
        <f>'table-4'!D102</f>
        <v>6.182</v>
      </c>
      <c r="E49" s="12" t="str">
        <f>'table-4'!E102</f>
        <v>0.243</v>
      </c>
      <c r="F49" s="12" t="str">
        <f>'table-4'!F102</f>
        <v>0.069</v>
      </c>
      <c r="G49" s="12" t="str">
        <f>'table-4'!G102</f>
        <v>0.065</v>
      </c>
      <c r="H49" s="12" t="str">
        <f>'table-4'!H102</f>
        <v>89.98X</v>
      </c>
      <c r="I49" s="12" t="str">
        <f>'table-4'!I102</f>
        <v>3.54X</v>
      </c>
      <c r="J49" s="12" t="str">
        <f>'table-4'!J102</f>
        <v>0.95X*</v>
      </c>
    </row>
    <row r="50" spans="1:10" x14ac:dyDescent="0.2">
      <c r="A50" s="12" t="str">
        <f>'table-4'!A103</f>
        <v>COT</v>
      </c>
      <c r="B50" s="12" t="str">
        <f>'table-4'!B103</f>
        <v>0.01MB</v>
      </c>
      <c r="C50" s="12">
        <f>'table-4'!C103</f>
        <v>7</v>
      </c>
      <c r="D50" s="12" t="str">
        <f>'table-4'!D103</f>
        <v>0.002</v>
      </c>
      <c r="E50" s="12" t="str">
        <f>'table-4'!E103</f>
        <v>0.146</v>
      </c>
      <c r="F50" s="12" t="str">
        <f>'table-4'!F103</f>
        <v>0.012</v>
      </c>
      <c r="G50" s="12" t="str">
        <f>'table-4'!G103</f>
        <v>0.008</v>
      </c>
      <c r="H50" s="12" t="str">
        <f>'table-4'!H103</f>
        <v>0.18X</v>
      </c>
      <c r="I50" s="12" t="str">
        <f>'table-4'!I103</f>
        <v>11.82X</v>
      </c>
      <c r="J50" s="12" t="str">
        <f>'table-4'!J103</f>
        <v>0.62X*</v>
      </c>
    </row>
    <row r="51" spans="1:10" x14ac:dyDescent="0.2">
      <c r="A51" s="12">
        <f>'table-4'!A104</f>
        <v>0</v>
      </c>
      <c r="B51" s="12" t="str">
        <f>'table-4'!B104</f>
        <v>1MB</v>
      </c>
      <c r="C51" s="12">
        <f>'table-4'!C104</f>
        <v>7</v>
      </c>
      <c r="D51" s="12" t="str">
        <f>'table-4'!D104</f>
        <v>TO</v>
      </c>
      <c r="E51" s="12" t="str">
        <f>'table-4'!E104</f>
        <v>2.644</v>
      </c>
      <c r="F51" s="12" t="str">
        <f>'table-4'!F104</f>
        <v>0.129</v>
      </c>
      <c r="G51" s="12" t="str">
        <f>'table-4'!G104</f>
        <v>0.131</v>
      </c>
      <c r="H51" s="12" t="str">
        <f>'table-4'!H104</f>
        <v>&gt;4651.16X</v>
      </c>
      <c r="I51" s="12" t="str">
        <f>'table-4'!I104</f>
        <v>20.51X</v>
      </c>
      <c r="J51" s="12" t="str">
        <f>'table-4'!J104</f>
        <v>1.02X*</v>
      </c>
    </row>
    <row r="52" spans="1:10" x14ac:dyDescent="0.2">
      <c r="A52" s="12">
        <f>'table-4'!A105</f>
        <v>0</v>
      </c>
      <c r="B52" s="12" t="str">
        <f>'table-4'!B105</f>
        <v>15MB</v>
      </c>
      <c r="C52" s="12" t="str">
        <f>'table-4'!C105</f>
        <v>-</v>
      </c>
      <c r="D52" s="12" t="str">
        <f>'table-4'!D105</f>
        <v>TO</v>
      </c>
      <c r="E52" s="12" t="str">
        <f>'table-4'!E105</f>
        <v>9.303</v>
      </c>
      <c r="F52" s="12" t="str">
        <f>'table-4'!F105</f>
        <v>1.344</v>
      </c>
      <c r="G52" s="12" t="str">
        <f>'table-4'!G105</f>
        <v>1.351</v>
      </c>
      <c r="H52" s="12" t="str">
        <f>'table-4'!H105</f>
        <v>&gt;446.43X</v>
      </c>
      <c r="I52" s="12" t="str">
        <f>'table-4'!I105</f>
        <v>6.92X</v>
      </c>
      <c r="J52" s="12" t="str">
        <f>'table-4'!J105</f>
        <v>1.00X*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AAEE-A4E0-E449-B206-A3FD57846453}">
  <dimension ref="A1:X57"/>
  <sheetViews>
    <sheetView zoomScale="50" zoomScaleNormal="99" workbookViewId="0">
      <selection activeCell="R63" sqref="R63"/>
    </sheetView>
  </sheetViews>
  <sheetFormatPr baseColWidth="10" defaultRowHeight="16" x14ac:dyDescent="0.2"/>
  <cols>
    <col min="1" max="1" width="12.5" bestFit="1" customWidth="1"/>
    <col min="2" max="2" width="28.33203125" bestFit="1" customWidth="1"/>
    <col min="3" max="3" width="22" bestFit="1" customWidth="1"/>
    <col min="4" max="4" width="15.33203125" customWidth="1"/>
    <col min="5" max="5" width="3.5" customWidth="1"/>
    <col min="6" max="6" width="3.1640625" customWidth="1"/>
    <col min="7" max="7" width="28.33203125" bestFit="1" customWidth="1"/>
    <col min="8" max="8" width="22" bestFit="1" customWidth="1"/>
    <col min="9" max="9" width="14.6640625" customWidth="1"/>
    <col min="10" max="10" width="4.83203125" customWidth="1"/>
    <col min="11" max="11" width="4.1640625" customWidth="1"/>
    <col min="13" max="14" width="12.1640625" bestFit="1" customWidth="1"/>
    <col min="15" max="15" width="4" customWidth="1"/>
    <col min="16" max="16" width="4.1640625" customWidth="1"/>
    <col min="17" max="17" width="22.5" bestFit="1" customWidth="1"/>
    <col min="18" max="19" width="25" bestFit="1" customWidth="1"/>
    <col min="21" max="21" width="34.1640625" customWidth="1"/>
    <col min="22" max="22" width="25" bestFit="1" customWidth="1"/>
    <col min="23" max="23" width="25.33203125" bestFit="1" customWidth="1"/>
  </cols>
  <sheetData>
    <row r="1" spans="1:24" ht="65" x14ac:dyDescent="0.75">
      <c r="B1" s="3" t="s">
        <v>127</v>
      </c>
      <c r="C1" s="3"/>
      <c r="D1" s="3"/>
      <c r="E1" s="3"/>
      <c r="F1" s="3"/>
      <c r="G1" s="3" t="s">
        <v>125</v>
      </c>
      <c r="H1" s="3"/>
      <c r="I1" s="3"/>
      <c r="J1" s="3"/>
      <c r="K1" s="3"/>
      <c r="L1" s="3" t="s">
        <v>130</v>
      </c>
      <c r="Q1" s="9" t="s">
        <v>133</v>
      </c>
      <c r="R1" s="6"/>
      <c r="S1" s="6"/>
      <c r="T1" s="4"/>
      <c r="U1" s="4"/>
      <c r="V1" s="10" t="s">
        <v>134</v>
      </c>
      <c r="W1" s="7"/>
      <c r="X1" s="7"/>
    </row>
    <row r="2" spans="1:24" x14ac:dyDescent="0.2">
      <c r="B2" s="3" t="s">
        <v>52</v>
      </c>
      <c r="C2" s="3" t="s">
        <v>53</v>
      </c>
      <c r="D2" s="3" t="s">
        <v>54</v>
      </c>
      <c r="E2" s="3"/>
      <c r="F2" s="3"/>
      <c r="G2" s="3" t="s">
        <v>52</v>
      </c>
      <c r="H2" s="3" t="s">
        <v>53</v>
      </c>
      <c r="I2" s="3" t="s">
        <v>54</v>
      </c>
      <c r="J2" s="3"/>
      <c r="K2" s="3"/>
      <c r="L2" s="3" t="s">
        <v>52</v>
      </c>
      <c r="M2" s="3" t="s">
        <v>53</v>
      </c>
      <c r="N2" s="3" t="s">
        <v>54</v>
      </c>
      <c r="Q2" s="6" t="s">
        <v>121</v>
      </c>
      <c r="R2" s="6" t="s">
        <v>122</v>
      </c>
      <c r="S2" s="6" t="s">
        <v>123</v>
      </c>
      <c r="T2" s="4"/>
      <c r="U2" s="4"/>
      <c r="V2" s="7" t="s">
        <v>121</v>
      </c>
      <c r="W2" s="7" t="s">
        <v>122</v>
      </c>
      <c r="X2" s="7" t="s">
        <v>123</v>
      </c>
    </row>
    <row r="3" spans="1:24" x14ac:dyDescent="0.2">
      <c r="A3" s="2" t="s">
        <v>7</v>
      </c>
      <c r="B3">
        <v>2.6917155098543302</v>
      </c>
      <c r="C3">
        <v>23.906748928877501</v>
      </c>
      <c r="D3">
        <v>0.97950985432733495</v>
      </c>
      <c r="G3">
        <v>1.9824899884148401</v>
      </c>
      <c r="H3">
        <v>15.690817620389881</v>
      </c>
      <c r="I3">
        <v>1.0645302536876384</v>
      </c>
      <c r="L3">
        <f>medium!Q3</f>
        <v>1.9824899884148401</v>
      </c>
      <c r="M3">
        <f>medium!R3</f>
        <v>15.690817620389881</v>
      </c>
      <c r="N3">
        <f>medium!S3</f>
        <v>1.0645302536876384</v>
      </c>
      <c r="Q3" s="4">
        <f>IF(AND(L3="DNF", B3="DNF"), "Both DNF",B3/ L3)</f>
        <v>1.35774481867955</v>
      </c>
      <c r="R3" s="4">
        <f t="shared" ref="R3:S3" si="0">IF(AND(M3="DNF", C3="DNF"), "Both DNF",C3/ M3)</f>
        <v>1.5236139701102123</v>
      </c>
      <c r="S3" s="4">
        <f t="shared" si="0"/>
        <v>0.92013341183514097</v>
      </c>
      <c r="T3" s="4"/>
      <c r="U3" s="4"/>
      <c r="V3" s="8">
        <f>IF(AND(L3="DNF", G3="DNF"), "Both DNF",G3/ L3)</f>
        <v>1</v>
      </c>
      <c r="W3" s="8">
        <f t="shared" ref="W3:X3" si="1">IF(AND(M3="DNF", H3="DNF"), "Both DNF",H3/ M3)</f>
        <v>1</v>
      </c>
      <c r="X3" s="8">
        <f t="shared" si="1"/>
        <v>1</v>
      </c>
    </row>
    <row r="4" spans="1:24" x14ac:dyDescent="0.2">
      <c r="A4" s="2" t="s">
        <v>10</v>
      </c>
      <c r="B4">
        <v>5.1147134744450202</v>
      </c>
      <c r="C4">
        <v>178.45725348477001</v>
      </c>
      <c r="D4">
        <v>0.89757356737222505</v>
      </c>
      <c r="G4">
        <v>4.7717077270578354</v>
      </c>
      <c r="H4">
        <v>183.61995062247203</v>
      </c>
      <c r="I4">
        <v>0.96112832904344181</v>
      </c>
      <c r="L4">
        <f>medium!Q4</f>
        <v>4.7717077270578354</v>
      </c>
      <c r="M4">
        <f>medium!R4</f>
        <v>183.61995062247203</v>
      </c>
      <c r="N4">
        <f>medium!S4</f>
        <v>0.96112832904344181</v>
      </c>
      <c r="Q4" s="4">
        <f t="shared" ref="Q4:Q18" si="2">IF(AND(L4="DNF", B4="DNF"), "Both DNF",B4/ L4)</f>
        <v>1.0718832265107481</v>
      </c>
      <c r="R4" s="4">
        <f t="shared" ref="R4:R18" si="3">IF(AND(M4="DNF", C4="DNF"), "Both DNF",C4/ M4)</f>
        <v>0.97188378975051204</v>
      </c>
      <c r="S4" s="4">
        <f t="shared" ref="S4:S18" si="4">IF(AND(N4="DNF", D4="DNF"), "Both DNF",D4/ N4)</f>
        <v>0.9338748429832785</v>
      </c>
      <c r="T4" s="4"/>
      <c r="U4" s="4"/>
      <c r="V4" s="8">
        <f t="shared" ref="V4:V18" si="5">IF(AND(L4="DNF", G4="DNF"), "Both DNF",G4/ L4)</f>
        <v>1</v>
      </c>
      <c r="W4" s="8">
        <f t="shared" ref="W4:W18" si="6">IF(AND(M4="DNF", H4="DNF"), "Both DNF",H4/ M4)</f>
        <v>1</v>
      </c>
      <c r="X4" s="8">
        <f t="shared" ref="X4:X18" si="7">IF(AND(N4="DNF", I4="DNF"), "Both DNF",I4/ N4)</f>
        <v>1</v>
      </c>
    </row>
    <row r="5" spans="1:24" x14ac:dyDescent="0.2">
      <c r="A5" s="2" t="s">
        <v>13</v>
      </c>
      <c r="B5">
        <v>3.4410959361538702</v>
      </c>
      <c r="C5">
        <v>331.37775069289103</v>
      </c>
      <c r="D5">
        <v>0.92481717701272204</v>
      </c>
      <c r="G5">
        <v>3.8045534943029908</v>
      </c>
      <c r="H5">
        <v>408.16506931018881</v>
      </c>
      <c r="I5">
        <v>0.92731685245362194</v>
      </c>
      <c r="L5">
        <f>medium!Q5</f>
        <v>3.8045534943029908</v>
      </c>
      <c r="M5">
        <f>medium!R5</f>
        <v>408.16506931018881</v>
      </c>
      <c r="N5">
        <f>medium!S5</f>
        <v>0.92731685245362194</v>
      </c>
      <c r="Q5" s="4">
        <f t="shared" si="2"/>
        <v>0.90446774931844998</v>
      </c>
      <c r="R5" s="4">
        <f t="shared" si="3"/>
        <v>0.81187190087806715</v>
      </c>
      <c r="S5" s="4">
        <f t="shared" si="4"/>
        <v>0.99730439985611619</v>
      </c>
      <c r="T5" s="4"/>
      <c r="U5" s="4"/>
      <c r="V5" s="8">
        <f t="shared" si="5"/>
        <v>1</v>
      </c>
      <c r="W5" s="8">
        <f t="shared" si="6"/>
        <v>1</v>
      </c>
      <c r="X5" s="8">
        <f t="shared" si="7"/>
        <v>1</v>
      </c>
    </row>
    <row r="6" spans="1:24" x14ac:dyDescent="0.2">
      <c r="A6" s="2" t="s">
        <v>15</v>
      </c>
      <c r="B6">
        <v>6.7273081114743896</v>
      </c>
      <c r="C6">
        <v>1725.1112149047699</v>
      </c>
      <c r="D6">
        <v>0.90190201878665199</v>
      </c>
      <c r="G6">
        <v>6.396599893675984</v>
      </c>
      <c r="H6">
        <v>1541.1704351366941</v>
      </c>
      <c r="I6">
        <v>1.0152020721872208</v>
      </c>
      <c r="L6">
        <f>medium!Q6</f>
        <v>6.396599893675984</v>
      </c>
      <c r="M6">
        <f>medium!R6</f>
        <v>1541.1704351366941</v>
      </c>
      <c r="N6">
        <f>medium!S6</f>
        <v>1.0152020721872208</v>
      </c>
      <c r="Q6" s="4">
        <f t="shared" si="2"/>
        <v>1.0517006258473913</v>
      </c>
      <c r="R6" s="4">
        <f t="shared" si="3"/>
        <v>1.1193513550315162</v>
      </c>
      <c r="S6" s="4">
        <f t="shared" si="4"/>
        <v>0.88839655029814169</v>
      </c>
      <c r="T6" s="4"/>
      <c r="U6" s="4"/>
      <c r="V6" s="8">
        <f t="shared" si="5"/>
        <v>1</v>
      </c>
      <c r="W6" s="8">
        <f t="shared" si="6"/>
        <v>1</v>
      </c>
      <c r="X6" s="8">
        <f t="shared" si="7"/>
        <v>1</v>
      </c>
    </row>
    <row r="7" spans="1:24" x14ac:dyDescent="0.2">
      <c r="A7" s="2" t="s">
        <v>17</v>
      </c>
      <c r="B7">
        <v>3.2105488117626901</v>
      </c>
      <c r="C7" t="s">
        <v>124</v>
      </c>
      <c r="D7">
        <v>0.74722174730723201</v>
      </c>
      <c r="G7">
        <v>2.9770415699514667</v>
      </c>
      <c r="H7" t="s">
        <v>124</v>
      </c>
      <c r="I7">
        <v>0.76117324330027425</v>
      </c>
      <c r="L7">
        <f>medium!Q7</f>
        <v>2.9770415699514667</v>
      </c>
      <c r="M7" t="str">
        <f>medium!R7</f>
        <v>DNF</v>
      </c>
      <c r="N7">
        <f>medium!S7</f>
        <v>0.76117324330027425</v>
      </c>
      <c r="Q7" s="4">
        <f t="shared" si="2"/>
        <v>1.0784360031005646</v>
      </c>
      <c r="R7" s="4" t="str">
        <f t="shared" si="3"/>
        <v>Both DNF</v>
      </c>
      <c r="S7" s="4">
        <f t="shared" si="4"/>
        <v>0.98167106356425282</v>
      </c>
      <c r="T7" s="4"/>
      <c r="U7" s="4"/>
      <c r="V7" s="8">
        <f t="shared" si="5"/>
        <v>1</v>
      </c>
      <c r="W7" s="8" t="str">
        <f t="shared" si="6"/>
        <v>Both DNF</v>
      </c>
      <c r="X7" s="8">
        <f t="shared" si="7"/>
        <v>1</v>
      </c>
    </row>
    <row r="8" spans="1:24" x14ac:dyDescent="0.2">
      <c r="A8" s="2" t="s">
        <v>19</v>
      </c>
      <c r="B8">
        <v>2.51048566916386</v>
      </c>
      <c r="C8">
        <v>51.666345031458803</v>
      </c>
      <c r="D8">
        <v>1.0305372753522599</v>
      </c>
      <c r="G8">
        <v>2.5325725846173173</v>
      </c>
      <c r="H8">
        <v>48.818683080503398</v>
      </c>
      <c r="I8">
        <v>0.9636110000033058</v>
      </c>
      <c r="L8">
        <f>medium!Q8</f>
        <v>2.5325725846173173</v>
      </c>
      <c r="M8">
        <f>medium!R8</f>
        <v>48.818683080503398</v>
      </c>
      <c r="N8">
        <f>medium!S8</f>
        <v>0.9636110000033058</v>
      </c>
      <c r="Q8" s="4">
        <f t="shared" si="2"/>
        <v>0.99127886182310754</v>
      </c>
      <c r="R8" s="4">
        <f t="shared" si="3"/>
        <v>1.0583313963274987</v>
      </c>
      <c r="S8" s="4">
        <f t="shared" si="4"/>
        <v>1.0694536232449863</v>
      </c>
      <c r="T8" s="4"/>
      <c r="U8" s="4"/>
      <c r="V8" s="8">
        <f t="shared" si="5"/>
        <v>1</v>
      </c>
      <c r="W8" s="8">
        <f t="shared" si="6"/>
        <v>1</v>
      </c>
      <c r="X8" s="8">
        <f t="shared" si="7"/>
        <v>1</v>
      </c>
    </row>
    <row r="9" spans="1:24" x14ac:dyDescent="0.2">
      <c r="A9" s="2" t="s">
        <v>21</v>
      </c>
      <c r="B9">
        <v>5.6078174756719097</v>
      </c>
      <c r="C9" t="s">
        <v>124</v>
      </c>
      <c r="D9">
        <v>0.98667774354475302</v>
      </c>
      <c r="G9">
        <v>5.1470479866022725</v>
      </c>
      <c r="H9" t="s">
        <v>124</v>
      </c>
      <c r="I9">
        <v>0.95371694147683095</v>
      </c>
      <c r="L9">
        <f>medium!Q9</f>
        <v>5.1470479866022725</v>
      </c>
      <c r="M9" t="str">
        <f>medium!R9</f>
        <v>DNF</v>
      </c>
      <c r="N9">
        <f>medium!S9</f>
        <v>0.95371694147683095</v>
      </c>
      <c r="Q9" s="4">
        <f t="shared" si="2"/>
        <v>1.0895211177881023</v>
      </c>
      <c r="R9" s="4" t="str">
        <f t="shared" si="3"/>
        <v>Both DNF</v>
      </c>
      <c r="S9" s="4">
        <f t="shared" si="4"/>
        <v>1.0345603612921903</v>
      </c>
      <c r="T9" s="4"/>
      <c r="U9" s="4"/>
      <c r="V9" s="8">
        <f t="shared" si="5"/>
        <v>1</v>
      </c>
      <c r="W9" s="8" t="str">
        <f t="shared" si="6"/>
        <v>Both DNF</v>
      </c>
      <c r="X9" s="8">
        <f t="shared" si="7"/>
        <v>1</v>
      </c>
    </row>
    <row r="10" spans="1:24" x14ac:dyDescent="0.2">
      <c r="A10" s="2" t="s">
        <v>23</v>
      </c>
      <c r="B10">
        <v>9.1653420380357602</v>
      </c>
      <c r="C10">
        <v>2592.26979846721</v>
      </c>
      <c r="D10">
        <v>1.11382344592677</v>
      </c>
      <c r="G10">
        <v>8.3276917068090075</v>
      </c>
      <c r="H10">
        <v>2380.075250618409</v>
      </c>
      <c r="I10">
        <v>1.0634032027079807</v>
      </c>
      <c r="L10">
        <f>medium!Q10</f>
        <v>8.3276917068090075</v>
      </c>
      <c r="M10">
        <f>medium!R10</f>
        <v>2380.075250618409</v>
      </c>
      <c r="N10">
        <f>medium!S10</f>
        <v>1.0634032027079807</v>
      </c>
      <c r="Q10" s="4">
        <f t="shared" si="2"/>
        <v>1.1005861360768028</v>
      </c>
      <c r="R10" s="4">
        <f t="shared" si="3"/>
        <v>1.0891545541653218</v>
      </c>
      <c r="S10" s="4">
        <f t="shared" si="4"/>
        <v>1.0474140411561605</v>
      </c>
      <c r="T10" s="4"/>
      <c r="U10" s="4"/>
      <c r="V10" s="8">
        <f t="shared" si="5"/>
        <v>1</v>
      </c>
      <c r="W10" s="8">
        <f t="shared" si="6"/>
        <v>1</v>
      </c>
      <c r="X10" s="8">
        <f t="shared" si="7"/>
        <v>1</v>
      </c>
    </row>
    <row r="11" spans="1:24" x14ac:dyDescent="0.2">
      <c r="A11" s="2" t="s">
        <v>24</v>
      </c>
      <c r="B11" t="s">
        <v>124</v>
      </c>
      <c r="C11" t="s">
        <v>124</v>
      </c>
      <c r="D11">
        <v>1.02696837260976</v>
      </c>
      <c r="G11" t="s">
        <v>124</v>
      </c>
      <c r="H11" t="s">
        <v>124</v>
      </c>
      <c r="I11">
        <v>1.0066491204321186</v>
      </c>
      <c r="L11" t="str">
        <f>medium!Q11</f>
        <v>DNF</v>
      </c>
      <c r="M11" t="str">
        <f>medium!R11</f>
        <v>DNF</v>
      </c>
      <c r="N11">
        <f>medium!S11</f>
        <v>1.0066491204321186</v>
      </c>
      <c r="Q11" s="4" t="str">
        <f t="shared" si="2"/>
        <v>Both DNF</v>
      </c>
      <c r="R11" s="4" t="str">
        <f t="shared" si="3"/>
        <v>Both DNF</v>
      </c>
      <c r="S11" s="4">
        <f t="shared" si="4"/>
        <v>1.0201850394196132</v>
      </c>
      <c r="T11" s="4"/>
      <c r="U11" s="4"/>
      <c r="V11" s="8" t="str">
        <f t="shared" si="5"/>
        <v>Both DNF</v>
      </c>
      <c r="W11" s="8" t="str">
        <f t="shared" si="6"/>
        <v>Both DNF</v>
      </c>
      <c r="X11" s="8">
        <f t="shared" si="7"/>
        <v>1</v>
      </c>
    </row>
    <row r="12" spans="1:24" x14ac:dyDescent="0.2">
      <c r="A12" s="2" t="s">
        <v>26</v>
      </c>
      <c r="B12">
        <v>16.200210649062399</v>
      </c>
      <c r="C12" t="s">
        <v>124</v>
      </c>
      <c r="D12">
        <v>1.0002256954240301</v>
      </c>
      <c r="G12">
        <v>14.93821258478857</v>
      </c>
      <c r="H12" t="s">
        <v>124</v>
      </c>
      <c r="I12">
        <v>0.95663154856400634</v>
      </c>
      <c r="L12">
        <f>medium!Q12</f>
        <v>14.93821258478857</v>
      </c>
      <c r="M12" t="str">
        <f>medium!R12</f>
        <v>DNF</v>
      </c>
      <c r="N12">
        <f>medium!S12</f>
        <v>0.95663154856400634</v>
      </c>
      <c r="Q12" s="4">
        <f t="shared" si="2"/>
        <v>1.084481195933636</v>
      </c>
      <c r="R12" s="4" t="str">
        <f t="shared" si="3"/>
        <v>Both DNF</v>
      </c>
      <c r="S12" s="4">
        <f t="shared" si="4"/>
        <v>1.045570467465204</v>
      </c>
      <c r="T12" s="4"/>
      <c r="U12" s="4"/>
      <c r="V12" s="8">
        <f t="shared" si="5"/>
        <v>1</v>
      </c>
      <c r="W12" s="8" t="str">
        <f t="shared" si="6"/>
        <v>Both DNF</v>
      </c>
      <c r="X12" s="8">
        <f t="shared" si="7"/>
        <v>1</v>
      </c>
    </row>
    <row r="13" spans="1:24" x14ac:dyDescent="0.2">
      <c r="A13" s="2" t="s">
        <v>28</v>
      </c>
      <c r="B13">
        <v>5.3246647516935202</v>
      </c>
      <c r="C13" t="s">
        <v>124</v>
      </c>
      <c r="D13">
        <v>0.98622140980937301</v>
      </c>
      <c r="G13">
        <v>5.893439298108559</v>
      </c>
      <c r="H13" t="s">
        <v>124</v>
      </c>
      <c r="I13">
        <v>1.0383846881901357</v>
      </c>
      <c r="L13">
        <f>medium!Q13</f>
        <v>5.893439298108559</v>
      </c>
      <c r="M13" t="str">
        <f>medium!R13</f>
        <v>DNF</v>
      </c>
      <c r="N13">
        <f>medium!S13</f>
        <v>1.0383846881901357</v>
      </c>
      <c r="Q13" s="4">
        <f t="shared" si="2"/>
        <v>0.9034902172323076</v>
      </c>
      <c r="R13" s="4" t="str">
        <f t="shared" si="3"/>
        <v>Both DNF</v>
      </c>
      <c r="S13" s="4">
        <f t="shared" si="4"/>
        <v>0.94976497730173459</v>
      </c>
      <c r="T13" s="4"/>
      <c r="U13" s="4"/>
      <c r="V13" s="8">
        <f t="shared" si="5"/>
        <v>1</v>
      </c>
      <c r="W13" s="8" t="str">
        <f t="shared" si="6"/>
        <v>Both DNF</v>
      </c>
      <c r="X13" s="8">
        <f t="shared" si="7"/>
        <v>1</v>
      </c>
    </row>
    <row r="14" spans="1:24" x14ac:dyDescent="0.2">
      <c r="A14" s="2" t="s">
        <v>30</v>
      </c>
      <c r="B14">
        <v>6.97379039331953</v>
      </c>
      <c r="C14" t="s">
        <v>124</v>
      </c>
      <c r="D14">
        <v>0.93230646877887302</v>
      </c>
      <c r="G14">
        <v>7.1658105337419258</v>
      </c>
      <c r="H14" t="s">
        <v>124</v>
      </c>
      <c r="I14">
        <v>0.9622125708238719</v>
      </c>
      <c r="L14">
        <f>medium!Q14</f>
        <v>7.1658105337419258</v>
      </c>
      <c r="M14" t="str">
        <f>medium!R14</f>
        <v>DNF</v>
      </c>
      <c r="N14">
        <f>medium!S14</f>
        <v>0.9622125708238719</v>
      </c>
      <c r="Q14" s="4">
        <f t="shared" si="2"/>
        <v>0.97320329088827795</v>
      </c>
      <c r="R14" s="4" t="str">
        <f t="shared" si="3"/>
        <v>Both DNF</v>
      </c>
      <c r="S14" s="4">
        <f t="shared" si="4"/>
        <v>0.96891944363250992</v>
      </c>
      <c r="T14" s="4"/>
      <c r="U14" s="4"/>
      <c r="V14" s="8">
        <f t="shared" si="5"/>
        <v>1</v>
      </c>
      <c r="W14" s="8" t="str">
        <f t="shared" si="6"/>
        <v>Both DNF</v>
      </c>
      <c r="X14" s="8">
        <f t="shared" si="7"/>
        <v>1</v>
      </c>
    </row>
    <row r="15" spans="1:24" x14ac:dyDescent="0.2">
      <c r="A15" s="2" t="s">
        <v>32</v>
      </c>
      <c r="B15">
        <v>16.491917076943398</v>
      </c>
      <c r="C15" t="s">
        <v>124</v>
      </c>
      <c r="D15">
        <v>0.93431799747231803</v>
      </c>
      <c r="G15">
        <v>16.019783167542194</v>
      </c>
      <c r="H15" t="s">
        <v>124</v>
      </c>
      <c r="I15">
        <v>0.96663686151782724</v>
      </c>
      <c r="L15">
        <f>medium!Q15</f>
        <v>16.019783167542194</v>
      </c>
      <c r="M15" t="str">
        <f>medium!R15</f>
        <v>DNF</v>
      </c>
      <c r="N15">
        <f>medium!S15</f>
        <v>0.96663686151782724</v>
      </c>
      <c r="Q15" s="4">
        <f t="shared" si="2"/>
        <v>1.0294719288309593</v>
      </c>
      <c r="R15" s="4" t="str">
        <f t="shared" si="3"/>
        <v>Both DNF</v>
      </c>
      <c r="S15" s="4">
        <f t="shared" si="4"/>
        <v>0.96656566148867773</v>
      </c>
      <c r="T15" s="4"/>
      <c r="U15" s="4"/>
      <c r="V15" s="8">
        <f t="shared" si="5"/>
        <v>1</v>
      </c>
      <c r="W15" s="8" t="str">
        <f t="shared" si="6"/>
        <v>Both DNF</v>
      </c>
      <c r="X15" s="8">
        <f t="shared" si="7"/>
        <v>1</v>
      </c>
    </row>
    <row r="16" spans="1:24" x14ac:dyDescent="0.2">
      <c r="A16" s="2" t="s">
        <v>34</v>
      </c>
      <c r="B16">
        <v>6.0146968350536598</v>
      </c>
      <c r="C16">
        <v>17.8318750427234</v>
      </c>
      <c r="D16">
        <v>0.91482671406111205</v>
      </c>
      <c r="G16">
        <v>5.4918166660995613</v>
      </c>
      <c r="H16">
        <v>17.443499268433769</v>
      </c>
      <c r="I16">
        <v>0.93436319711456661</v>
      </c>
      <c r="L16">
        <f>medium!Q16</f>
        <v>5.4918166660995613</v>
      </c>
      <c r="M16">
        <f>medium!R16</f>
        <v>17.443499268433769</v>
      </c>
      <c r="N16">
        <f>medium!S16</f>
        <v>0.93436319711456661</v>
      </c>
      <c r="Q16" s="4">
        <f t="shared" si="2"/>
        <v>1.0952107837433442</v>
      </c>
      <c r="R16" s="4">
        <f t="shared" si="3"/>
        <v>1.0222647857699314</v>
      </c>
      <c r="S16" s="4">
        <f t="shared" si="4"/>
        <v>0.97909112525644659</v>
      </c>
      <c r="T16" s="4"/>
      <c r="U16" s="4"/>
      <c r="V16" s="8">
        <f t="shared" si="5"/>
        <v>1</v>
      </c>
      <c r="W16" s="8">
        <f t="shared" si="6"/>
        <v>1</v>
      </c>
      <c r="X16" s="8">
        <f t="shared" si="7"/>
        <v>1</v>
      </c>
    </row>
    <row r="17" spans="1:24" x14ac:dyDescent="0.2">
      <c r="A17" s="2" t="s">
        <v>36</v>
      </c>
      <c r="B17">
        <v>3.5213202715336802</v>
      </c>
      <c r="C17">
        <v>13.660013820576401</v>
      </c>
      <c r="D17">
        <v>0.77045648550871904</v>
      </c>
      <c r="G17">
        <v>3.5535822495688247</v>
      </c>
      <c r="H17">
        <v>17.006758961450615</v>
      </c>
      <c r="I17">
        <v>0.86342236517037252</v>
      </c>
      <c r="L17">
        <f>medium!Q17</f>
        <v>3.5535822495688247</v>
      </c>
      <c r="M17">
        <f>medium!R17</f>
        <v>17.006758961450615</v>
      </c>
      <c r="N17">
        <f>medium!S17</f>
        <v>0.86342236517037252</v>
      </c>
      <c r="Q17" s="4">
        <f t="shared" si="2"/>
        <v>0.99092128005787428</v>
      </c>
      <c r="R17" s="4">
        <f t="shared" si="3"/>
        <v>0.80321087936506219</v>
      </c>
      <c r="S17" s="4">
        <f t="shared" si="4"/>
        <v>0.89232861758994486</v>
      </c>
      <c r="T17" s="4"/>
      <c r="U17" s="4"/>
      <c r="V17" s="8">
        <f t="shared" si="5"/>
        <v>1</v>
      </c>
      <c r="W17" s="8">
        <f t="shared" si="6"/>
        <v>1</v>
      </c>
      <c r="X17" s="8">
        <f t="shared" si="7"/>
        <v>1</v>
      </c>
    </row>
    <row r="18" spans="1:24" x14ac:dyDescent="0.2">
      <c r="A18" s="2" t="s">
        <v>38</v>
      </c>
      <c r="B18">
        <v>22.078011868866302</v>
      </c>
      <c r="C18" t="s">
        <v>124</v>
      </c>
      <c r="D18">
        <v>0.98670994257619704</v>
      </c>
      <c r="G18">
        <v>20.514766688646677</v>
      </c>
      <c r="H18" t="s">
        <v>124</v>
      </c>
      <c r="I18">
        <v>1.0183158139715294</v>
      </c>
      <c r="L18">
        <f>medium!Q18</f>
        <v>20.514766688646677</v>
      </c>
      <c r="M18" t="str">
        <f>medium!R18</f>
        <v>DNF</v>
      </c>
      <c r="N18">
        <f>medium!S18</f>
        <v>1.0183158139715294</v>
      </c>
      <c r="Q18" s="4">
        <f t="shared" si="2"/>
        <v>1.0762009728867528</v>
      </c>
      <c r="R18" s="4" t="str">
        <f t="shared" si="3"/>
        <v>Both DNF</v>
      </c>
      <c r="S18" s="4">
        <f t="shared" si="4"/>
        <v>0.96896260377999399</v>
      </c>
      <c r="T18" s="4"/>
      <c r="U18" s="4"/>
      <c r="V18" s="8">
        <f t="shared" si="5"/>
        <v>1</v>
      </c>
      <c r="W18" s="8" t="str">
        <f t="shared" si="6"/>
        <v>Both DNF</v>
      </c>
      <c r="X18" s="8">
        <f t="shared" si="7"/>
        <v>1</v>
      </c>
    </row>
    <row r="19" spans="1:24" x14ac:dyDescent="0.2">
      <c r="A19" s="2"/>
      <c r="Q19" s="4"/>
      <c r="R19" s="4"/>
      <c r="S19" s="4"/>
      <c r="T19" s="4"/>
      <c r="U19" s="4"/>
      <c r="V19" s="8"/>
      <c r="W19" s="8"/>
      <c r="X19" s="8"/>
    </row>
    <row r="20" spans="1:24" x14ac:dyDescent="0.2">
      <c r="A20" s="2"/>
      <c r="Q20" s="4"/>
      <c r="R20" s="4"/>
      <c r="S20" s="4"/>
      <c r="T20" s="4"/>
      <c r="U20" s="4"/>
      <c r="V20" s="8"/>
      <c r="W20" s="8"/>
      <c r="X20" s="8"/>
    </row>
    <row r="21" spans="1:24" x14ac:dyDescent="0.2">
      <c r="A21" s="2"/>
      <c r="B21" s="3" t="s">
        <v>128</v>
      </c>
      <c r="C21" s="3"/>
      <c r="D21" s="3"/>
      <c r="E21" s="3"/>
      <c r="F21" s="3"/>
      <c r="G21" s="3" t="s">
        <v>126</v>
      </c>
      <c r="H21" s="3"/>
      <c r="I21" s="3"/>
      <c r="J21" s="3"/>
      <c r="L21" s="3" t="s">
        <v>130</v>
      </c>
      <c r="Q21" s="4"/>
      <c r="R21" s="4"/>
      <c r="S21" s="4"/>
      <c r="T21" s="4"/>
      <c r="U21" s="4"/>
      <c r="V21" s="8"/>
      <c r="W21" s="8"/>
      <c r="X21" s="8"/>
    </row>
    <row r="22" spans="1:24" x14ac:dyDescent="0.2">
      <c r="A22" s="2"/>
      <c r="B22" s="3" t="s">
        <v>52</v>
      </c>
      <c r="C22" s="3" t="s">
        <v>53</v>
      </c>
      <c r="D22" s="3" t="s">
        <v>54</v>
      </c>
      <c r="E22" s="3"/>
      <c r="F22" s="3"/>
      <c r="G22" s="3" t="s">
        <v>52</v>
      </c>
      <c r="H22" s="3" t="s">
        <v>53</v>
      </c>
      <c r="I22" s="3" t="s">
        <v>54</v>
      </c>
      <c r="J22" s="3"/>
      <c r="L22" s="3" t="s">
        <v>52</v>
      </c>
      <c r="M22" s="3" t="s">
        <v>53</v>
      </c>
      <c r="N22" s="3" t="s">
        <v>54</v>
      </c>
      <c r="Q22" s="6" t="s">
        <v>121</v>
      </c>
      <c r="R22" s="6" t="s">
        <v>122</v>
      </c>
      <c r="S22" s="6" t="s">
        <v>123</v>
      </c>
      <c r="T22" s="4"/>
      <c r="U22" s="4"/>
      <c r="V22" s="7" t="s">
        <v>121</v>
      </c>
      <c r="W22" s="7" t="s">
        <v>122</v>
      </c>
      <c r="X22" s="7" t="s">
        <v>123</v>
      </c>
    </row>
    <row r="23" spans="1:24" x14ac:dyDescent="0.2">
      <c r="A23" s="2" t="s">
        <v>7</v>
      </c>
      <c r="B23" t="s">
        <v>124</v>
      </c>
      <c r="C23" t="s">
        <v>124</v>
      </c>
      <c r="D23">
        <v>0.99888858359393196</v>
      </c>
      <c r="G23" t="s">
        <v>124</v>
      </c>
      <c r="H23" t="s">
        <v>124</v>
      </c>
      <c r="I23">
        <v>0.99637978350764578</v>
      </c>
      <c r="L23" t="str">
        <f>large!Q3</f>
        <v>DNF</v>
      </c>
      <c r="M23" t="str">
        <f>large!R3</f>
        <v>DNF</v>
      </c>
      <c r="N23">
        <f>large!S3</f>
        <v>0.99637978350764578</v>
      </c>
      <c r="Q23" s="4" t="str">
        <f>IF(AND(L23="DNF", B23="DNF"), "Both DNF",B23/ L23)</f>
        <v>Both DNF</v>
      </c>
      <c r="R23" s="4" t="str">
        <f t="shared" ref="R23:S23" si="8">IF(AND(M23="DNF", C23="DNF"), "Both DNF",C23/ M23)</f>
        <v>Both DNF</v>
      </c>
      <c r="S23" s="4">
        <f t="shared" si="8"/>
        <v>1.0025179154854529</v>
      </c>
      <c r="T23" s="4"/>
      <c r="U23" s="4"/>
      <c r="V23" s="8" t="str">
        <f>IF(AND(L23="DNF", G23="DNF"), "Both DNF",G23/ L23)</f>
        <v>Both DNF</v>
      </c>
      <c r="W23" s="8" t="str">
        <f t="shared" ref="W23:X23" si="9">IF(AND(M23="DNF", H23="DNF"), "Both DNF",H23/ M23)</f>
        <v>Both DNF</v>
      </c>
      <c r="X23" s="8">
        <f t="shared" si="9"/>
        <v>1</v>
      </c>
    </row>
    <row r="24" spans="1:24" x14ac:dyDescent="0.2">
      <c r="A24" s="2" t="s">
        <v>10</v>
      </c>
      <c r="B24">
        <v>5.9046005191808497</v>
      </c>
      <c r="C24">
        <v>1019.28252091145</v>
      </c>
      <c r="D24">
        <v>0.90301413325641799</v>
      </c>
      <c r="G24">
        <v>5.2713685309989806</v>
      </c>
      <c r="H24">
        <v>773.24689761508046</v>
      </c>
      <c r="I24">
        <v>0.97403695506204779</v>
      </c>
      <c r="L24">
        <f>large!Q4</f>
        <v>5.2713685309989806</v>
      </c>
      <c r="M24">
        <f>large!R4</f>
        <v>773.24689761508046</v>
      </c>
      <c r="N24">
        <f>large!S4</f>
        <v>0.97403695506204779</v>
      </c>
      <c r="Q24" s="4">
        <f t="shared" ref="Q24:Q38" si="10">IF(AND(L24="DNF", B24="DNF"), "Both DNF",B24/ L24)</f>
        <v>1.1201266776280323</v>
      </c>
      <c r="R24" s="4">
        <f t="shared" ref="R24:R38" si="11">IF(AND(M24="DNF", C24="DNF"), "Both DNF",C24/ M24)</f>
        <v>1.3181850765327547</v>
      </c>
      <c r="S24" s="4">
        <f t="shared" ref="S24:S38" si="12">IF(AND(N24="DNF", D24="DNF"), "Both DNF",D24/ N24)</f>
        <v>0.92708405832394158</v>
      </c>
      <c r="T24" s="4"/>
      <c r="U24" s="4"/>
      <c r="V24" s="8">
        <f t="shared" ref="V24:V38" si="13">IF(AND(L24="DNF", G24="DNF"), "Both DNF",G24/ L24)</f>
        <v>1</v>
      </c>
      <c r="W24" s="8">
        <f t="shared" ref="W24:W38" si="14">IF(AND(M24="DNF", H24="DNF"), "Both DNF",H24/ M24)</f>
        <v>1</v>
      </c>
      <c r="X24" s="8">
        <f t="shared" ref="X24:X38" si="15">IF(AND(N24="DNF", I24="DNF"), "Both DNF",I24/ N24)</f>
        <v>1</v>
      </c>
    </row>
    <row r="25" spans="1:24" x14ac:dyDescent="0.2">
      <c r="A25" s="2" t="s">
        <v>13</v>
      </c>
      <c r="B25">
        <v>3.4898416052724301</v>
      </c>
      <c r="C25" t="s">
        <v>124</v>
      </c>
      <c r="D25">
        <v>0.97534098529915503</v>
      </c>
      <c r="G25">
        <v>3.8140979194700342</v>
      </c>
      <c r="H25" t="s">
        <v>124</v>
      </c>
      <c r="I25">
        <v>1.0253941965980058</v>
      </c>
      <c r="L25">
        <f>large!Q5</f>
        <v>3.8140979194700342</v>
      </c>
      <c r="M25" t="str">
        <f>large!R5</f>
        <v>DNF</v>
      </c>
      <c r="N25">
        <f>large!S5</f>
        <v>1.0253941965980058</v>
      </c>
      <c r="Q25" s="4">
        <f t="shared" si="10"/>
        <v>0.91498479560727708</v>
      </c>
      <c r="R25" s="4" t="str">
        <f t="shared" si="11"/>
        <v>Both DNF</v>
      </c>
      <c r="S25" s="4">
        <f t="shared" si="12"/>
        <v>0.95118637157796049</v>
      </c>
      <c r="T25" s="4"/>
      <c r="U25" s="4"/>
      <c r="V25" s="8">
        <f t="shared" si="13"/>
        <v>1</v>
      </c>
      <c r="W25" s="8" t="str">
        <f t="shared" si="14"/>
        <v>Both DNF</v>
      </c>
      <c r="X25" s="8">
        <f t="shared" si="15"/>
        <v>1</v>
      </c>
    </row>
    <row r="26" spans="1:24" x14ac:dyDescent="0.2">
      <c r="A26" s="2" t="s">
        <v>15</v>
      </c>
      <c r="B26">
        <v>7.65181702519945</v>
      </c>
      <c r="C26" t="s">
        <v>124</v>
      </c>
      <c r="D26">
        <v>0.98945606320030699</v>
      </c>
      <c r="G26">
        <v>6.8397003847918674</v>
      </c>
      <c r="H26" t="s">
        <v>124</v>
      </c>
      <c r="I26">
        <v>1.0038987937709309</v>
      </c>
      <c r="L26">
        <f>large!Q6</f>
        <v>6.8397003847918674</v>
      </c>
      <c r="M26" t="str">
        <f>large!R6</f>
        <v>DNF</v>
      </c>
      <c r="N26">
        <f>large!S6</f>
        <v>1.0038987937709309</v>
      </c>
      <c r="Q26" s="4">
        <f t="shared" si="10"/>
        <v>1.1187357040102708</v>
      </c>
      <c r="R26" s="4" t="str">
        <f t="shared" si="11"/>
        <v>Both DNF</v>
      </c>
      <c r="S26" s="4">
        <f t="shared" si="12"/>
        <v>0.98561335997190225</v>
      </c>
      <c r="T26" s="4"/>
      <c r="U26" s="4"/>
      <c r="V26" s="8">
        <f t="shared" si="13"/>
        <v>1</v>
      </c>
      <c r="W26" s="8" t="str">
        <f t="shared" si="14"/>
        <v>Both DNF</v>
      </c>
      <c r="X26" s="8">
        <f t="shared" si="15"/>
        <v>1</v>
      </c>
    </row>
    <row r="27" spans="1:24" x14ac:dyDescent="0.2">
      <c r="A27" s="2" t="s">
        <v>17</v>
      </c>
      <c r="B27">
        <v>3.7135821544106999</v>
      </c>
      <c r="C27" t="s">
        <v>124</v>
      </c>
      <c r="D27">
        <v>0.925257109748443</v>
      </c>
      <c r="G27">
        <v>2.467324144486692</v>
      </c>
      <c r="H27" t="s">
        <v>124</v>
      </c>
      <c r="I27">
        <v>0.77978453738910014</v>
      </c>
      <c r="L27">
        <f>large!Q7</f>
        <v>2.467324144486692</v>
      </c>
      <c r="M27" t="str">
        <f>large!R7</f>
        <v>DNF</v>
      </c>
      <c r="N27">
        <f>large!S7</f>
        <v>0.77978453738910014</v>
      </c>
      <c r="Q27" s="4">
        <f t="shared" si="10"/>
        <v>1.5051051004825644</v>
      </c>
      <c r="R27" s="4" t="str">
        <f t="shared" si="11"/>
        <v>Both DNF</v>
      </c>
      <c r="S27" s="4">
        <f t="shared" si="12"/>
        <v>1.1865548307054392</v>
      </c>
      <c r="T27" s="4"/>
      <c r="U27" s="4"/>
      <c r="V27" s="8">
        <f t="shared" si="13"/>
        <v>1</v>
      </c>
      <c r="W27" s="8" t="str">
        <f t="shared" si="14"/>
        <v>Both DNF</v>
      </c>
      <c r="X27" s="8">
        <f t="shared" si="15"/>
        <v>1</v>
      </c>
    </row>
    <row r="28" spans="1:24" x14ac:dyDescent="0.2">
      <c r="A28" s="2" t="s">
        <v>19</v>
      </c>
      <c r="B28">
        <v>1.10557835186714</v>
      </c>
      <c r="C28">
        <v>51.2885810712378</v>
      </c>
      <c r="D28">
        <v>0.97694119360947895</v>
      </c>
      <c r="G28">
        <v>1.2417965273701552</v>
      </c>
      <c r="H28">
        <v>45.851747811009737</v>
      </c>
      <c r="I28">
        <v>0.93933717618227108</v>
      </c>
      <c r="L28">
        <f>large!Q8</f>
        <v>1.2417965273701552</v>
      </c>
      <c r="M28">
        <f>large!R8</f>
        <v>45.851747811009737</v>
      </c>
      <c r="N28">
        <f>large!S8</f>
        <v>0.93933717618227108</v>
      </c>
      <c r="Q28" s="4">
        <f t="shared" si="10"/>
        <v>0.89030555932420385</v>
      </c>
      <c r="R28" s="4">
        <f t="shared" si="11"/>
        <v>1.1185741769896631</v>
      </c>
      <c r="S28" s="4">
        <f t="shared" si="12"/>
        <v>1.0400325020457948</v>
      </c>
      <c r="T28" s="4"/>
      <c r="U28" s="4"/>
      <c r="V28" s="8">
        <f t="shared" si="13"/>
        <v>1</v>
      </c>
      <c r="W28" s="8">
        <f t="shared" si="14"/>
        <v>1</v>
      </c>
      <c r="X28" s="8">
        <f t="shared" si="15"/>
        <v>1</v>
      </c>
    </row>
    <row r="29" spans="1:24" x14ac:dyDescent="0.2">
      <c r="A29" s="2" t="s">
        <v>21</v>
      </c>
      <c r="B29">
        <v>9.8081843382431906</v>
      </c>
      <c r="C29" t="s">
        <v>124</v>
      </c>
      <c r="D29">
        <v>0.993683150594314</v>
      </c>
      <c r="G29">
        <v>9.8133638792978353</v>
      </c>
      <c r="H29" t="s">
        <v>124</v>
      </c>
      <c r="I29">
        <v>0.9993951154426044</v>
      </c>
      <c r="L29">
        <f>large!Q9</f>
        <v>9.8133638792978353</v>
      </c>
      <c r="M29" t="str">
        <f>large!R9</f>
        <v>DNF</v>
      </c>
      <c r="N29">
        <f>large!S9</f>
        <v>0.9993951154426044</v>
      </c>
      <c r="Q29" s="4">
        <f t="shared" si="10"/>
        <v>0.9994721951495581</v>
      </c>
      <c r="R29" s="4" t="str">
        <f t="shared" si="11"/>
        <v>Both DNF</v>
      </c>
      <c r="S29" s="4">
        <f t="shared" si="12"/>
        <v>0.99428457798119141</v>
      </c>
      <c r="T29" s="4"/>
      <c r="U29" s="4"/>
      <c r="V29" s="8">
        <f t="shared" si="13"/>
        <v>1</v>
      </c>
      <c r="W29" s="8" t="str">
        <f t="shared" si="14"/>
        <v>Both DNF</v>
      </c>
      <c r="X29" s="8">
        <f t="shared" si="15"/>
        <v>1</v>
      </c>
    </row>
    <row r="30" spans="1:24" x14ac:dyDescent="0.2">
      <c r="A30" s="2" t="s">
        <v>23</v>
      </c>
      <c r="B30">
        <v>11.024187577128799</v>
      </c>
      <c r="C30">
        <v>21897.751871657802</v>
      </c>
      <c r="D30">
        <v>0.93245577951460301</v>
      </c>
      <c r="G30">
        <v>10.709161931818182</v>
      </c>
      <c r="H30">
        <v>18723.854758522728</v>
      </c>
      <c r="I30">
        <v>0.9118430397727274</v>
      </c>
      <c r="L30">
        <f>large!Q10</f>
        <v>10.709161931818182</v>
      </c>
      <c r="M30">
        <f>large!R10</f>
        <v>18723.854758522728</v>
      </c>
      <c r="N30">
        <f>large!S10</f>
        <v>0.9118430397727274</v>
      </c>
      <c r="Q30" s="4">
        <f t="shared" si="10"/>
        <v>1.0294164610934344</v>
      </c>
      <c r="R30" s="4">
        <f t="shared" si="11"/>
        <v>1.1695108808558974</v>
      </c>
      <c r="S30" s="4">
        <f t="shared" si="12"/>
        <v>1.0226055788581916</v>
      </c>
      <c r="T30" s="4"/>
      <c r="U30" s="4"/>
      <c r="V30" s="8">
        <f t="shared" si="13"/>
        <v>1</v>
      </c>
      <c r="W30" s="8">
        <f t="shared" si="14"/>
        <v>1</v>
      </c>
      <c r="X30" s="8">
        <f t="shared" si="15"/>
        <v>1</v>
      </c>
    </row>
    <row r="31" spans="1:24" x14ac:dyDescent="0.2">
      <c r="A31" s="2" t="s">
        <v>24</v>
      </c>
      <c r="B31" t="s">
        <v>124</v>
      </c>
      <c r="C31" t="s">
        <v>124</v>
      </c>
      <c r="D31">
        <v>1.0419824376642399</v>
      </c>
      <c r="G31" t="s">
        <v>124</v>
      </c>
      <c r="H31" t="s">
        <v>124</v>
      </c>
      <c r="I31">
        <v>0.98907127490255986</v>
      </c>
      <c r="L31" t="str">
        <f>large!Q11</f>
        <v>DNF</v>
      </c>
      <c r="M31" t="str">
        <f>large!R11</f>
        <v>DNF</v>
      </c>
      <c r="N31">
        <f>large!S11</f>
        <v>0.98907127490255986</v>
      </c>
      <c r="Q31" s="4" t="str">
        <f t="shared" si="10"/>
        <v>Both DNF</v>
      </c>
      <c r="R31" s="4" t="str">
        <f t="shared" si="11"/>
        <v>Both DNF</v>
      </c>
      <c r="S31" s="4">
        <f t="shared" si="12"/>
        <v>1.0534958036941198</v>
      </c>
      <c r="T31" s="4"/>
      <c r="U31" s="4"/>
      <c r="V31" s="8" t="str">
        <f t="shared" si="13"/>
        <v>Both DNF</v>
      </c>
      <c r="W31" s="8" t="str">
        <f t="shared" si="14"/>
        <v>Both DNF</v>
      </c>
      <c r="X31" s="8">
        <f t="shared" si="15"/>
        <v>1</v>
      </c>
    </row>
    <row r="32" spans="1:24" x14ac:dyDescent="0.2">
      <c r="A32" s="2" t="s">
        <v>26</v>
      </c>
      <c r="B32" t="s">
        <v>124</v>
      </c>
      <c r="C32" t="s">
        <v>124</v>
      </c>
      <c r="D32">
        <v>0.98538629775745301</v>
      </c>
      <c r="G32" t="s">
        <v>124</v>
      </c>
      <c r="H32" t="s">
        <v>124</v>
      </c>
      <c r="I32">
        <v>0.99774547736066088</v>
      </c>
      <c r="L32" t="str">
        <f>large!Q12</f>
        <v>DNF</v>
      </c>
      <c r="M32" t="str">
        <f>large!R12</f>
        <v>DNF</v>
      </c>
      <c r="N32">
        <f>large!S12</f>
        <v>0.99774547736066088</v>
      </c>
      <c r="Q32" s="4" t="str">
        <f t="shared" si="10"/>
        <v>Both DNF</v>
      </c>
      <c r="R32" s="4" t="str">
        <f t="shared" si="11"/>
        <v>Both DNF</v>
      </c>
      <c r="S32" s="4">
        <f t="shared" si="12"/>
        <v>0.98761289338449154</v>
      </c>
      <c r="T32" s="4"/>
      <c r="U32" s="4"/>
      <c r="V32" s="8" t="str">
        <f t="shared" si="13"/>
        <v>Both DNF</v>
      </c>
      <c r="W32" s="8" t="str">
        <f t="shared" si="14"/>
        <v>Both DNF</v>
      </c>
      <c r="X32" s="8">
        <f t="shared" si="15"/>
        <v>1</v>
      </c>
    </row>
    <row r="33" spans="1:24" x14ac:dyDescent="0.2">
      <c r="A33" s="2" t="s">
        <v>28</v>
      </c>
      <c r="B33">
        <v>1.3858971656903301</v>
      </c>
      <c r="C33" t="s">
        <v>124</v>
      </c>
      <c r="D33">
        <v>1.0046483025034401</v>
      </c>
      <c r="G33">
        <v>1.0144915431787682</v>
      </c>
      <c r="H33" t="s">
        <v>124</v>
      </c>
      <c r="I33">
        <v>1.0094519911892776</v>
      </c>
      <c r="L33">
        <f>large!Q13</f>
        <v>1.0144915431787682</v>
      </c>
      <c r="M33" t="str">
        <f>large!R13</f>
        <v>DNF</v>
      </c>
      <c r="N33">
        <f>large!S13</f>
        <v>1.0094519911892776</v>
      </c>
      <c r="Q33" s="4">
        <f t="shared" si="10"/>
        <v>1.3661002647176477</v>
      </c>
      <c r="R33" s="4" t="str">
        <f t="shared" si="11"/>
        <v>Both DNF</v>
      </c>
      <c r="S33" s="4">
        <f t="shared" si="12"/>
        <v>0.9952412905935446</v>
      </c>
      <c r="T33" s="4"/>
      <c r="U33" s="4"/>
      <c r="V33" s="8">
        <f t="shared" si="13"/>
        <v>1</v>
      </c>
      <c r="W33" s="8" t="str">
        <f t="shared" si="14"/>
        <v>Both DNF</v>
      </c>
      <c r="X33" s="8">
        <f t="shared" si="15"/>
        <v>1</v>
      </c>
    </row>
    <row r="34" spans="1:24" x14ac:dyDescent="0.2">
      <c r="A34" s="2" t="s">
        <v>30</v>
      </c>
      <c r="B34">
        <v>3.53580108138594</v>
      </c>
      <c r="C34" t="s">
        <v>124</v>
      </c>
      <c r="D34">
        <v>1.0203469756639201</v>
      </c>
      <c r="G34">
        <v>3.8578670960294628</v>
      </c>
      <c r="H34" t="s">
        <v>124</v>
      </c>
      <c r="I34">
        <v>0.99167231617714413</v>
      </c>
      <c r="L34">
        <f>large!Q14</f>
        <v>3.8578670960294628</v>
      </c>
      <c r="M34" t="str">
        <f>large!R14</f>
        <v>DNF</v>
      </c>
      <c r="N34">
        <f>large!S14</f>
        <v>0.99167231617714413</v>
      </c>
      <c r="Q34" s="4">
        <f t="shared" si="10"/>
        <v>0.91651707883483213</v>
      </c>
      <c r="R34" s="4" t="str">
        <f t="shared" si="11"/>
        <v>Both DNF</v>
      </c>
      <c r="S34" s="4">
        <f t="shared" si="12"/>
        <v>1.0289154582809326</v>
      </c>
      <c r="T34" s="4"/>
      <c r="U34" s="4"/>
      <c r="V34" s="8">
        <f t="shared" si="13"/>
        <v>1</v>
      </c>
      <c r="W34" s="8" t="str">
        <f t="shared" si="14"/>
        <v>Both DNF</v>
      </c>
      <c r="X34" s="8">
        <f t="shared" si="15"/>
        <v>1</v>
      </c>
    </row>
    <row r="35" spans="1:24" x14ac:dyDescent="0.2">
      <c r="A35" s="2" t="s">
        <v>32</v>
      </c>
      <c r="B35" t="s">
        <v>124</v>
      </c>
      <c r="C35" t="s">
        <v>124</v>
      </c>
      <c r="D35">
        <v>0.97039063577748796</v>
      </c>
      <c r="G35" t="s">
        <v>124</v>
      </c>
      <c r="H35" t="s">
        <v>124</v>
      </c>
      <c r="I35">
        <v>0.96530797370507559</v>
      </c>
      <c r="L35" t="str">
        <f>large!Q15</f>
        <v>DNF</v>
      </c>
      <c r="M35" t="str">
        <f>large!R15</f>
        <v>DNF</v>
      </c>
      <c r="N35">
        <f>large!S15</f>
        <v>0.96530797370507559</v>
      </c>
      <c r="Q35" s="4" t="str">
        <f t="shared" si="10"/>
        <v>Both DNF</v>
      </c>
      <c r="R35" s="4" t="str">
        <f t="shared" si="11"/>
        <v>Both DNF</v>
      </c>
      <c r="S35" s="4">
        <f t="shared" si="12"/>
        <v>1.0052653269328171</v>
      </c>
      <c r="T35" s="4"/>
      <c r="U35" s="4"/>
      <c r="V35" s="8" t="str">
        <f t="shared" si="13"/>
        <v>Both DNF</v>
      </c>
      <c r="W35" s="8" t="str">
        <f t="shared" si="14"/>
        <v>Both DNF</v>
      </c>
      <c r="X35" s="8">
        <f t="shared" si="15"/>
        <v>1</v>
      </c>
    </row>
    <row r="36" spans="1:24" x14ac:dyDescent="0.2">
      <c r="A36" s="2" t="s">
        <v>34</v>
      </c>
      <c r="B36">
        <v>15.913490642537701</v>
      </c>
      <c r="C36">
        <v>1762.88766228031</v>
      </c>
      <c r="D36">
        <v>1.00549163809784</v>
      </c>
      <c r="G36">
        <v>10.247392176239764</v>
      </c>
      <c r="H36">
        <v>924.98827418413407</v>
      </c>
      <c r="I36">
        <v>0.99303617145466005</v>
      </c>
      <c r="L36">
        <f>large!Q16</f>
        <v>10.247392176239764</v>
      </c>
      <c r="M36">
        <f>large!R16</f>
        <v>924.98827418413407</v>
      </c>
      <c r="N36">
        <f>large!S16</f>
        <v>0.99303617145466005</v>
      </c>
      <c r="Q36" s="4">
        <f t="shared" si="10"/>
        <v>1.5529307719319754</v>
      </c>
      <c r="R36" s="4">
        <f t="shared" si="11"/>
        <v>1.9058486593629815</v>
      </c>
      <c r="S36" s="4">
        <f t="shared" si="12"/>
        <v>1.0125428126398803</v>
      </c>
      <c r="T36" s="4"/>
      <c r="U36" s="4"/>
      <c r="V36" s="8">
        <f t="shared" si="13"/>
        <v>1</v>
      </c>
      <c r="W36" s="8">
        <f t="shared" si="14"/>
        <v>1</v>
      </c>
      <c r="X36" s="8">
        <f t="shared" si="15"/>
        <v>1</v>
      </c>
    </row>
    <row r="37" spans="1:24" x14ac:dyDescent="0.2">
      <c r="A37" s="2" t="s">
        <v>36</v>
      </c>
      <c r="B37">
        <v>4.4974960652453904</v>
      </c>
      <c r="C37">
        <v>98.448347403062002</v>
      </c>
      <c r="D37">
        <v>0.95398483330948602</v>
      </c>
      <c r="G37">
        <v>3.5433877681716299</v>
      </c>
      <c r="H37">
        <v>89.979303117631645</v>
      </c>
      <c r="I37">
        <v>0.94651122172736013</v>
      </c>
      <c r="L37">
        <f>large!Q17</f>
        <v>3.5433877681716299</v>
      </c>
      <c r="M37">
        <f>large!R17</f>
        <v>89.979303117631645</v>
      </c>
      <c r="N37">
        <f>large!S17</f>
        <v>0.94651122172736013</v>
      </c>
      <c r="Q37" s="4">
        <f t="shared" si="10"/>
        <v>1.2692644326551015</v>
      </c>
      <c r="R37" s="4">
        <f t="shared" si="11"/>
        <v>1.0941221368913985</v>
      </c>
      <c r="S37" s="4">
        <f t="shared" si="12"/>
        <v>1.0078959566570027</v>
      </c>
      <c r="T37" s="4"/>
      <c r="U37" s="4"/>
      <c r="V37" s="8">
        <f t="shared" si="13"/>
        <v>1</v>
      </c>
      <c r="W37" s="8">
        <f t="shared" si="14"/>
        <v>1</v>
      </c>
      <c r="X37" s="8">
        <f t="shared" si="15"/>
        <v>1</v>
      </c>
    </row>
    <row r="38" spans="1:24" x14ac:dyDescent="0.2">
      <c r="A38" s="2" t="s">
        <v>38</v>
      </c>
      <c r="B38">
        <v>9.6127213802096101</v>
      </c>
      <c r="C38" t="s">
        <v>124</v>
      </c>
      <c r="D38">
        <v>0.97527108666722495</v>
      </c>
      <c r="G38">
        <v>6.9205912416252673</v>
      </c>
      <c r="H38" t="s">
        <v>124</v>
      </c>
      <c r="I38">
        <v>1.0047135071439093</v>
      </c>
      <c r="L38">
        <f>large!Q18</f>
        <v>6.9205912416252673</v>
      </c>
      <c r="M38" t="str">
        <f>large!R18</f>
        <v>DNF</v>
      </c>
      <c r="N38">
        <f>large!S18</f>
        <v>1.0047135071439093</v>
      </c>
      <c r="Q38" s="4">
        <f t="shared" si="10"/>
        <v>1.3890029109640218</v>
      </c>
      <c r="R38" s="4" t="str">
        <f t="shared" si="11"/>
        <v>Both DNF</v>
      </c>
      <c r="S38" s="4">
        <f t="shared" si="12"/>
        <v>0.97069570552467233</v>
      </c>
      <c r="T38" s="4"/>
      <c r="U38" s="4"/>
      <c r="V38" s="8">
        <f t="shared" si="13"/>
        <v>1</v>
      </c>
      <c r="W38" s="8" t="str">
        <f t="shared" si="14"/>
        <v>Both DNF</v>
      </c>
      <c r="X38" s="8">
        <f t="shared" si="15"/>
        <v>1</v>
      </c>
    </row>
    <row r="39" spans="1:24" x14ac:dyDescent="0.2">
      <c r="A39" s="2"/>
      <c r="Q39" s="4"/>
      <c r="R39" s="4"/>
      <c r="S39" s="4"/>
      <c r="T39" s="4"/>
      <c r="U39" s="4"/>
      <c r="V39" s="8"/>
      <c r="W39" s="8"/>
      <c r="X39" s="8"/>
    </row>
    <row r="40" spans="1:24" x14ac:dyDescent="0.2">
      <c r="A40" s="2"/>
      <c r="B40" s="3" t="s">
        <v>129</v>
      </c>
      <c r="C40" s="3"/>
      <c r="D40" s="3"/>
      <c r="E40" s="3"/>
      <c r="F40" s="3"/>
      <c r="G40" s="3" t="s">
        <v>126</v>
      </c>
      <c r="H40" s="1"/>
      <c r="I40" s="1"/>
      <c r="J40" s="1"/>
      <c r="L40" s="3" t="s">
        <v>131</v>
      </c>
      <c r="Q40" s="4"/>
      <c r="R40" s="4"/>
      <c r="S40" s="4"/>
      <c r="T40" s="4"/>
      <c r="U40" s="4"/>
      <c r="V40" s="8"/>
      <c r="W40" s="8"/>
      <c r="X40" s="8"/>
    </row>
    <row r="41" spans="1:24" x14ac:dyDescent="0.2">
      <c r="A41" s="2"/>
      <c r="B41" s="3" t="s">
        <v>52</v>
      </c>
      <c r="C41" s="3" t="s">
        <v>53</v>
      </c>
      <c r="D41" s="3" t="s">
        <v>54</v>
      </c>
      <c r="E41" s="3"/>
      <c r="F41" s="3"/>
      <c r="G41" s="3" t="s">
        <v>52</v>
      </c>
      <c r="H41" s="1"/>
      <c r="I41" s="1"/>
      <c r="J41" s="1"/>
      <c r="L41" s="3" t="s">
        <v>52</v>
      </c>
      <c r="M41" s="3" t="s">
        <v>53</v>
      </c>
      <c r="N41" s="3" t="s">
        <v>54</v>
      </c>
      <c r="Q41" s="7" t="s">
        <v>121</v>
      </c>
      <c r="R41" s="7" t="s">
        <v>122</v>
      </c>
      <c r="S41" s="7" t="s">
        <v>123</v>
      </c>
      <c r="T41" s="4"/>
      <c r="U41" s="4"/>
      <c r="V41" s="7" t="s">
        <v>121</v>
      </c>
      <c r="W41" s="7" t="s">
        <v>122</v>
      </c>
      <c r="X41" s="7" t="s">
        <v>123</v>
      </c>
    </row>
    <row r="42" spans="1:24" x14ac:dyDescent="0.2">
      <c r="A42" s="2" t="s">
        <v>7</v>
      </c>
      <c r="B42">
        <v>6.5003972457627102</v>
      </c>
      <c r="C42">
        <v>0.184057203389831</v>
      </c>
      <c r="D42">
        <v>0.71106991525423702</v>
      </c>
      <c r="G42">
        <v>6.1550941839681013</v>
      </c>
      <c r="H42">
        <v>0.19043035886154269</v>
      </c>
      <c r="I42">
        <v>0.78963288876667126</v>
      </c>
      <c r="L42">
        <f>small!Q3</f>
        <v>6.1550941839681013</v>
      </c>
      <c r="M42">
        <f>small!R3</f>
        <v>0.19043035886154269</v>
      </c>
      <c r="N42">
        <f>small!S3</f>
        <v>0.78963288876667126</v>
      </c>
      <c r="Q42" s="4">
        <f>IF(AND(L42="DNF", B42="DNF"), "Both DNF",B42/ L42)</f>
        <v>1.0561003701119642</v>
      </c>
      <c r="R42" s="4">
        <f t="shared" ref="R42:S42" si="16">IF(AND(M42="DNF", C42="DNF"), "Both DNF",C42/ M42)</f>
        <v>0.96653288104999346</v>
      </c>
      <c r="S42" s="4">
        <f t="shared" si="16"/>
        <v>0.90050696389414342</v>
      </c>
      <c r="T42" s="4"/>
      <c r="U42" s="4"/>
      <c r="V42" s="8">
        <f>IF(AND(L42="DNF", G42="DNF"), "Both DNF",G42/ L42)</f>
        <v>1</v>
      </c>
      <c r="W42" s="8">
        <f t="shared" ref="W42:X42" si="17">IF(AND(M42="DNF", H42="DNF"), "Both DNF",H42/ M42)</f>
        <v>1</v>
      </c>
      <c r="X42" s="8">
        <f t="shared" si="17"/>
        <v>1</v>
      </c>
    </row>
    <row r="43" spans="1:24" x14ac:dyDescent="0.2">
      <c r="A43" s="2" t="s">
        <v>10</v>
      </c>
      <c r="B43">
        <v>4.0844673539518901</v>
      </c>
      <c r="C43">
        <v>0.106460481099656</v>
      </c>
      <c r="D43">
        <v>0.73512027491408904</v>
      </c>
      <c r="G43">
        <v>3.4646417025862069</v>
      </c>
      <c r="H43">
        <v>9.6982758620689655E-2</v>
      </c>
      <c r="I43">
        <v>0.9514412715517242</v>
      </c>
      <c r="L43">
        <f>small!Q4</f>
        <v>3.4646417025862069</v>
      </c>
      <c r="M43">
        <f>small!R4</f>
        <v>9.6982758620689655E-2</v>
      </c>
      <c r="N43">
        <f>small!S4</f>
        <v>0.9514412715517242</v>
      </c>
      <c r="Q43" s="4">
        <f t="shared" ref="Q43:Q57" si="18">IF(AND(L43="DNF", B43="DNF"), "Both DNF",B43/ L43)</f>
        <v>1.1789003610107822</v>
      </c>
      <c r="R43" s="4">
        <f t="shared" ref="R43:R57" si="19">IF(AND(M43="DNF", C43="DNF"), "Both DNF",C43/ M43)</f>
        <v>1.0977258495608975</v>
      </c>
      <c r="S43" s="4">
        <f t="shared" ref="S43:S57" si="20">IF(AND(N43="DNF", D43="DNF"), "Both DNF",D43/ N43)</f>
        <v>0.77263862404787953</v>
      </c>
      <c r="T43" s="4"/>
      <c r="U43" s="4"/>
      <c r="V43" s="8">
        <f t="shared" ref="V43:V57" si="21">IF(AND(L43="DNF", G43="DNF"), "Both DNF",G43/ L43)</f>
        <v>1</v>
      </c>
      <c r="W43" s="8">
        <f t="shared" ref="W43:W57" si="22">IF(AND(M43="DNF", H43="DNF"), "Both DNF",H43/ M43)</f>
        <v>1</v>
      </c>
      <c r="X43" s="8">
        <f t="shared" ref="X43:X57" si="23">IF(AND(N43="DNF", I43="DNF"), "Both DNF",I43/ N43)</f>
        <v>1</v>
      </c>
    </row>
    <row r="44" spans="1:24" x14ac:dyDescent="0.2">
      <c r="A44" s="2" t="s">
        <v>13</v>
      </c>
      <c r="B44">
        <v>2.75648919473621</v>
      </c>
      <c r="C44">
        <v>0.21592418205964001</v>
      </c>
      <c r="D44">
        <v>0.71912350597609598</v>
      </c>
      <c r="G44">
        <v>3.1806377257011142</v>
      </c>
      <c r="H44">
        <v>0.27137917787168653</v>
      </c>
      <c r="I44">
        <v>0.75766423357664225</v>
      </c>
      <c r="L44">
        <f>small!Q5</f>
        <v>3.1806377257011142</v>
      </c>
      <c r="M44">
        <f>small!R5</f>
        <v>0.27137917787168653</v>
      </c>
      <c r="N44">
        <f>small!S5</f>
        <v>0.75766423357664225</v>
      </c>
      <c r="Q44" s="4">
        <f t="shared" si="18"/>
        <v>0.86664670184297443</v>
      </c>
      <c r="R44" s="4">
        <f t="shared" si="19"/>
        <v>0.7956549347412839</v>
      </c>
      <c r="S44" s="4">
        <f t="shared" si="20"/>
        <v>0.94913218033453906</v>
      </c>
      <c r="T44" s="4"/>
      <c r="U44" s="4"/>
      <c r="V44" s="8">
        <f t="shared" si="21"/>
        <v>1</v>
      </c>
      <c r="W44" s="8">
        <f t="shared" si="22"/>
        <v>1</v>
      </c>
      <c r="X44" s="8">
        <f t="shared" si="23"/>
        <v>1</v>
      </c>
    </row>
    <row r="45" spans="1:24" x14ac:dyDescent="0.2">
      <c r="A45" s="2" t="s">
        <v>15</v>
      </c>
      <c r="B45">
        <v>4.2738648947951301</v>
      </c>
      <c r="C45">
        <v>0.21373200442967899</v>
      </c>
      <c r="D45">
        <v>0.88338870431893701</v>
      </c>
      <c r="G45">
        <v>4.359990700918285</v>
      </c>
      <c r="H45">
        <v>0.21015924677438103</v>
      </c>
      <c r="I45">
        <v>0.99232825758456356</v>
      </c>
      <c r="L45">
        <f>small!Q6</f>
        <v>4.359990700918285</v>
      </c>
      <c r="M45">
        <f>small!R6</f>
        <v>0.21015924677438103</v>
      </c>
      <c r="N45">
        <f>small!S6</f>
        <v>0.99232825758456356</v>
      </c>
      <c r="Q45" s="4">
        <f t="shared" si="18"/>
        <v>0.9802463326114399</v>
      </c>
      <c r="R45" s="4">
        <f t="shared" si="19"/>
        <v>1.0170002401042746</v>
      </c>
      <c r="S45" s="4">
        <f t="shared" si="20"/>
        <v>0.89021822926740246</v>
      </c>
      <c r="T45" s="4"/>
      <c r="U45" s="4"/>
      <c r="V45" s="8">
        <f t="shared" si="21"/>
        <v>1</v>
      </c>
      <c r="W45" s="8">
        <f t="shared" si="22"/>
        <v>1</v>
      </c>
      <c r="X45" s="8">
        <f t="shared" si="23"/>
        <v>1</v>
      </c>
    </row>
    <row r="46" spans="1:24" x14ac:dyDescent="0.2">
      <c r="A46" s="2" t="s">
        <v>17</v>
      </c>
      <c r="B46">
        <v>14.2153125609835</v>
      </c>
      <c r="C46">
        <v>0.17338840824822699</v>
      </c>
      <c r="D46">
        <v>0.86173811227476704</v>
      </c>
      <c r="G46">
        <v>11.888163212518995</v>
      </c>
      <c r="H46">
        <v>0.19266707620679618</v>
      </c>
      <c r="I46">
        <v>0.90620453296259174</v>
      </c>
      <c r="L46">
        <f>small!Q7</f>
        <v>11.888163212518995</v>
      </c>
      <c r="M46">
        <f>small!R7</f>
        <v>0.19266707620679618</v>
      </c>
      <c r="N46">
        <f>small!S7</f>
        <v>0.90620453296259174</v>
      </c>
      <c r="Q46" s="4">
        <f t="shared" si="18"/>
        <v>1.1957534824230769</v>
      </c>
      <c r="R46" s="4">
        <f t="shared" si="19"/>
        <v>0.89993792225363534</v>
      </c>
      <c r="S46" s="4">
        <f t="shared" si="20"/>
        <v>0.95093114294799019</v>
      </c>
      <c r="T46" s="4"/>
      <c r="U46" s="4"/>
      <c r="V46" s="8">
        <f t="shared" si="21"/>
        <v>1</v>
      </c>
      <c r="W46" s="8">
        <f t="shared" si="22"/>
        <v>1</v>
      </c>
      <c r="X46" s="8">
        <f t="shared" si="23"/>
        <v>1</v>
      </c>
    </row>
    <row r="47" spans="1:24" x14ac:dyDescent="0.2">
      <c r="A47" s="2" t="s">
        <v>19</v>
      </c>
      <c r="B47">
        <v>6.5668754605748001</v>
      </c>
      <c r="C47">
        <v>0.21536477523949901</v>
      </c>
      <c r="D47">
        <v>0.83124539425202704</v>
      </c>
      <c r="G47">
        <v>6.8156616754350461</v>
      </c>
      <c r="H47">
        <v>0.24170376365843788</v>
      </c>
      <c r="I47">
        <v>1.0780048563334681</v>
      </c>
      <c r="L47">
        <f>small!Q8</f>
        <v>6.8156616754350461</v>
      </c>
      <c r="M47">
        <f>small!R8</f>
        <v>0.24170376365843788</v>
      </c>
      <c r="N47">
        <f>small!S8</f>
        <v>1.0780048563334681</v>
      </c>
      <c r="Q47" s="4">
        <f t="shared" si="18"/>
        <v>0.96349786319985342</v>
      </c>
      <c r="R47" s="4">
        <f t="shared" si="19"/>
        <v>0.89102781015789378</v>
      </c>
      <c r="S47" s="4">
        <f t="shared" si="20"/>
        <v>0.77109614986269692</v>
      </c>
      <c r="T47" s="4"/>
      <c r="U47" s="4"/>
      <c r="V47" s="8">
        <f t="shared" si="21"/>
        <v>1</v>
      </c>
      <c r="W47" s="8">
        <f t="shared" si="22"/>
        <v>1</v>
      </c>
      <c r="X47" s="8">
        <f t="shared" si="23"/>
        <v>1</v>
      </c>
    </row>
    <row r="48" spans="1:24" x14ac:dyDescent="0.2">
      <c r="A48" s="2" t="s">
        <v>21</v>
      </c>
      <c r="B48">
        <v>7.3333064970614297</v>
      </c>
      <c r="C48">
        <v>0.125915787778762</v>
      </c>
      <c r="D48">
        <v>0.85085741888736799</v>
      </c>
      <c r="G48">
        <v>5.9027614236335326</v>
      </c>
      <c r="H48">
        <v>9.321229156379382E-2</v>
      </c>
      <c r="I48">
        <v>0.79583697344931059</v>
      </c>
      <c r="L48">
        <f>small!Q9</f>
        <v>5.9027614236335326</v>
      </c>
      <c r="M48">
        <f>small!R9</f>
        <v>9.321229156379382E-2</v>
      </c>
      <c r="N48">
        <f>small!S9</f>
        <v>0.79583697344931059</v>
      </c>
      <c r="Q48" s="4">
        <f t="shared" si="18"/>
        <v>1.2423518368369535</v>
      </c>
      <c r="R48" s="4">
        <f t="shared" si="19"/>
        <v>1.350849610778919</v>
      </c>
      <c r="S48" s="4">
        <f t="shared" si="20"/>
        <v>1.0691353220240425</v>
      </c>
      <c r="T48" s="4"/>
      <c r="U48" s="4"/>
      <c r="V48" s="8">
        <f t="shared" si="21"/>
        <v>1</v>
      </c>
      <c r="W48" s="8">
        <f t="shared" si="22"/>
        <v>1</v>
      </c>
      <c r="X48" s="8">
        <f t="shared" si="23"/>
        <v>1</v>
      </c>
    </row>
    <row r="49" spans="1:24" x14ac:dyDescent="0.2">
      <c r="A49" s="2" t="s">
        <v>23</v>
      </c>
      <c r="B49">
        <v>6.0736645962732903</v>
      </c>
      <c r="C49">
        <v>0.23950310559006199</v>
      </c>
      <c r="D49">
        <v>0.79888198757763995</v>
      </c>
      <c r="G49">
        <v>6.3449671925171023</v>
      </c>
      <c r="H49">
        <v>0.2921960072595281</v>
      </c>
      <c r="I49">
        <v>0.65014658662571545</v>
      </c>
      <c r="L49">
        <f>small!Q10</f>
        <v>6.3449671925171023</v>
      </c>
      <c r="M49">
        <f>small!R10</f>
        <v>0.2921960072595281</v>
      </c>
      <c r="N49">
        <f>small!S10</f>
        <v>0.65014658662571545</v>
      </c>
      <c r="Q49" s="4">
        <f t="shared" si="18"/>
        <v>0.95724129250600842</v>
      </c>
      <c r="R49" s="4">
        <f t="shared" si="19"/>
        <v>0.81966590795108185</v>
      </c>
      <c r="S49" s="4">
        <f t="shared" si="20"/>
        <v>1.2287721015715343</v>
      </c>
      <c r="T49" s="4"/>
      <c r="U49" s="4"/>
      <c r="V49" s="8">
        <f t="shared" si="21"/>
        <v>1</v>
      </c>
      <c r="W49" s="8">
        <f t="shared" si="22"/>
        <v>1</v>
      </c>
      <c r="X49" s="8">
        <f t="shared" si="23"/>
        <v>1</v>
      </c>
    </row>
    <row r="50" spans="1:24" x14ac:dyDescent="0.2">
      <c r="A50" s="2" t="s">
        <v>24</v>
      </c>
      <c r="B50">
        <v>30.3209635416667</v>
      </c>
      <c r="C50">
        <v>0.299560546875</v>
      </c>
      <c r="D50">
        <v>0.7666015625</v>
      </c>
      <c r="G50">
        <v>26.313826940231937</v>
      </c>
      <c r="H50">
        <v>0.22132024977698486</v>
      </c>
      <c r="I50">
        <v>0.85093666369313126</v>
      </c>
      <c r="L50">
        <f>small!Q11</f>
        <v>26.313826940231937</v>
      </c>
      <c r="M50">
        <f>small!R11</f>
        <v>0.22132024977698486</v>
      </c>
      <c r="N50">
        <f>small!S11</f>
        <v>0.85093666369313126</v>
      </c>
      <c r="Q50" s="4">
        <f t="shared" si="18"/>
        <v>1.1522825475190817</v>
      </c>
      <c r="R50" s="4">
        <f t="shared" si="19"/>
        <v>1.3535162154247278</v>
      </c>
      <c r="S50" s="4">
        <f t="shared" si="20"/>
        <v>0.90089144728220971</v>
      </c>
      <c r="T50" s="4"/>
      <c r="U50" s="4"/>
      <c r="V50" s="8">
        <f t="shared" si="21"/>
        <v>1</v>
      </c>
      <c r="W50" s="8">
        <f t="shared" si="22"/>
        <v>1</v>
      </c>
      <c r="X50" s="8">
        <f t="shared" si="23"/>
        <v>1</v>
      </c>
    </row>
    <row r="51" spans="1:24" x14ac:dyDescent="0.2">
      <c r="A51" s="2" t="s">
        <v>26</v>
      </c>
      <c r="B51">
        <v>5.6813829038163597</v>
      </c>
      <c r="C51">
        <v>0.153640332347557</v>
      </c>
      <c r="D51">
        <v>0.912899591606816</v>
      </c>
      <c r="G51">
        <v>4.0623899085175292</v>
      </c>
      <c r="H51">
        <v>0.12074549690323315</v>
      </c>
      <c r="I51">
        <v>0.72595033808739129</v>
      </c>
      <c r="L51">
        <f>small!Q12</f>
        <v>4.0623899085175292</v>
      </c>
      <c r="M51">
        <f>small!R12</f>
        <v>0.12074549690323315</v>
      </c>
      <c r="N51">
        <f>small!S12</f>
        <v>0.72595033808739129</v>
      </c>
      <c r="Q51" s="4">
        <f t="shared" si="18"/>
        <v>1.3985321526878356</v>
      </c>
      <c r="R51" s="4">
        <f t="shared" si="19"/>
        <v>1.2724311571692497</v>
      </c>
      <c r="S51" s="4">
        <f t="shared" si="20"/>
        <v>1.2575234746938286</v>
      </c>
      <c r="T51" s="4"/>
      <c r="U51" s="4"/>
      <c r="V51" s="8">
        <f t="shared" si="21"/>
        <v>1</v>
      </c>
      <c r="W51" s="8">
        <f t="shared" si="22"/>
        <v>1</v>
      </c>
      <c r="X51" s="8">
        <f t="shared" si="23"/>
        <v>1</v>
      </c>
    </row>
    <row r="52" spans="1:24" x14ac:dyDescent="0.2">
      <c r="A52" s="2" t="s">
        <v>28</v>
      </c>
      <c r="B52">
        <v>4.5109378636257897</v>
      </c>
      <c r="C52">
        <v>0.20805212939260001</v>
      </c>
      <c r="D52">
        <v>0.73074237840353695</v>
      </c>
      <c r="G52">
        <v>5.4386168821734708</v>
      </c>
      <c r="H52">
        <v>0.31672235943629229</v>
      </c>
      <c r="I52">
        <v>0.85297108818829004</v>
      </c>
      <c r="L52">
        <f>small!Q13</f>
        <v>5.4386168821734708</v>
      </c>
      <c r="M52">
        <f>small!R13</f>
        <v>0.31672235943629229</v>
      </c>
      <c r="N52">
        <f>small!S13</f>
        <v>0.85297108818829004</v>
      </c>
      <c r="Q52" s="4">
        <f t="shared" si="18"/>
        <v>0.82942740063408427</v>
      </c>
      <c r="R52" s="4">
        <f t="shared" si="19"/>
        <v>0.65689119569232379</v>
      </c>
      <c r="S52" s="4">
        <f t="shared" si="20"/>
        <v>0.85670240002581244</v>
      </c>
      <c r="T52" s="4"/>
      <c r="U52" s="4"/>
      <c r="V52" s="8">
        <f t="shared" si="21"/>
        <v>1</v>
      </c>
      <c r="W52" s="8">
        <f t="shared" si="22"/>
        <v>1</v>
      </c>
      <c r="X52" s="8">
        <f t="shared" si="23"/>
        <v>1</v>
      </c>
    </row>
    <row r="53" spans="1:24" x14ac:dyDescent="0.2">
      <c r="A53" s="2" t="s">
        <v>30</v>
      </c>
      <c r="B53">
        <v>10.907756813417199</v>
      </c>
      <c r="C53">
        <v>0.40146750524108998</v>
      </c>
      <c r="D53">
        <v>1.0382599580712799</v>
      </c>
      <c r="G53">
        <v>8.3449206884913938</v>
      </c>
      <c r="H53">
        <v>0.39082011474856571</v>
      </c>
      <c r="I53">
        <v>0.67285408932388358</v>
      </c>
      <c r="L53">
        <f>small!Q14</f>
        <v>8.3449206884913938</v>
      </c>
      <c r="M53">
        <f>small!R14</f>
        <v>0.39082011474856571</v>
      </c>
      <c r="N53">
        <f>small!S14</f>
        <v>0.67285408932388358</v>
      </c>
      <c r="Q53" s="4">
        <f t="shared" si="18"/>
        <v>1.3071132992863852</v>
      </c>
      <c r="R53" s="4">
        <f t="shared" si="19"/>
        <v>1.0272437115970203</v>
      </c>
      <c r="S53" s="4">
        <f t="shared" si="20"/>
        <v>1.5430685115023584</v>
      </c>
      <c r="T53" s="4"/>
      <c r="U53" s="4"/>
      <c r="V53" s="8">
        <f t="shared" si="21"/>
        <v>1</v>
      </c>
      <c r="W53" s="8">
        <f t="shared" si="22"/>
        <v>1</v>
      </c>
      <c r="X53" s="8">
        <f t="shared" si="23"/>
        <v>1</v>
      </c>
    </row>
    <row r="54" spans="1:24" x14ac:dyDescent="0.2">
      <c r="A54" s="2" t="s">
        <v>32</v>
      </c>
      <c r="B54">
        <v>6.1319916923297297</v>
      </c>
      <c r="C54">
        <v>0.18083506409797301</v>
      </c>
      <c r="D54">
        <v>1.0015039747905199</v>
      </c>
      <c r="G54">
        <v>5.587720546385885</v>
      </c>
      <c r="H54">
        <v>0.14961582242458735</v>
      </c>
      <c r="I54">
        <v>1.0206317586795672</v>
      </c>
      <c r="L54">
        <f>small!Q15</f>
        <v>5.587720546385885</v>
      </c>
      <c r="M54">
        <f>small!R15</f>
        <v>0.14961582242458735</v>
      </c>
      <c r="N54">
        <f>small!S15</f>
        <v>1.0206317586795672</v>
      </c>
      <c r="Q54" s="4">
        <f t="shared" si="18"/>
        <v>1.0974048615040131</v>
      </c>
      <c r="R54" s="4">
        <f t="shared" si="19"/>
        <v>1.2086627013604894</v>
      </c>
      <c r="S54" s="4">
        <f t="shared" si="20"/>
        <v>0.9812588784090025</v>
      </c>
      <c r="T54" s="4"/>
      <c r="U54" s="4"/>
      <c r="V54" s="8">
        <f t="shared" si="21"/>
        <v>1</v>
      </c>
      <c r="W54" s="8">
        <f t="shared" si="22"/>
        <v>1</v>
      </c>
      <c r="X54" s="8">
        <f t="shared" si="23"/>
        <v>1</v>
      </c>
    </row>
    <row r="55" spans="1:24" x14ac:dyDescent="0.2">
      <c r="A55" s="2" t="s">
        <v>34</v>
      </c>
      <c r="B55">
        <v>5.5389721787126103</v>
      </c>
      <c r="C55">
        <v>0.17378981129260801</v>
      </c>
      <c r="D55">
        <v>0.83754754978742396</v>
      </c>
      <c r="G55">
        <v>5.3358644859813085</v>
      </c>
      <c r="H55">
        <v>0.1908377837116155</v>
      </c>
      <c r="I55">
        <v>0.70635847797062756</v>
      </c>
      <c r="L55">
        <f>small!Q16</f>
        <v>5.3358644859813085</v>
      </c>
      <c r="M55">
        <f>small!R16</f>
        <v>0.1908377837116155</v>
      </c>
      <c r="N55">
        <f>small!S16</f>
        <v>0.70635847797062756</v>
      </c>
      <c r="Q55" s="4">
        <f t="shared" si="18"/>
        <v>1.0380646272529819</v>
      </c>
      <c r="R55" s="4">
        <f t="shared" si="19"/>
        <v>0.91066773000901369</v>
      </c>
      <c r="S55" s="4">
        <f t="shared" si="20"/>
        <v>1.1857259110044285</v>
      </c>
      <c r="T55" s="4"/>
      <c r="U55" s="4"/>
      <c r="V55" s="8">
        <f t="shared" si="21"/>
        <v>1</v>
      </c>
      <c r="W55" s="8">
        <f t="shared" si="22"/>
        <v>1</v>
      </c>
      <c r="X55" s="8">
        <f t="shared" si="23"/>
        <v>1</v>
      </c>
    </row>
    <row r="56" spans="1:24" x14ac:dyDescent="0.2">
      <c r="A56" s="2" t="s">
        <v>36</v>
      </c>
      <c r="B56">
        <v>4.4400217361771501</v>
      </c>
      <c r="C56">
        <v>0.15514196440701</v>
      </c>
      <c r="D56">
        <v>0.80627632115201697</v>
      </c>
      <c r="G56">
        <v>3.3562744004461793</v>
      </c>
      <c r="H56">
        <v>0.10362520914668154</v>
      </c>
      <c r="I56">
        <v>0.47105409927495817</v>
      </c>
      <c r="L56">
        <f>small!Q17</f>
        <v>3.3562744004461793</v>
      </c>
      <c r="M56">
        <f>small!R17</f>
        <v>0.10362520914668154</v>
      </c>
      <c r="N56">
        <f>small!S17</f>
        <v>0.47105409927495817</v>
      </c>
      <c r="Q56" s="4">
        <f t="shared" si="18"/>
        <v>1.3229018865641315</v>
      </c>
      <c r="R56" s="4">
        <f t="shared" si="19"/>
        <v>1.4971450063604357</v>
      </c>
      <c r="S56" s="4">
        <f t="shared" si="20"/>
        <v>1.7116427229760436</v>
      </c>
      <c r="T56" s="4"/>
      <c r="U56" s="4"/>
      <c r="V56" s="8">
        <f t="shared" si="21"/>
        <v>1</v>
      </c>
      <c r="W56" s="8">
        <f t="shared" si="22"/>
        <v>1</v>
      </c>
      <c r="X56" s="8">
        <f t="shared" si="23"/>
        <v>1</v>
      </c>
    </row>
    <row r="57" spans="1:24" x14ac:dyDescent="0.2">
      <c r="A57" s="2" t="s">
        <v>38</v>
      </c>
      <c r="B57">
        <v>14.877283525845799</v>
      </c>
      <c r="C57">
        <v>0.24379454411403301</v>
      </c>
      <c r="D57">
        <v>0.88858851478659795</v>
      </c>
      <c r="G57">
        <v>11.815309842041311</v>
      </c>
      <c r="H57">
        <v>0.17950587282300526</v>
      </c>
      <c r="I57">
        <v>0.62179019846091532</v>
      </c>
      <c r="L57">
        <f>small!Q18</f>
        <v>11.815309842041311</v>
      </c>
      <c r="M57">
        <f>small!R18</f>
        <v>0.17950587282300526</v>
      </c>
      <c r="N57">
        <f>small!S18</f>
        <v>0.62179019846091532</v>
      </c>
      <c r="Q57" s="4">
        <f t="shared" si="18"/>
        <v>1.2591530585943125</v>
      </c>
      <c r="R57" s="4">
        <f t="shared" si="19"/>
        <v>1.3581424400215423</v>
      </c>
      <c r="S57" s="4">
        <f t="shared" si="20"/>
        <v>1.4290809295258666</v>
      </c>
      <c r="T57" s="4"/>
      <c r="U57" s="4"/>
      <c r="V57" s="8">
        <f t="shared" si="21"/>
        <v>1</v>
      </c>
      <c r="W57" s="8">
        <f t="shared" si="22"/>
        <v>1</v>
      </c>
      <c r="X57" s="8">
        <f t="shared" si="23"/>
        <v>1</v>
      </c>
    </row>
  </sheetData>
  <conditionalFormatting sqref="Q2:X57">
    <cfRule type="expression" dxfId="2" priority="2">
      <formula>AND(Q2&lt;&gt;"",ISERROR(SEARCH("Both DNF",Q2)),ISNUMBER(Q2),Q2&lt;0.7)</formula>
    </cfRule>
    <cfRule type="expression" dxfId="3" priority="1">
      <formula>AND(Q2&lt;&gt;"",ISERROR(SEARCH("Both DNF",Q2)),ISNUMBER(Q2),Q2&gt;1.3)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74ED-1B9B-D04B-8811-112D5EE38F35}">
  <dimension ref="A1:Z79"/>
  <sheetViews>
    <sheetView tabSelected="1" zoomScale="50" workbookViewId="0">
      <selection activeCell="M31" sqref="M31"/>
    </sheetView>
  </sheetViews>
  <sheetFormatPr baseColWidth="10" defaultRowHeight="16" x14ac:dyDescent="0.2"/>
  <cols>
    <col min="2" max="2" width="12.5" bestFit="1" customWidth="1"/>
    <col min="3" max="3" width="5.6640625" bestFit="1" customWidth="1"/>
    <col min="4" max="4" width="7.5" bestFit="1" customWidth="1"/>
    <col min="5" max="5" width="8" bestFit="1" customWidth="1"/>
    <col min="6" max="6" width="9.1640625" bestFit="1" customWidth="1"/>
    <col min="7" max="7" width="17" bestFit="1" customWidth="1"/>
    <col min="8" max="8" width="4.6640625" bestFit="1" customWidth="1"/>
    <col min="10" max="10" width="12.83203125" bestFit="1" customWidth="1"/>
    <col min="11" max="11" width="12.5" bestFit="1" customWidth="1"/>
    <col min="12" max="13" width="12.1640625" bestFit="1" customWidth="1"/>
    <col min="14" max="14" width="9.1640625" bestFit="1" customWidth="1"/>
    <col min="15" max="15" width="12" bestFit="1" customWidth="1"/>
    <col min="16" max="16" width="13.33203125" bestFit="1" customWidth="1"/>
    <col min="17" max="17" width="28.33203125" bestFit="1" customWidth="1"/>
    <col min="18" max="18" width="22" bestFit="1" customWidth="1"/>
    <col min="19" max="19" width="22.33203125" bestFit="1" customWidth="1"/>
    <col min="20" max="20" width="31" bestFit="1" customWidth="1"/>
    <col min="21" max="21" width="28.33203125" bestFit="1" customWidth="1"/>
    <col min="22" max="22" width="22" bestFit="1" customWidth="1"/>
    <col min="23" max="23" width="16.33203125" bestFit="1" customWidth="1"/>
    <col min="24" max="24" width="37" bestFit="1" customWidth="1"/>
    <col min="25" max="25" width="12.83203125" bestFit="1" customWidth="1"/>
    <col min="26" max="26" width="6" bestFit="1" customWidth="1"/>
  </cols>
  <sheetData>
    <row r="1" spans="1:23" ht="65" x14ac:dyDescent="0.75">
      <c r="A1" s="14" t="s">
        <v>138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Q1" t="s">
        <v>42</v>
      </c>
      <c r="T1" t="s">
        <v>43</v>
      </c>
    </row>
    <row r="2" spans="1:23" x14ac:dyDescent="0.2">
      <c r="A2" t="s">
        <v>44</v>
      </c>
      <c r="B2" t="s">
        <v>1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J2" t="s">
        <v>0</v>
      </c>
      <c r="K2" t="s">
        <v>1</v>
      </c>
      <c r="L2" t="s">
        <v>51</v>
      </c>
      <c r="M2" t="s">
        <v>2</v>
      </c>
      <c r="N2" t="s">
        <v>3</v>
      </c>
      <c r="O2" t="s">
        <v>4</v>
      </c>
      <c r="P2" t="s">
        <v>5</v>
      </c>
      <c r="Q2" t="s">
        <v>52</v>
      </c>
      <c r="R2" t="s">
        <v>53</v>
      </c>
      <c r="S2" t="s">
        <v>54</v>
      </c>
      <c r="U2" t="s">
        <v>52</v>
      </c>
      <c r="V2" t="s">
        <v>53</v>
      </c>
      <c r="W2" t="s">
        <v>55</v>
      </c>
    </row>
    <row r="3" spans="1:23" x14ac:dyDescent="0.2">
      <c r="A3" t="s">
        <v>4</v>
      </c>
      <c r="B3" t="s">
        <v>7</v>
      </c>
      <c r="C3" t="s">
        <v>56</v>
      </c>
      <c r="D3">
        <v>1</v>
      </c>
      <c r="E3">
        <v>5</v>
      </c>
      <c r="F3">
        <v>1.3849999999999999E-3</v>
      </c>
      <c r="G3">
        <v>2.1699999999999999E-4</v>
      </c>
      <c r="H3" t="s">
        <v>57</v>
      </c>
      <c r="J3" t="s">
        <v>6</v>
      </c>
      <c r="K3" t="s">
        <v>7</v>
      </c>
      <c r="L3" t="s">
        <v>8</v>
      </c>
      <c r="M3" cm="1">
        <f t="array" ref="M3">INDEX($F$1:$F$100, MATCH(1, ($A$1:$A$100=M$2)*($B$1:$B$100=$K3), 0))</f>
        <v>7.273E-3</v>
      </c>
      <c r="N3" cm="1">
        <f t="array" ref="N3">INDEX($F$1:$F$100, MATCH(1, (A$1:A$100=N$2)*(B$1:B$100=$K3), 0))</f>
        <v>4.4766E-2</v>
      </c>
      <c r="O3" cm="1">
        <f t="array" ref="O3">INDEX($F$1:$F$100, MATCH(1, (A$1:A$100=O$2)*(B$1:B$100=$K3), 0))</f>
        <v>1.3849999999999999E-3</v>
      </c>
      <c r="P3" cm="1">
        <f t="array" ref="P3">INDEX($F$1:$F$100, MATCH(1, (A$1:A$100=P$2)*(B$1:B$100=$K3), 0))</f>
        <v>5.7429999999999998E-3</v>
      </c>
      <c r="Q3">
        <f>IF(ISNA($N3), "DNF", $N3/$M3)</f>
        <v>6.1550941839681013</v>
      </c>
      <c r="R3">
        <f>IF(ISNA(O3), "DNF", O3/$M3)</f>
        <v>0.19043035886154269</v>
      </c>
      <c r="S3">
        <f>IF(ISNA($P3), "DNF", $P3/$M3)</f>
        <v>0.78963288876667126</v>
      </c>
      <c r="U3">
        <f>IF(ISNA($N3), "DNF", $N3/$P3)</f>
        <v>7.7948807243600911</v>
      </c>
      <c r="V3">
        <f>IF(ISNA($O3), "DNF", $O3/$P3)</f>
        <v>0.24116315514539438</v>
      </c>
      <c r="W3">
        <f>IF(ISNA($M3), "DNF", $M3/$P3)</f>
        <v>1.2664112833014105</v>
      </c>
    </row>
    <row r="4" spans="1:23" x14ac:dyDescent="0.2">
      <c r="A4" t="s">
        <v>4</v>
      </c>
      <c r="B4" t="s">
        <v>10</v>
      </c>
      <c r="C4" t="s">
        <v>56</v>
      </c>
      <c r="D4">
        <v>1</v>
      </c>
      <c r="E4">
        <v>5</v>
      </c>
      <c r="F4">
        <v>1.4400000000000001E-3</v>
      </c>
      <c r="G4">
        <v>8.6499999999999999E-4</v>
      </c>
      <c r="H4" t="s">
        <v>57</v>
      </c>
      <c r="J4" t="s">
        <v>9</v>
      </c>
      <c r="K4" t="s">
        <v>10</v>
      </c>
      <c r="L4" t="s">
        <v>11</v>
      </c>
      <c r="M4" cm="1">
        <f t="array" ref="M4">INDEX($F$1:$F$100, MATCH(1, (A$1:A$100=M$2)*(B$1:B$100=$K4), 0))</f>
        <v>1.4848E-2</v>
      </c>
      <c r="N4" cm="1">
        <f t="array" ref="N4">INDEX($F$1:$F$100, MATCH(1, (A$1:A$100=N$2)*(B$1:B$100=$K4), 0))</f>
        <v>5.1443000000000003E-2</v>
      </c>
      <c r="O4" cm="1">
        <f t="array" ref="O4">INDEX($F$1:$F$100, MATCH(1, (A$1:A$100=O$2)*(B$1:B$100=$K4), 0))</f>
        <v>1.4400000000000001E-3</v>
      </c>
      <c r="P4" cm="1">
        <f t="array" ref="P4">INDEX($F$1:$F$100, MATCH(1, (A$1:A$100=P$2)*(B$1:B$100=$K4), 0))</f>
        <v>1.4127000000000001E-2</v>
      </c>
      <c r="Q4">
        <f>IF(ISNA($N4), "DNF", $N4/$M4)</f>
        <v>3.4646417025862069</v>
      </c>
      <c r="R4">
        <f>IF(ISNA(O4), "DNF", O4/$M4)</f>
        <v>9.6982758620689655E-2</v>
      </c>
      <c r="S4">
        <f>IF(ISNA($P4), "DNF", $P4/$M4)</f>
        <v>0.9514412715517242</v>
      </c>
      <c r="U4">
        <f>IF(ISNA($N4), "DNF", $N4/$P4)</f>
        <v>3.6414666949812418</v>
      </c>
      <c r="V4">
        <f>IF(ISNA($O4), "DNF", $O4/$P4)</f>
        <v>0.10193246973879805</v>
      </c>
      <c r="W4">
        <f>IF(ISNA($M4), "DNF", $M4/$P4)</f>
        <v>1.0510370213067175</v>
      </c>
    </row>
    <row r="5" spans="1:23" x14ac:dyDescent="0.2">
      <c r="A5" t="s">
        <v>4</v>
      </c>
      <c r="B5" t="s">
        <v>13</v>
      </c>
      <c r="C5" t="s">
        <v>56</v>
      </c>
      <c r="D5">
        <v>1</v>
      </c>
      <c r="E5">
        <v>5</v>
      </c>
      <c r="F5">
        <v>3.532E-3</v>
      </c>
      <c r="G5">
        <v>1.9789999999999999E-3</v>
      </c>
      <c r="H5" t="s">
        <v>57</v>
      </c>
      <c r="J5" t="s">
        <v>12</v>
      </c>
      <c r="K5" t="s">
        <v>13</v>
      </c>
      <c r="L5" t="s">
        <v>14</v>
      </c>
      <c r="M5" cm="1">
        <f t="array" ref="M5">INDEX($F$1:$F$100, MATCH(1, (A$1:A$100=M$2)*(B$1:B$100=$K5), 0))</f>
        <v>1.3015000000000001E-2</v>
      </c>
      <c r="N5" cm="1">
        <f t="array" ref="N5">INDEX($F$1:$F$100, MATCH(1, (A$1:A$100=N$2)*(B$1:B$100=$K5), 0))</f>
        <v>4.1396000000000002E-2</v>
      </c>
      <c r="O5" cm="1">
        <f t="array" ref="O5">INDEX($F$1:$F$100, MATCH(1, (A$1:A$100=O$2)*(B$1:B$100=$K5), 0))</f>
        <v>3.532E-3</v>
      </c>
      <c r="P5" cm="1">
        <f t="array" ref="P5">INDEX($F$1:$F$100, MATCH(1, (A$1:A$100=P$2)*(B$1:B$100=$K5), 0))</f>
        <v>9.861E-3</v>
      </c>
      <c r="Q5">
        <f>IF(ISNA($N5), "DNF", $N5/$M5)</f>
        <v>3.1806377257011142</v>
      </c>
      <c r="R5">
        <f>IF(ISNA(O5), "DNF", O5/$M5)</f>
        <v>0.27137917787168653</v>
      </c>
      <c r="S5">
        <f>IF(ISNA($P5), "DNF", $P5/$M5)</f>
        <v>0.75766423357664225</v>
      </c>
      <c r="U5">
        <f>IF(ISNA($N5), "DNF", $N5/$P5)</f>
        <v>4.1979515262143803</v>
      </c>
      <c r="V5">
        <f>IF(ISNA($O5), "DNF", $O5/$P5)</f>
        <v>0.35817868370347833</v>
      </c>
      <c r="W5">
        <f>IF(ISNA($M5), "DNF", $M5/$P5)</f>
        <v>1.3198458574181118</v>
      </c>
    </row>
    <row r="6" spans="1:23" x14ac:dyDescent="0.2">
      <c r="A6" t="s">
        <v>4</v>
      </c>
      <c r="B6" t="s">
        <v>15</v>
      </c>
      <c r="C6" t="s">
        <v>56</v>
      </c>
      <c r="D6">
        <v>1</v>
      </c>
      <c r="E6">
        <v>5</v>
      </c>
      <c r="F6">
        <v>1.8079999999999999E-3</v>
      </c>
      <c r="G6">
        <v>9.3300000000000002E-4</v>
      </c>
      <c r="H6" t="s">
        <v>57</v>
      </c>
      <c r="J6" t="s">
        <v>12</v>
      </c>
      <c r="K6" t="s">
        <v>15</v>
      </c>
      <c r="L6" t="s">
        <v>16</v>
      </c>
      <c r="M6" cm="1">
        <f t="array" ref="M6">INDEX($F$1:$F$100, MATCH(1, (A$1:A$100=M$2)*(B$1:B$100=$K6), 0))</f>
        <v>8.6029999999999995E-3</v>
      </c>
      <c r="N6" cm="1">
        <f t="array" ref="N6">INDEX($F$1:$F$100, MATCH(1, (A$1:A$100=N$2)*(B$1:B$100=$K6), 0))</f>
        <v>3.7509000000000001E-2</v>
      </c>
      <c r="O6" cm="1">
        <f t="array" ref="O6">INDEX($F$1:$F$100, MATCH(1, (A$1:A$100=O$2)*(B$1:B$100=$K6), 0))</f>
        <v>1.8079999999999999E-3</v>
      </c>
      <c r="P6" cm="1">
        <f t="array" ref="P6">INDEX($F$1:$F$100, MATCH(1, (A$1:A$100=P$2)*(B$1:B$100=$K6), 0))</f>
        <v>8.5369999999999994E-3</v>
      </c>
      <c r="Q6">
        <f>IF(ISNA($N6), "DNF", $N6/$M6)</f>
        <v>4.359990700918285</v>
      </c>
      <c r="R6">
        <f>IF(ISNA(O6), "DNF", O6/$M6)</f>
        <v>0.21015924677438103</v>
      </c>
      <c r="S6">
        <f>IF(ISNA($P6), "DNF", $P6/$M6)</f>
        <v>0.99232825758456356</v>
      </c>
      <c r="U6">
        <f>IF(ISNA($N6), "DNF", $N6/$P6)</f>
        <v>4.3936980203818674</v>
      </c>
      <c r="V6">
        <f>IF(ISNA($O6), "DNF", $O6/$P6)</f>
        <v>0.21178399906290266</v>
      </c>
      <c r="W6">
        <f>IF(ISNA($M6), "DNF", $M6/$P6)</f>
        <v>1.0077310530631369</v>
      </c>
    </row>
    <row r="7" spans="1:23" x14ac:dyDescent="0.2">
      <c r="A7" t="s">
        <v>4</v>
      </c>
      <c r="B7" t="s">
        <v>17</v>
      </c>
      <c r="C7" t="s">
        <v>56</v>
      </c>
      <c r="D7">
        <v>1</v>
      </c>
      <c r="E7">
        <v>5</v>
      </c>
      <c r="F7">
        <v>5.9589999999999999E-3</v>
      </c>
      <c r="G7">
        <v>6.5170000000000002E-3</v>
      </c>
      <c r="H7" t="s">
        <v>57</v>
      </c>
      <c r="J7" t="s">
        <v>9</v>
      </c>
      <c r="K7" t="s">
        <v>17</v>
      </c>
      <c r="L7" t="s">
        <v>18</v>
      </c>
      <c r="M7" cm="1">
        <f t="array" ref="M7">INDEX($F$1:$F$100, MATCH(1, (A$1:A$100=M$2)*(B$1:B$100=$K7), 0))</f>
        <v>3.0929000000000002E-2</v>
      </c>
      <c r="N7" cm="1">
        <f t="array" ref="N7">INDEX($F$1:$F$100, MATCH(1, (A$1:A$100=N$2)*(B$1:B$100=$K7), 0))</f>
        <v>0.36768899999999999</v>
      </c>
      <c r="O7" cm="1">
        <f t="array" ref="O7">INDEX($F$1:$F$100, MATCH(1, (A$1:A$100=O$2)*(B$1:B$100=$K7), 0))</f>
        <v>5.9589999999999999E-3</v>
      </c>
      <c r="P7" cm="1">
        <f t="array" ref="P7">INDEX($F$1:$F$100, MATCH(1, (A$1:A$100=P$2)*(B$1:B$100=$K7), 0))</f>
        <v>2.8028000000000001E-2</v>
      </c>
      <c r="Q7">
        <f>IF(ISNA($N7), "DNF", $N7/$M7)</f>
        <v>11.888163212518995</v>
      </c>
      <c r="R7">
        <f>IF(ISNA(O7), "DNF", O7/$M7)</f>
        <v>0.19266707620679618</v>
      </c>
      <c r="S7">
        <f>IF(ISNA($P7), "DNF", $P7/$M7)</f>
        <v>0.90620453296259174</v>
      </c>
      <c r="U7">
        <f>IF(ISNA($N7), "DNF", $N7/$P7)</f>
        <v>13.118631368631368</v>
      </c>
      <c r="V7">
        <f>IF(ISNA($O7), "DNF", $O7/$P7)</f>
        <v>0.21260881975167689</v>
      </c>
      <c r="W7">
        <f>IF(ISNA($M7), "DNF", $M7/$P7)</f>
        <v>1.1035036392179249</v>
      </c>
    </row>
    <row r="8" spans="1:23" x14ac:dyDescent="0.2">
      <c r="A8" t="s">
        <v>4</v>
      </c>
      <c r="B8" t="s">
        <v>19</v>
      </c>
      <c r="C8" t="s">
        <v>56</v>
      </c>
      <c r="D8">
        <v>1</v>
      </c>
      <c r="E8">
        <v>5</v>
      </c>
      <c r="F8">
        <v>2.3890000000000001E-3</v>
      </c>
      <c r="G8">
        <v>6.1300000000000005E-4</v>
      </c>
      <c r="H8" t="s">
        <v>57</v>
      </c>
      <c r="J8" t="s">
        <v>12</v>
      </c>
      <c r="K8" t="s">
        <v>19</v>
      </c>
      <c r="L8" t="s">
        <v>20</v>
      </c>
      <c r="M8" cm="1">
        <f t="array" ref="M8">INDEX($F$1:$F$100, MATCH(1, (A$1:A$100=M$2)*(B$1:B$100=$K8), 0))</f>
        <v>9.8840000000000004E-3</v>
      </c>
      <c r="N8" cm="1">
        <f t="array" ref="N8">INDEX($F$1:$F$100, MATCH(1, (A$1:A$100=N$2)*(B$1:B$100=$K8), 0))</f>
        <v>6.7365999999999995E-2</v>
      </c>
      <c r="O8" cm="1">
        <f t="array" ref="O8">INDEX($F$1:$F$100, MATCH(1, (A$1:A$100=O$2)*(B$1:B$100=$K8), 0))</f>
        <v>2.3890000000000001E-3</v>
      </c>
      <c r="P8" cm="1">
        <f t="array" ref="P8">INDEX($F$1:$F$100, MATCH(1, (A$1:A$100=P$2)*(B$1:B$100=$K8), 0))</f>
        <v>1.0655E-2</v>
      </c>
      <c r="Q8">
        <f>IF(ISNA($N8), "DNF", $N8/$M8)</f>
        <v>6.8156616754350461</v>
      </c>
      <c r="R8">
        <f>IF(ISNA(O8), "DNF", O8/$M8)</f>
        <v>0.24170376365843788</v>
      </c>
      <c r="S8">
        <f>IF(ISNA($P8), "DNF", $P8/$M8)</f>
        <v>1.0780048563334681</v>
      </c>
      <c r="U8">
        <f>IF(ISNA($N8), "DNF", $N8/$P8)</f>
        <v>6.3224777099953071</v>
      </c>
      <c r="V8">
        <f>IF(ISNA($O8), "DNF", $O8/$P8)</f>
        <v>0.22421398404504927</v>
      </c>
      <c r="W8">
        <f>IF(ISNA($M8), "DNF", $M8/$P8)</f>
        <v>0.92763960581886451</v>
      </c>
    </row>
    <row r="9" spans="1:23" x14ac:dyDescent="0.2">
      <c r="A9" t="s">
        <v>4</v>
      </c>
      <c r="B9" t="s">
        <v>21</v>
      </c>
      <c r="C9" t="s">
        <v>56</v>
      </c>
      <c r="D9">
        <v>1</v>
      </c>
      <c r="E9">
        <v>5</v>
      </c>
      <c r="F9">
        <v>2.454E-3</v>
      </c>
      <c r="G9">
        <v>2.807E-3</v>
      </c>
      <c r="H9" t="s">
        <v>57</v>
      </c>
      <c r="J9" t="s">
        <v>12</v>
      </c>
      <c r="K9" t="s">
        <v>21</v>
      </c>
      <c r="L9" t="s">
        <v>22</v>
      </c>
      <c r="M9" cm="1">
        <f t="array" ref="M9">INDEX($F$1:$F$100, MATCH(1, (A$1:A$100=M$2)*(B$1:B$100=$K9), 0))</f>
        <v>2.6327E-2</v>
      </c>
      <c r="N9" cm="1">
        <f t="array" ref="N9">INDEX($F$1:$F$100, MATCH(1, (A$1:A$100=N$2)*(B$1:B$100=$K9), 0))</f>
        <v>0.15540200000000001</v>
      </c>
      <c r="O9" cm="1">
        <f t="array" ref="O9">INDEX($F$1:$F$100, MATCH(1, (A$1:A$100=O$2)*(B$1:B$100=$K9), 0))</f>
        <v>2.454E-3</v>
      </c>
      <c r="P9" cm="1">
        <f t="array" ref="P9">INDEX($F$1:$F$100, MATCH(1, (A$1:A$100=P$2)*(B$1:B$100=$K9), 0))</f>
        <v>2.0951999999999998E-2</v>
      </c>
      <c r="Q9">
        <f>IF(ISNA($N9), "DNF", $N9/$M9)</f>
        <v>5.9027614236335326</v>
      </c>
      <c r="R9">
        <f>IF(ISNA(O9), "DNF", O9/$M9)</f>
        <v>9.321229156379382E-2</v>
      </c>
      <c r="S9">
        <f>IF(ISNA($P9), "DNF", $P9/$M9)</f>
        <v>0.79583697344931059</v>
      </c>
      <c r="U9">
        <f>IF(ISNA($N9), "DNF", $N9/$P9)</f>
        <v>7.4170484917907613</v>
      </c>
      <c r="V9">
        <f>IF(ISNA($O9), "DNF", $O9/$P9)</f>
        <v>0.11712485681557848</v>
      </c>
      <c r="W9">
        <f>IF(ISNA($M9), "DNF", $M9/$P9)</f>
        <v>1.2565387552500955</v>
      </c>
    </row>
    <row r="10" spans="1:23" x14ac:dyDescent="0.2">
      <c r="A10" t="s">
        <v>4</v>
      </c>
      <c r="B10" t="s">
        <v>23</v>
      </c>
      <c r="C10" t="s">
        <v>56</v>
      </c>
      <c r="D10">
        <v>1</v>
      </c>
      <c r="E10">
        <v>5</v>
      </c>
      <c r="F10">
        <v>2.0929999999999998E-3</v>
      </c>
      <c r="G10">
        <v>1.093E-3</v>
      </c>
      <c r="H10" t="s">
        <v>57</v>
      </c>
      <c r="J10" t="s">
        <v>9</v>
      </c>
      <c r="K10" t="s">
        <v>23</v>
      </c>
      <c r="L10" t="s">
        <v>58</v>
      </c>
      <c r="M10" cm="1">
        <f t="array" ref="M10">INDEX($F$1:$F$100, MATCH(1, (A$1:A$100=M$2)*(B$1:B$100=$K10), 0))</f>
        <v>7.1630000000000001E-3</v>
      </c>
      <c r="N10" cm="1">
        <f t="array" ref="N10">INDEX($F$1:$F$100, MATCH(1, (A$1:A$100=N$2)*(B$1:B$100=$K10), 0))</f>
        <v>4.5449000000000003E-2</v>
      </c>
      <c r="O10" cm="1">
        <f t="array" ref="O10">INDEX($F$1:$F$100, MATCH(1, (A$1:A$100=O$2)*(B$1:B$100=$K10), 0))</f>
        <v>2.0929999999999998E-3</v>
      </c>
      <c r="P10" cm="1">
        <f t="array" ref="P10">INDEX($F$1:$F$100, MATCH(1, (A$1:A$100=P$2)*(B$1:B$100=$K10), 0))</f>
        <v>4.6569999999999997E-3</v>
      </c>
      <c r="Q10">
        <f>IF(ISNA($N10), "DNF", $N10/$M10)</f>
        <v>6.3449671925171023</v>
      </c>
      <c r="R10">
        <f>IF(ISNA(O10), "DNF", O10/$M10)</f>
        <v>0.2921960072595281</v>
      </c>
      <c r="S10">
        <f>IF(ISNA($P10), "DNF", $P10/$M10)</f>
        <v>0.65014658662571545</v>
      </c>
      <c r="U10">
        <f>IF(ISNA($N10), "DNF", $N10/$P10)</f>
        <v>9.7592870946961572</v>
      </c>
      <c r="V10">
        <f>IF(ISNA($O10), "DNF", $O10/$P10)</f>
        <v>0.44943096414000427</v>
      </c>
      <c r="W10">
        <f>IF(ISNA($M10), "DNF", $M10/$P10)</f>
        <v>1.5381146660940521</v>
      </c>
    </row>
    <row r="11" spans="1:23" x14ac:dyDescent="0.2">
      <c r="A11" t="s">
        <v>4</v>
      </c>
      <c r="B11" t="s">
        <v>24</v>
      </c>
      <c r="C11" t="s">
        <v>56</v>
      </c>
      <c r="D11">
        <v>1</v>
      </c>
      <c r="E11">
        <v>5</v>
      </c>
      <c r="F11">
        <v>2.4810000000000001E-3</v>
      </c>
      <c r="G11">
        <v>1.9789999999999999E-3</v>
      </c>
      <c r="H11" t="s">
        <v>57</v>
      </c>
      <c r="J11" t="s">
        <v>12</v>
      </c>
      <c r="K11" t="s">
        <v>24</v>
      </c>
      <c r="L11" t="s">
        <v>25</v>
      </c>
      <c r="M11" cm="1">
        <f t="array" ref="M11">INDEX($F$1:$F$100, MATCH(1, (A$1:A$100=M$2)*(B$1:B$100=$K11), 0))</f>
        <v>1.1209999999999999E-2</v>
      </c>
      <c r="N11" cm="1">
        <f t="array" ref="N11">INDEX($F$1:$F$100, MATCH(1, (A$1:A$100=N$2)*(B$1:B$100=$K11), 0))</f>
        <v>0.29497800000000002</v>
      </c>
      <c r="O11" cm="1">
        <f t="array" ref="O11">INDEX($F$1:$F$100, MATCH(1, (A$1:A$100=O$2)*(B$1:B$100=$K11), 0))</f>
        <v>2.4810000000000001E-3</v>
      </c>
      <c r="P11" cm="1">
        <f t="array" ref="P11">INDEX($F$1:$F$100, MATCH(1, (A$1:A$100=P$2)*(B$1:B$100=$K11), 0))</f>
        <v>9.5390000000000006E-3</v>
      </c>
      <c r="Q11">
        <f>IF(ISNA($N11), "DNF", $N11/$M11)</f>
        <v>26.313826940231937</v>
      </c>
      <c r="R11">
        <f>IF(ISNA(O11), "DNF", O11/$M11)</f>
        <v>0.22132024977698486</v>
      </c>
      <c r="S11">
        <f>IF(ISNA($P11), "DNF", $P11/$M11)</f>
        <v>0.85093666369313126</v>
      </c>
      <c r="U11">
        <f>IF(ISNA($N11), "DNF", $N11/$P11)</f>
        <v>30.923367229269317</v>
      </c>
      <c r="V11">
        <f>IF(ISNA($O11), "DNF", $O11/$P11)</f>
        <v>0.26009015620085962</v>
      </c>
      <c r="W11">
        <f>IF(ISNA($M11), "DNF", $M11/$P11)</f>
        <v>1.1751755949260927</v>
      </c>
    </row>
    <row r="12" spans="1:23" x14ac:dyDescent="0.2">
      <c r="A12" t="s">
        <v>4</v>
      </c>
      <c r="B12" t="s">
        <v>26</v>
      </c>
      <c r="C12" t="s">
        <v>56</v>
      </c>
      <c r="D12">
        <v>1</v>
      </c>
      <c r="E12">
        <v>5</v>
      </c>
      <c r="F12">
        <v>2.1250000000000002E-3</v>
      </c>
      <c r="G12">
        <v>1.0679999999999999E-3</v>
      </c>
      <c r="H12" t="s">
        <v>57</v>
      </c>
      <c r="J12" t="s">
        <v>9</v>
      </c>
      <c r="K12" t="s">
        <v>26</v>
      </c>
      <c r="L12" t="s">
        <v>27</v>
      </c>
      <c r="M12" cm="1">
        <f t="array" ref="M12">INDEX($F$1:$F$100, MATCH(1, (A$1:A$100=M$2)*(B$1:B$100=$K12), 0))</f>
        <v>1.7599E-2</v>
      </c>
      <c r="N12" cm="1">
        <f t="array" ref="N12">INDEX($F$1:$F$100, MATCH(1, (A$1:A$100=N$2)*(B$1:B$100=$K12), 0))</f>
        <v>7.1494000000000002E-2</v>
      </c>
      <c r="O12" cm="1">
        <f t="array" ref="O12">INDEX($F$1:$F$100, MATCH(1, (A$1:A$100=O$2)*(B$1:B$100=$K12), 0))</f>
        <v>2.1250000000000002E-3</v>
      </c>
      <c r="P12" cm="1">
        <f t="array" ref="P12">INDEX($F$1:$F$100, MATCH(1, (A$1:A$100=P$2)*(B$1:B$100=$K12), 0))</f>
        <v>1.2775999999999999E-2</v>
      </c>
      <c r="Q12">
        <f>IF(ISNA($N12), "DNF", $N12/$M12)</f>
        <v>4.0623899085175292</v>
      </c>
      <c r="R12">
        <f>IF(ISNA(O12), "DNF", O12/$M12)</f>
        <v>0.12074549690323315</v>
      </c>
      <c r="S12">
        <f>IF(ISNA($P12), "DNF", $P12/$M12)</f>
        <v>0.72595033808739129</v>
      </c>
      <c r="U12">
        <f>IF(ISNA($N12), "DNF", $N12/$P12)</f>
        <v>5.5959611772072639</v>
      </c>
      <c r="V12">
        <f>IF(ISNA($O12), "DNF", $O12/$P12)</f>
        <v>0.16632748904195369</v>
      </c>
      <c r="W12">
        <f>IF(ISNA($M12), "DNF", $M12/$P12)</f>
        <v>1.377504696305573</v>
      </c>
    </row>
    <row r="13" spans="1:23" x14ac:dyDescent="0.2">
      <c r="A13" t="s">
        <v>4</v>
      </c>
      <c r="B13" t="s">
        <v>28</v>
      </c>
      <c r="C13" t="s">
        <v>56</v>
      </c>
      <c r="D13">
        <v>1</v>
      </c>
      <c r="E13">
        <v>5</v>
      </c>
      <c r="F13">
        <v>2.1800000000000001E-3</v>
      </c>
      <c r="G13">
        <v>1.1360000000000001E-3</v>
      </c>
      <c r="H13" t="s">
        <v>57</v>
      </c>
      <c r="J13" t="s">
        <v>12</v>
      </c>
      <c r="K13" t="s">
        <v>28</v>
      </c>
      <c r="L13" t="s">
        <v>29</v>
      </c>
      <c r="M13" cm="1">
        <f t="array" ref="M13">INDEX($F$1:$F$100, MATCH(1, (A$1:A$100=M$2)*(B$1:B$100=$K13), 0))</f>
        <v>6.8830000000000002E-3</v>
      </c>
      <c r="N13" cm="1">
        <f t="array" ref="N13">INDEX($F$1:$F$100, MATCH(1, (A$1:A$100=N$2)*(B$1:B$100=$K13), 0))</f>
        <v>3.7434000000000002E-2</v>
      </c>
      <c r="O13" cm="1">
        <f t="array" ref="O13">INDEX($F$1:$F$100, MATCH(1, (A$1:A$100=O$2)*(B$1:B$100=$K13), 0))</f>
        <v>2.1800000000000001E-3</v>
      </c>
      <c r="P13" cm="1">
        <f t="array" ref="P13">INDEX($F$1:$F$100, MATCH(1, (A$1:A$100=P$2)*(B$1:B$100=$K13), 0))</f>
        <v>5.8710000000000004E-3</v>
      </c>
      <c r="Q13">
        <f>IF(ISNA($N13), "DNF", $N13/$M13)</f>
        <v>5.4386168821734708</v>
      </c>
      <c r="R13">
        <f>IF(ISNA(O13), "DNF", O13/$M13)</f>
        <v>0.31672235943629229</v>
      </c>
      <c r="S13">
        <f>IF(ISNA($P13), "DNF", $P13/$M13)</f>
        <v>0.85297108818829004</v>
      </c>
      <c r="U13">
        <f>IF(ISNA($N13), "DNF", $N13/$P13)</f>
        <v>6.3760858456821667</v>
      </c>
      <c r="V13">
        <f>IF(ISNA($O13), "DNF", $O13/$P13)</f>
        <v>0.37131664111735652</v>
      </c>
      <c r="W13">
        <f>IF(ISNA($M13), "DNF", $M13/$P13)</f>
        <v>1.172372679270993</v>
      </c>
    </row>
    <row r="14" spans="1:23" x14ac:dyDescent="0.2">
      <c r="A14" t="s">
        <v>4</v>
      </c>
      <c r="B14" t="s">
        <v>30</v>
      </c>
      <c r="C14" t="s">
        <v>56</v>
      </c>
      <c r="D14">
        <v>1</v>
      </c>
      <c r="E14">
        <v>5</v>
      </c>
      <c r="F14">
        <v>3.4740000000000001E-3</v>
      </c>
      <c r="G14">
        <v>1.9449999999999999E-3</v>
      </c>
      <c r="H14" t="s">
        <v>57</v>
      </c>
      <c r="J14" t="s">
        <v>12</v>
      </c>
      <c r="K14" t="s">
        <v>30</v>
      </c>
      <c r="L14" t="s">
        <v>31</v>
      </c>
      <c r="M14" cm="1">
        <f t="array" ref="M14">INDEX($F$1:$F$100, MATCH(1, (A$1:A$100=M$2)*(B$1:B$100=$K14), 0))</f>
        <v>8.8889999999999993E-3</v>
      </c>
      <c r="N14" cm="1">
        <f t="array" ref="N14">INDEX($F$1:$F$100, MATCH(1, (A$1:A$100=N$2)*(B$1:B$100=$K14), 0))</f>
        <v>7.4177999999999994E-2</v>
      </c>
      <c r="O14" cm="1">
        <f t="array" ref="O14">INDEX($F$1:$F$100, MATCH(1, (A$1:A$100=O$2)*(B$1:B$100=$K14), 0))</f>
        <v>3.4740000000000001E-3</v>
      </c>
      <c r="P14" cm="1">
        <f t="array" ref="P14">INDEX($F$1:$F$100, MATCH(1, (A$1:A$100=P$2)*(B$1:B$100=$K14), 0))</f>
        <v>5.9810000000000002E-3</v>
      </c>
      <c r="Q14">
        <f>IF(ISNA($N14), "DNF", $N14/$M14)</f>
        <v>8.3449206884913938</v>
      </c>
      <c r="R14">
        <f>IF(ISNA(O14), "DNF", O14/$M14)</f>
        <v>0.39082011474856571</v>
      </c>
      <c r="S14">
        <f>IF(ISNA($P14), "DNF", $P14/$M14)</f>
        <v>0.67285408932388358</v>
      </c>
      <c r="U14">
        <f>IF(ISNA($N14), "DNF", $N14/$P14)</f>
        <v>12.402273867246278</v>
      </c>
      <c r="V14">
        <f>IF(ISNA($O14), "DNF", $O14/$P14)</f>
        <v>0.58083932452767095</v>
      </c>
      <c r="W14">
        <f>IF(ISNA($M14), "DNF", $M14/$P14)</f>
        <v>1.4862063200133755</v>
      </c>
    </row>
    <row r="15" spans="1:23" x14ac:dyDescent="0.2">
      <c r="A15" t="s">
        <v>4</v>
      </c>
      <c r="B15" t="s">
        <v>32</v>
      </c>
      <c r="C15" t="s">
        <v>56</v>
      </c>
      <c r="D15">
        <v>1</v>
      </c>
      <c r="E15">
        <v>5</v>
      </c>
      <c r="F15">
        <v>2.1029999999999998E-3</v>
      </c>
      <c r="G15">
        <v>1.0820000000000001E-3</v>
      </c>
      <c r="H15" t="s">
        <v>57</v>
      </c>
      <c r="J15" t="s">
        <v>9</v>
      </c>
      <c r="K15" t="s">
        <v>32</v>
      </c>
      <c r="L15" t="s">
        <v>33</v>
      </c>
      <c r="M15" cm="1">
        <f t="array" ref="M15">INDEX($F$1:$F$100, MATCH(1, (A$1:A$100=M$2)*(B$1:B$100=$K15), 0))</f>
        <v>1.4056000000000001E-2</v>
      </c>
      <c r="N15" cm="1">
        <f t="array" ref="N15">INDEX($F$1:$F$100, MATCH(1, (A$1:A$100=N$2)*(B$1:B$100=$K15), 0))</f>
        <v>7.8541E-2</v>
      </c>
      <c r="O15" cm="1">
        <f t="array" ref="O15">INDEX($F$1:$F$100, MATCH(1, (A$1:A$100=O$2)*(B$1:B$100=$K15), 0))</f>
        <v>2.1029999999999998E-3</v>
      </c>
      <c r="P15" cm="1">
        <f t="array" ref="P15">INDEX($F$1:$F$100, MATCH(1, (A$1:A$100=P$2)*(B$1:B$100=$K15), 0))</f>
        <v>1.4345999999999999E-2</v>
      </c>
      <c r="Q15">
        <f>IF(ISNA($N15), "DNF", $N15/$M15)</f>
        <v>5.587720546385885</v>
      </c>
      <c r="R15">
        <f>IF(ISNA(O15), "DNF", O15/$M15)</f>
        <v>0.14961582242458735</v>
      </c>
      <c r="S15">
        <f>IF(ISNA($P15), "DNF", $P15/$M15)</f>
        <v>1.0206317586795672</v>
      </c>
      <c r="U15">
        <f>IF(ISNA($N15), "DNF", $N15/$P15)</f>
        <v>5.4747664854314797</v>
      </c>
      <c r="V15">
        <f>IF(ISNA($O15), "DNF", $O15/$P15)</f>
        <v>0.1465913843580092</v>
      </c>
      <c r="W15">
        <f>IF(ISNA($M15), "DNF", $M15/$P15)</f>
        <v>0.97978530600864366</v>
      </c>
    </row>
    <row r="16" spans="1:23" x14ac:dyDescent="0.2">
      <c r="A16" t="s">
        <v>4</v>
      </c>
      <c r="B16" t="s">
        <v>34</v>
      </c>
      <c r="C16" t="s">
        <v>56</v>
      </c>
      <c r="D16">
        <v>1</v>
      </c>
      <c r="E16">
        <v>5</v>
      </c>
      <c r="F16">
        <v>2.287E-3</v>
      </c>
      <c r="G16">
        <v>1.4270000000000001E-3</v>
      </c>
      <c r="H16" t="s">
        <v>57</v>
      </c>
      <c r="J16" t="s">
        <v>6</v>
      </c>
      <c r="K16" t="s">
        <v>34</v>
      </c>
      <c r="L16" t="s">
        <v>35</v>
      </c>
      <c r="M16" cm="1">
        <f t="array" ref="M16">INDEX($F$1:$F$100, MATCH(1, (A$1:A$100=M$2)*(B$1:B$100=$K16), 0))</f>
        <v>1.1984E-2</v>
      </c>
      <c r="N16" cm="1">
        <f t="array" ref="N16">INDEX($F$1:$F$100, MATCH(1, (A$1:A$100=N$2)*(B$1:B$100=$K16), 0))</f>
        <v>6.3945000000000002E-2</v>
      </c>
      <c r="O16" cm="1">
        <f t="array" ref="O16">INDEX($F$1:$F$100, MATCH(1, (A$1:A$100=O$2)*(B$1:B$100=$K16), 0))</f>
        <v>2.287E-3</v>
      </c>
      <c r="P16" cm="1">
        <f t="array" ref="P16">INDEX($F$1:$F$100, MATCH(1, (A$1:A$100=P$2)*(B$1:B$100=$K16), 0))</f>
        <v>8.4650000000000003E-3</v>
      </c>
      <c r="Q16">
        <f>IF(ISNA($N16), "DNF", $N16/$M16)</f>
        <v>5.3358644859813085</v>
      </c>
      <c r="R16">
        <f>IF(ISNA(O16), "DNF", O16/$M16)</f>
        <v>0.1908377837116155</v>
      </c>
      <c r="S16">
        <f>IF(ISNA($P16), "DNF", $P16/$M16)</f>
        <v>0.70635847797062756</v>
      </c>
      <c r="U16">
        <f>IF(ISNA($N16), "DNF", $N16/$P16)</f>
        <v>7.5540460720614293</v>
      </c>
      <c r="V16">
        <f>IF(ISNA($O16), "DNF", $O16/$P16)</f>
        <v>0.27017129356172476</v>
      </c>
      <c r="W16">
        <f>IF(ISNA($M16), "DNF", $M16/$P16)</f>
        <v>1.415711754282339</v>
      </c>
    </row>
    <row r="17" spans="1:26" x14ac:dyDescent="0.2">
      <c r="A17" t="s">
        <v>4</v>
      </c>
      <c r="B17" t="s">
        <v>36</v>
      </c>
      <c r="C17" t="s">
        <v>56</v>
      </c>
      <c r="D17">
        <v>1</v>
      </c>
      <c r="E17">
        <v>5</v>
      </c>
      <c r="F17">
        <v>9.2900000000000003E-4</v>
      </c>
      <c r="G17">
        <v>2.4000000000000001E-4</v>
      </c>
      <c r="H17" t="s">
        <v>57</v>
      </c>
      <c r="J17" t="s">
        <v>6</v>
      </c>
      <c r="K17" t="s">
        <v>36</v>
      </c>
      <c r="L17" t="s">
        <v>37</v>
      </c>
      <c r="M17" cm="1">
        <f t="array" ref="M17">INDEX($F$1:$F$100, MATCH(1, (A$1:A$100=M$2)*(B$1:B$100=$K17), 0))</f>
        <v>8.9650000000000007E-3</v>
      </c>
      <c r="N17" cm="1">
        <f t="array" ref="N17">INDEX($F$1:$F$100, MATCH(1, (A$1:A$100=N$2)*(B$1:B$100=$K17), 0))</f>
        <v>3.0089000000000001E-2</v>
      </c>
      <c r="O17" cm="1">
        <f t="array" ref="O17">INDEX($F$1:$F$100, MATCH(1, (A$1:A$100=O$2)*(B$1:B$100=$K17), 0))</f>
        <v>9.2900000000000003E-4</v>
      </c>
      <c r="P17" cm="1">
        <f t="array" ref="P17">INDEX($F$1:$F$100, MATCH(1, (A$1:A$100=P$2)*(B$1:B$100=$K17), 0))</f>
        <v>4.2230000000000002E-3</v>
      </c>
      <c r="Q17">
        <f>IF(ISNA($N17), "DNF", $N17/$M17)</f>
        <v>3.3562744004461793</v>
      </c>
      <c r="R17">
        <f>IF(ISNA(O17), "DNF", O17/$M17)</f>
        <v>0.10362520914668154</v>
      </c>
      <c r="S17">
        <f>IF(ISNA($P17), "DNF", $P17/$M17)</f>
        <v>0.47105409927495817</v>
      </c>
      <c r="U17">
        <f>IF(ISNA($N17), "DNF", $N17/$P17)</f>
        <v>7.1250295998105608</v>
      </c>
      <c r="V17">
        <f>IF(ISNA($O17), "DNF", $O17/$P17)</f>
        <v>0.21998579209093061</v>
      </c>
      <c r="W17">
        <f>IF(ISNA($M17), "DNF", $M17/$P17)</f>
        <v>2.1228984134501538</v>
      </c>
    </row>
    <row r="18" spans="1:26" x14ac:dyDescent="0.2">
      <c r="A18" t="s">
        <v>4</v>
      </c>
      <c r="B18" t="s">
        <v>38</v>
      </c>
      <c r="C18" t="s">
        <v>56</v>
      </c>
      <c r="D18">
        <v>1</v>
      </c>
      <c r="E18">
        <v>5</v>
      </c>
      <c r="F18">
        <v>2.2160000000000001E-3</v>
      </c>
      <c r="G18">
        <v>1.477E-3</v>
      </c>
      <c r="H18" t="s">
        <v>57</v>
      </c>
      <c r="J18" t="s">
        <v>12</v>
      </c>
      <c r="K18" t="s">
        <v>38</v>
      </c>
      <c r="L18" t="s">
        <v>39</v>
      </c>
      <c r="M18" cm="1">
        <f t="array" ref="M18">INDEX($F$1:$F$100, MATCH(1, (A$1:A$100=M$2)*(B$1:B$100=$K18), 0))</f>
        <v>1.2345E-2</v>
      </c>
      <c r="N18" cm="1">
        <f t="array" ref="N18">INDEX($F$1:$F$100, MATCH(1, (A$1:A$100=N$2)*(B$1:B$100=$K18), 0))</f>
        <v>0.14585999999999999</v>
      </c>
      <c r="O18" cm="1">
        <f t="array" ref="O18">INDEX($F$1:$F$100, MATCH(1, (A$1:A$100=O$2)*(B$1:B$100=$K18), 0))</f>
        <v>2.2160000000000001E-3</v>
      </c>
      <c r="P18" cm="1">
        <f t="array" ref="P18">INDEX($F$1:$F$100, MATCH(1, (A$1:A$100=P$2)*(B$1:B$100=$K18), 0))</f>
        <v>7.6759999999999997E-3</v>
      </c>
      <c r="Q18">
        <f>IF(ISNA($N18), "DNF", $N18/$M18)</f>
        <v>11.815309842041311</v>
      </c>
      <c r="R18">
        <f>IF(ISNA(O18), "DNF", O18/$M18)</f>
        <v>0.17950587282300526</v>
      </c>
      <c r="S18">
        <f>IF(ISNA($P18), "DNF", $P18/$M18)</f>
        <v>0.62179019846091532</v>
      </c>
      <c r="U18">
        <f>IF(ISNA($N18), "DNF", $N18/$P18)</f>
        <v>19.002084418968213</v>
      </c>
      <c r="V18">
        <f>IF(ISNA($O18), "DNF", $O18/$P18)</f>
        <v>0.28869202709744662</v>
      </c>
      <c r="W18">
        <f>IF(ISNA($M18), "DNF", $M18/$P18)</f>
        <v>1.6082595101615424</v>
      </c>
    </row>
    <row r="19" spans="1:26" x14ac:dyDescent="0.2">
      <c r="A19" t="s">
        <v>5</v>
      </c>
      <c r="B19" t="s">
        <v>7</v>
      </c>
      <c r="C19" t="s">
        <v>56</v>
      </c>
      <c r="D19">
        <v>1</v>
      </c>
      <c r="E19">
        <v>5</v>
      </c>
      <c r="F19">
        <v>5.7429999999999998E-3</v>
      </c>
      <c r="G19">
        <v>4.0289999999999996E-3</v>
      </c>
      <c r="H19" t="s">
        <v>57</v>
      </c>
    </row>
    <row r="20" spans="1:26" x14ac:dyDescent="0.2">
      <c r="A20" t="s">
        <v>5</v>
      </c>
      <c r="B20" t="s">
        <v>10</v>
      </c>
      <c r="C20" t="s">
        <v>56</v>
      </c>
      <c r="D20">
        <v>1</v>
      </c>
      <c r="E20">
        <v>5</v>
      </c>
      <c r="F20">
        <v>1.4127000000000001E-2</v>
      </c>
      <c r="G20">
        <v>1.5077999999999999E-2</v>
      </c>
      <c r="H20" t="s">
        <v>57</v>
      </c>
    </row>
    <row r="21" spans="1:26" x14ac:dyDescent="0.2">
      <c r="A21" t="s">
        <v>5</v>
      </c>
      <c r="B21" t="s">
        <v>13</v>
      </c>
      <c r="C21" t="s">
        <v>56</v>
      </c>
      <c r="D21">
        <v>1</v>
      </c>
      <c r="E21">
        <v>5</v>
      </c>
      <c r="F21">
        <v>9.861E-3</v>
      </c>
      <c r="G21">
        <v>1.027E-2</v>
      </c>
      <c r="H21" t="s">
        <v>57</v>
      </c>
    </row>
    <row r="22" spans="1:26" x14ac:dyDescent="0.2">
      <c r="A22" t="s">
        <v>5</v>
      </c>
      <c r="B22" t="s">
        <v>15</v>
      </c>
      <c r="C22" t="s">
        <v>56</v>
      </c>
      <c r="D22">
        <v>1</v>
      </c>
      <c r="E22">
        <v>5</v>
      </c>
      <c r="F22">
        <v>8.5369999999999994E-3</v>
      </c>
      <c r="G22">
        <v>5.8459999999999996E-3</v>
      </c>
      <c r="H22" t="s">
        <v>57</v>
      </c>
    </row>
    <row r="23" spans="1:26" x14ac:dyDescent="0.2">
      <c r="A23" t="s">
        <v>5</v>
      </c>
      <c r="B23" t="s">
        <v>17</v>
      </c>
      <c r="C23" t="s">
        <v>56</v>
      </c>
      <c r="D23">
        <v>1</v>
      </c>
      <c r="E23">
        <v>5</v>
      </c>
      <c r="F23">
        <v>2.8028000000000001E-2</v>
      </c>
      <c r="G23">
        <v>5.1330000000000004E-3</v>
      </c>
      <c r="H23" t="s">
        <v>57</v>
      </c>
    </row>
    <row r="24" spans="1:26" x14ac:dyDescent="0.2">
      <c r="A24" t="s">
        <v>5</v>
      </c>
      <c r="B24" t="s">
        <v>19</v>
      </c>
      <c r="C24" t="s">
        <v>56</v>
      </c>
      <c r="D24">
        <v>1</v>
      </c>
      <c r="E24">
        <v>5</v>
      </c>
      <c r="F24">
        <v>1.0655E-2</v>
      </c>
      <c r="G24">
        <v>1.6178999999999999E-2</v>
      </c>
      <c r="H24" t="s">
        <v>57</v>
      </c>
      <c r="J24" t="s">
        <v>40</v>
      </c>
      <c r="P24" t="s">
        <v>59</v>
      </c>
      <c r="T24" t="s">
        <v>60</v>
      </c>
      <c r="X24" t="s">
        <v>61</v>
      </c>
    </row>
    <row r="25" spans="1:26" x14ac:dyDescent="0.2">
      <c r="A25" t="s">
        <v>5</v>
      </c>
      <c r="B25" t="s">
        <v>21</v>
      </c>
      <c r="C25" t="s">
        <v>56</v>
      </c>
      <c r="D25">
        <v>1</v>
      </c>
      <c r="E25">
        <v>5</v>
      </c>
      <c r="F25">
        <v>2.0951999999999998E-2</v>
      </c>
      <c r="G25">
        <v>8.6210000000000002E-3</v>
      </c>
      <c r="H25" t="s">
        <v>57</v>
      </c>
      <c r="J25" t="s">
        <v>1</v>
      </c>
      <c r="K25" t="s">
        <v>6</v>
      </c>
      <c r="L25" t="s">
        <v>12</v>
      </c>
      <c r="M25" t="s">
        <v>9</v>
      </c>
      <c r="O25" t="s">
        <v>51</v>
      </c>
      <c r="P25" t="s">
        <v>2</v>
      </c>
      <c r="Q25" t="s">
        <v>3</v>
      </c>
      <c r="R25" t="s">
        <v>4</v>
      </c>
      <c r="S25" t="s">
        <v>5</v>
      </c>
      <c r="T25" t="s">
        <v>40</v>
      </c>
      <c r="U25" t="s">
        <v>41</v>
      </c>
      <c r="V25" t="s">
        <v>5</v>
      </c>
      <c r="X25" t="s">
        <v>40</v>
      </c>
      <c r="Y25" t="s">
        <v>41</v>
      </c>
      <c r="Z25" t="s">
        <v>2</v>
      </c>
    </row>
    <row r="26" spans="1:26" x14ac:dyDescent="0.2">
      <c r="A26" t="s">
        <v>5</v>
      </c>
      <c r="B26" t="s">
        <v>23</v>
      </c>
      <c r="C26" t="s">
        <v>56</v>
      </c>
      <c r="D26">
        <v>1</v>
      </c>
      <c r="E26">
        <v>5</v>
      </c>
      <c r="F26">
        <v>4.6569999999999997E-3</v>
      </c>
      <c r="G26">
        <v>4.1970000000000002E-3</v>
      </c>
      <c r="H26" t="s">
        <v>57</v>
      </c>
      <c r="J26" t="s">
        <v>11</v>
      </c>
      <c r="K26" t="str" cm="1">
        <f t="array" ref="K26">IFERROR(INDEX($Q$3:$Q$18, MATCH(1, ($J26=$L$3:$L$18) * (K$25=$J$3:$J$18), 0)), "")</f>
        <v/>
      </c>
      <c r="L26" t="str" cm="1">
        <f t="array" ref="L26">IFERROR(INDEX($Q$3:$Q$18, MATCH(1, ($J26=$L$3:$L$18) * (L$25=$J$3:$J$18), 0)), "")</f>
        <v/>
      </c>
      <c r="M26" cm="1">
        <f t="array" ref="M26">IFERROR(INDEX($Q$3:$Q$18, MATCH(1, ($J26=$L$3:$L$18) * (M$25=$J$3:$J$18), 0)), "")</f>
        <v>3.4646417025862069</v>
      </c>
      <c r="O26" t="s">
        <v>8</v>
      </c>
      <c r="P26" cm="1">
        <f t="array" ref="P26">INDEX($G$1:$G$100, MATCH(1, ($A$1:$A$100=P$25)*($B$1:$B$100=$K3), 0))</f>
        <v>1.0325000000000001E-2</v>
      </c>
      <c r="Q26" cm="1">
        <f t="array" ref="Q26">INDEX($G$1:$G$100, MATCH(1, ($A$1:$A$100=Q$25)*($B$1:$B$100=$K3), 0))</f>
        <v>1.3146E-2</v>
      </c>
      <c r="R26" cm="1">
        <f t="array" ref="R26">INDEX($G$1:$G$100, MATCH(1, ($A$1:$A$100=R$25)*($B$1:$B$100=$K3), 0))</f>
        <v>2.1699999999999999E-4</v>
      </c>
      <c r="S26" cm="1">
        <f t="array" ref="S26">INDEX($G$1:$G$100, MATCH(1, ($A$1:$A$100=S$25)*($B$1:$B$100=$K3), 0))</f>
        <v>4.0289999999999996E-3</v>
      </c>
      <c r="T26" t="b">
        <f>IF(ISNA(N3), TRUE, ABS($M3-N3) &gt; MAX($P26, Q26))</f>
        <v>1</v>
      </c>
      <c r="U26" t="b">
        <f>IF(ISNA(O3), TRUE, ABS($M3-O3) &gt; MAX($P26, R26))</f>
        <v>0</v>
      </c>
      <c r="V26" t="b">
        <f>IF(ISNA(P3), TRUE, ABS($M3-P3) &gt; MAX($P26, S26))</f>
        <v>0</v>
      </c>
      <c r="X26" t="b">
        <f>IF(ISNA(N3), TRUE, ABS($P3-N3) &gt; MAX($S26, Q26))</f>
        <v>1</v>
      </c>
      <c r="Y26" t="b">
        <f>IF(ISNA(O3), TRUE, ABS($P3-O3) &gt; MAX($S26, R26))</f>
        <v>1</v>
      </c>
      <c r="Z26" t="b">
        <f>IF(ISNA(M3), TRUE, ABS($P3-M3) &gt; MAX($S26, P26))</f>
        <v>0</v>
      </c>
    </row>
    <row r="27" spans="1:26" x14ac:dyDescent="0.2">
      <c r="A27" t="s">
        <v>5</v>
      </c>
      <c r="B27" t="s">
        <v>24</v>
      </c>
      <c r="C27" t="s">
        <v>56</v>
      </c>
      <c r="D27">
        <v>1</v>
      </c>
      <c r="E27">
        <v>5</v>
      </c>
      <c r="F27">
        <v>9.5390000000000006E-3</v>
      </c>
      <c r="G27">
        <v>1.026E-2</v>
      </c>
      <c r="H27" t="s">
        <v>57</v>
      </c>
      <c r="J27" t="s">
        <v>18</v>
      </c>
      <c r="K27" t="str" cm="1">
        <f t="array" ref="K27">IFERROR(INDEX($Q$3:$Q$18, MATCH(1, ($J27=$L$3:$L$18) * (K$25=$J$3:$J$18), 0)), "")</f>
        <v/>
      </c>
      <c r="L27" t="str" cm="1">
        <f t="array" ref="L27">IFERROR(INDEX($Q$3:$Q$18, MATCH(1, ($J27=$L$3:$L$18) * (L$25=$J$3:$J$18), 0)), "")</f>
        <v/>
      </c>
      <c r="M27" cm="1">
        <f t="array" ref="M27">IFERROR(INDEX($Q$3:$Q$18, MATCH(1, ($J27=$L$3:$L$18) * (M$25=$J$3:$J$18), 0)), "")</f>
        <v>11.888163212518995</v>
      </c>
      <c r="O27" t="s">
        <v>11</v>
      </c>
      <c r="P27" cm="1">
        <f t="array" ref="P27">INDEX($G$1:$G$100, MATCH(1, ($A$1:$A$100=P$25)*($B$1:$B$100=$K4), 0))</f>
        <v>7.3220000000000004E-3</v>
      </c>
      <c r="Q27" cm="1">
        <f t="array" ref="Q27">INDEX($G$1:$G$100, MATCH(1, ($A$1:$A$100=Q$25)*($B$1:$B$100=$K4), 0))</f>
        <v>2.2572999999999999E-2</v>
      </c>
      <c r="R27" cm="1">
        <f t="array" ref="R27">INDEX($G$1:$G$100, MATCH(1, ($A$1:$A$100=R$25)*($B$1:$B$100=$K4), 0))</f>
        <v>8.6499999999999999E-4</v>
      </c>
      <c r="S27" cm="1">
        <f t="array" ref="S27">INDEX($G$1:$G$100, MATCH(1, ($A$1:$A$100=S$25)*($B$1:$B$100=$K4), 0))</f>
        <v>1.5077999999999999E-2</v>
      </c>
      <c r="T27" t="b">
        <f>IF(ISNA(N4), TRUE, ABS($M4-N4) &gt; MAX($P27, Q27))</f>
        <v>1</v>
      </c>
      <c r="U27" t="b">
        <f>IF(ISNA(O4), TRUE, ABS($M4-O4) &gt; MAX($P27, R27))</f>
        <v>1</v>
      </c>
      <c r="V27" t="b">
        <f>IF(ISNA(P4), TRUE, ABS($M4-P4) &gt; MAX($P27, S27))</f>
        <v>0</v>
      </c>
      <c r="X27" t="b">
        <f>IF(ISNA(N4), TRUE, ABS($P4-N4) &gt; MAX($S27, Q27))</f>
        <v>1</v>
      </c>
      <c r="Y27" t="b">
        <f>IF(ISNA(O4), TRUE, ABS($P4-O4) &gt; MAX($S27, R27))</f>
        <v>0</v>
      </c>
      <c r="Z27" t="b">
        <f>IF(ISNA(M4), TRUE, ABS($P4-M4) &gt; MAX($S27, P27))</f>
        <v>0</v>
      </c>
    </row>
    <row r="28" spans="1:26" x14ac:dyDescent="0.2">
      <c r="A28" t="s">
        <v>5</v>
      </c>
      <c r="B28" t="s">
        <v>26</v>
      </c>
      <c r="C28" t="s">
        <v>56</v>
      </c>
      <c r="D28">
        <v>1</v>
      </c>
      <c r="E28">
        <v>5</v>
      </c>
      <c r="F28">
        <v>1.2775999999999999E-2</v>
      </c>
      <c r="G28">
        <v>9.4619999999999999E-3</v>
      </c>
      <c r="H28" t="s">
        <v>57</v>
      </c>
      <c r="J28" t="s">
        <v>58</v>
      </c>
      <c r="K28" t="str" cm="1">
        <f t="array" ref="K28">IFERROR(INDEX($Q$3:$Q$18, MATCH(1, ($J28=$L$3:$L$18) * (K$25=$J$3:$J$18), 0)), "")</f>
        <v/>
      </c>
      <c r="L28" t="str" cm="1">
        <f t="array" ref="L28">IFERROR(INDEX($Q$3:$Q$18, MATCH(1, ($J28=$L$3:$L$18) * (L$25=$J$3:$J$18), 0)), "")</f>
        <v/>
      </c>
      <c r="M28" cm="1">
        <f t="array" ref="M28">IFERROR(INDEX($Q$3:$Q$18, MATCH(1, ($J28=$L$3:$L$18) * (M$25=$J$3:$J$18), 0)), "")</f>
        <v>6.3449671925171023</v>
      </c>
      <c r="O28" t="s">
        <v>14</v>
      </c>
      <c r="P28" cm="1">
        <f t="array" ref="P28">INDEX($G$1:$G$100, MATCH(1, ($A$1:$A$100=P$25)*($B$1:$B$100=$K5), 0))</f>
        <v>8.1419999999999999E-3</v>
      </c>
      <c r="Q28" cm="1">
        <f t="array" ref="Q28">INDEX($G$1:$G$100, MATCH(1, ($A$1:$A$100=Q$25)*($B$1:$B$100=$K5), 0))</f>
        <v>1.4371999999999999E-2</v>
      </c>
      <c r="R28" cm="1">
        <f t="array" ref="R28">INDEX($G$1:$G$100, MATCH(1, ($A$1:$A$100=R$25)*($B$1:$B$100=$K5), 0))</f>
        <v>1.9789999999999999E-3</v>
      </c>
      <c r="S28" cm="1">
        <f t="array" ref="S28">INDEX($G$1:$G$100, MATCH(1, ($A$1:$A$100=S$25)*($B$1:$B$100=$K5), 0))</f>
        <v>1.027E-2</v>
      </c>
      <c r="T28" t="b">
        <f>IF(ISNA(N5), TRUE, ABS($M5-N5) &gt; MAX($P28, Q28))</f>
        <v>1</v>
      </c>
      <c r="U28" t="b">
        <f>IF(ISNA(O5), TRUE, ABS($M5-O5) &gt; MAX($P28, R28))</f>
        <v>1</v>
      </c>
      <c r="V28" t="b">
        <f>IF(ISNA(P5), TRUE, ABS($M5-P5) &gt; MAX($P28, S28))</f>
        <v>0</v>
      </c>
      <c r="X28" t="b">
        <f>IF(ISNA(N5), TRUE, ABS($P5-N5) &gt; MAX($S28, Q28))</f>
        <v>1</v>
      </c>
      <c r="Y28" t="b">
        <f>IF(ISNA(O5), TRUE, ABS($P5-O5) &gt; MAX($S28, R28))</f>
        <v>0</v>
      </c>
      <c r="Z28" t="b">
        <f>IF(ISNA(M5), TRUE, ABS($P5-M5) &gt; MAX($S28, P28))</f>
        <v>0</v>
      </c>
    </row>
    <row r="29" spans="1:26" x14ac:dyDescent="0.2">
      <c r="A29" t="s">
        <v>5</v>
      </c>
      <c r="B29" t="s">
        <v>28</v>
      </c>
      <c r="C29" t="s">
        <v>56</v>
      </c>
      <c r="D29">
        <v>1</v>
      </c>
      <c r="E29">
        <v>5</v>
      </c>
      <c r="F29">
        <v>5.8710000000000004E-3</v>
      </c>
      <c r="G29">
        <v>5.045E-3</v>
      </c>
      <c r="H29" t="s">
        <v>57</v>
      </c>
      <c r="J29" t="s">
        <v>27</v>
      </c>
      <c r="K29" t="str" cm="1">
        <f t="array" ref="K29">IFERROR(INDEX($Q$3:$Q$18, MATCH(1, ($J29=$L$3:$L$18) * (K$25=$J$3:$J$18), 0)), "")</f>
        <v/>
      </c>
      <c r="L29" t="str" cm="1">
        <f t="array" ref="L29">IFERROR(INDEX($Q$3:$Q$18, MATCH(1, ($J29=$L$3:$L$18) * (L$25=$J$3:$J$18), 0)), "")</f>
        <v/>
      </c>
      <c r="M29" cm="1">
        <f t="array" ref="M29">IFERROR(INDEX($Q$3:$Q$18, MATCH(1, ($J29=$L$3:$L$18) * (M$25=$J$3:$J$18), 0)), "")</f>
        <v>4.0623899085175292</v>
      </c>
      <c r="O29" t="s">
        <v>16</v>
      </c>
      <c r="P29" cm="1">
        <f t="array" ref="P29">INDEX($G$1:$G$100, MATCH(1, ($A$1:$A$100=P$25)*($B$1:$B$100=$K6), 0))</f>
        <v>8.1659999999999996E-3</v>
      </c>
      <c r="Q29" cm="1">
        <f t="array" ref="Q29">INDEX($G$1:$G$100, MATCH(1, ($A$1:$A$100=Q$25)*($B$1:$B$100=$K6), 0))</f>
        <v>4.934E-3</v>
      </c>
      <c r="R29" cm="1">
        <f t="array" ref="R29">INDEX($G$1:$G$100, MATCH(1, ($A$1:$A$100=R$25)*($B$1:$B$100=$K6), 0))</f>
        <v>9.3300000000000002E-4</v>
      </c>
      <c r="S29" cm="1">
        <f t="array" ref="S29">INDEX($G$1:$G$100, MATCH(1, ($A$1:$A$100=S$25)*($B$1:$B$100=$K6), 0))</f>
        <v>5.8459999999999996E-3</v>
      </c>
      <c r="T29" t="b">
        <f>IF(ISNA(N6), TRUE, ABS($M6-N6) &gt; MAX($P29, Q29))</f>
        <v>1</v>
      </c>
      <c r="U29" t="b">
        <f>IF(ISNA(O6), TRUE, ABS($M6-O6) &gt; MAX($P29, R29))</f>
        <v>0</v>
      </c>
      <c r="V29" t="b">
        <f>IF(ISNA(P6), TRUE, ABS($M6-P6) &gt; MAX($P29, S29))</f>
        <v>0</v>
      </c>
      <c r="X29" t="b">
        <f>IF(ISNA(N6), TRUE, ABS($P6-N6) &gt; MAX($S29, Q29))</f>
        <v>1</v>
      </c>
      <c r="Y29" t="b">
        <f>IF(ISNA(O6), TRUE, ABS($P6-O6) &gt; MAX($S29, R29))</f>
        <v>1</v>
      </c>
      <c r="Z29" t="b">
        <f>IF(ISNA(M6), TRUE, ABS($P6-M6) &gt; MAX($S29, P29))</f>
        <v>0</v>
      </c>
    </row>
    <row r="30" spans="1:26" x14ac:dyDescent="0.2">
      <c r="A30" t="s">
        <v>5</v>
      </c>
      <c r="B30" t="s">
        <v>30</v>
      </c>
      <c r="C30" t="s">
        <v>56</v>
      </c>
      <c r="D30">
        <v>1</v>
      </c>
      <c r="E30">
        <v>5</v>
      </c>
      <c r="F30">
        <v>5.9810000000000002E-3</v>
      </c>
      <c r="G30">
        <v>4.444E-3</v>
      </c>
      <c r="H30" t="s">
        <v>57</v>
      </c>
      <c r="J30" t="s">
        <v>33</v>
      </c>
      <c r="K30" t="str" cm="1">
        <f t="array" ref="K30">IFERROR(INDEX($Q$3:$Q$18, MATCH(1, ($J30=$L$3:$L$18) * (K$25=$J$3:$J$18), 0)), "")</f>
        <v/>
      </c>
      <c r="L30" t="str" cm="1">
        <f t="array" ref="L30">IFERROR(INDEX($Q$3:$Q$18, MATCH(1, ($J30=$L$3:$L$18) * (L$25=$J$3:$J$18), 0)), "")</f>
        <v/>
      </c>
      <c r="M30" cm="1">
        <f t="array" ref="M30">IFERROR(INDEX($Q$3:$Q$18, MATCH(1, ($J30=$L$3:$L$18) * (M$25=$J$3:$J$18), 0)), "")</f>
        <v>5.587720546385885</v>
      </c>
      <c r="O30" t="s">
        <v>18</v>
      </c>
      <c r="P30" cm="1">
        <f t="array" ref="P30">INDEX($G$1:$G$100, MATCH(1, ($A$1:$A$100=P$25)*($B$1:$B$100=$K7), 0))</f>
        <v>1.0462000000000001E-2</v>
      </c>
      <c r="Q30" cm="1">
        <f t="array" ref="Q30">INDEX($G$1:$G$100, MATCH(1, ($A$1:$A$100=Q$25)*($B$1:$B$100=$K7), 0))</f>
        <v>2.4417999999999999E-2</v>
      </c>
      <c r="R30" cm="1">
        <f t="array" ref="R30">INDEX($G$1:$G$100, MATCH(1, ($A$1:$A$100=R$25)*($B$1:$B$100=$K7), 0))</f>
        <v>6.5170000000000002E-3</v>
      </c>
      <c r="S30" cm="1">
        <f t="array" ref="S30">INDEX($G$1:$G$100, MATCH(1, ($A$1:$A$100=S$25)*($B$1:$B$100=$K7), 0))</f>
        <v>5.1330000000000004E-3</v>
      </c>
      <c r="T30" t="b">
        <f>IF(ISNA(N7), TRUE, ABS($M7-N7) &gt; MAX($P30, Q30))</f>
        <v>1</v>
      </c>
      <c r="U30" t="b">
        <f>IF(ISNA(O7), TRUE, ABS($M7-O7) &gt; MAX($P30, R30))</f>
        <v>1</v>
      </c>
      <c r="V30" t="b">
        <f>IF(ISNA(P7), TRUE, ABS($M7-P7) &gt; MAX($P30, S30))</f>
        <v>0</v>
      </c>
      <c r="X30" t="b">
        <f>IF(ISNA(N7), TRUE, ABS($P7-N7) &gt; MAX($S30, Q30))</f>
        <v>1</v>
      </c>
      <c r="Y30" t="b">
        <f>IF(ISNA(O7), TRUE, ABS($P7-O7) &gt; MAX($S30, R30))</f>
        <v>1</v>
      </c>
      <c r="Z30" t="b">
        <f>IF(ISNA(M7), TRUE, ABS($P7-M7) &gt; MAX($S30, P30))</f>
        <v>0</v>
      </c>
    </row>
    <row r="31" spans="1:26" x14ac:dyDescent="0.2">
      <c r="A31" t="s">
        <v>5</v>
      </c>
      <c r="B31" t="s">
        <v>32</v>
      </c>
      <c r="C31" t="s">
        <v>56</v>
      </c>
      <c r="D31">
        <v>1</v>
      </c>
      <c r="E31">
        <v>5</v>
      </c>
      <c r="F31">
        <v>1.4345999999999999E-2</v>
      </c>
      <c r="G31">
        <v>4.8799999999999998E-3</v>
      </c>
      <c r="H31" t="s">
        <v>57</v>
      </c>
      <c r="J31" t="s">
        <v>14</v>
      </c>
      <c r="K31" t="str" cm="1">
        <f t="array" ref="K31">IFERROR(INDEX($Q$3:$Q$18, MATCH(1, ($J31=$L$3:$L$18) * (K$25=$J$3:$J$18), 0)), "")</f>
        <v/>
      </c>
      <c r="L31" cm="1">
        <f t="array" ref="L31">IFERROR(INDEX($Q$3:$Q$18, MATCH(1, ($J31=$L$3:$L$18) * (L$25=$J$3:$J$18), 0)), "")</f>
        <v>3.1806377257011142</v>
      </c>
      <c r="M31" t="str" cm="1">
        <f t="array" ref="M31">IFERROR(INDEX($Q$3:$Q$18, MATCH(1, ($J31=$L$3:$L$18) * (M$25=$J$3:$J$18), 0)), "")</f>
        <v/>
      </c>
      <c r="O31" t="s">
        <v>20</v>
      </c>
      <c r="P31" cm="1">
        <f t="array" ref="P31">INDEX($G$1:$G$100, MATCH(1, ($A$1:$A$100=P$25)*($B$1:$B$100=$K8), 0))</f>
        <v>9.4570000000000001E-3</v>
      </c>
      <c r="Q31" cm="1">
        <f t="array" ref="Q31">INDEX($G$1:$G$100, MATCH(1, ($A$1:$A$100=Q$25)*($B$1:$B$100=$K8), 0))</f>
        <v>2.6911000000000001E-2</v>
      </c>
      <c r="R31" cm="1">
        <f t="array" ref="R31">INDEX($G$1:$G$100, MATCH(1, ($A$1:$A$100=R$25)*($B$1:$B$100=$K8), 0))</f>
        <v>6.1300000000000005E-4</v>
      </c>
      <c r="S31" cm="1">
        <f t="array" ref="S31">INDEX($G$1:$G$100, MATCH(1, ($A$1:$A$100=S$25)*($B$1:$B$100=$K8), 0))</f>
        <v>1.6178999999999999E-2</v>
      </c>
      <c r="T31" t="b">
        <f>IF(ISNA(N8), TRUE, ABS($M8-N8) &gt; MAX($P31, Q31))</f>
        <v>1</v>
      </c>
      <c r="U31" t="b">
        <f>IF(ISNA(O8), TRUE, ABS($M8-O8) &gt; MAX($P31, R31))</f>
        <v>0</v>
      </c>
      <c r="V31" t="b">
        <f>IF(ISNA(P8), TRUE, ABS($M8-P8) &gt; MAX($P31, S31))</f>
        <v>0</v>
      </c>
      <c r="X31" t="b">
        <f>IF(ISNA(N8), TRUE, ABS($P8-N8) &gt; MAX($S31, Q31))</f>
        <v>1</v>
      </c>
      <c r="Y31" t="b">
        <f>IF(ISNA(O8), TRUE, ABS($P8-O8) &gt; MAX($S31, R31))</f>
        <v>0</v>
      </c>
      <c r="Z31" t="b">
        <f>IF(ISNA(M8), TRUE, ABS($P8-M8) &gt; MAX($S31, P31))</f>
        <v>0</v>
      </c>
    </row>
    <row r="32" spans="1:26" x14ac:dyDescent="0.2">
      <c r="A32" t="s">
        <v>5</v>
      </c>
      <c r="B32" t="s">
        <v>34</v>
      </c>
      <c r="C32" t="s">
        <v>56</v>
      </c>
      <c r="D32">
        <v>1</v>
      </c>
      <c r="E32">
        <v>5</v>
      </c>
      <c r="F32">
        <v>8.4650000000000003E-3</v>
      </c>
      <c r="G32">
        <v>9.3699999999999999E-3</v>
      </c>
      <c r="H32" t="s">
        <v>57</v>
      </c>
      <c r="J32" t="s">
        <v>16</v>
      </c>
      <c r="K32" t="str" cm="1">
        <f t="array" ref="K32">IFERROR(INDEX($Q$3:$Q$18, MATCH(1, ($J32=$L$3:$L$18) * (K$25=$J$3:$J$18), 0)), "")</f>
        <v/>
      </c>
      <c r="L32" cm="1">
        <f t="array" ref="L32">IFERROR(INDEX($Q$3:$Q$18, MATCH(1, ($J32=$L$3:$L$18) * (L$25=$J$3:$J$18), 0)), "")</f>
        <v>4.359990700918285</v>
      </c>
      <c r="M32" t="str" cm="1">
        <f t="array" ref="M32">IFERROR(INDEX($Q$3:$Q$18, MATCH(1, ($J32=$L$3:$L$18) * (M$25=$J$3:$J$18), 0)), "")</f>
        <v/>
      </c>
      <c r="O32" t="s">
        <v>22</v>
      </c>
      <c r="P32" cm="1">
        <f t="array" ref="P32">INDEX($G$1:$G$100, MATCH(1, ($A$1:$A$100=P$25)*($B$1:$B$100=$K9), 0))</f>
        <v>1.5432E-2</v>
      </c>
      <c r="Q32" cm="1">
        <f t="array" ref="Q32">INDEX($G$1:$G$100, MATCH(1, ($A$1:$A$100=Q$25)*($B$1:$B$100=$K9), 0))</f>
        <v>2.0627E-2</v>
      </c>
      <c r="R32" cm="1">
        <f t="array" ref="R32">INDEX($G$1:$G$100, MATCH(1, ($A$1:$A$100=R$25)*($B$1:$B$100=$K9), 0))</f>
        <v>2.807E-3</v>
      </c>
      <c r="S32" cm="1">
        <f t="array" ref="S32">INDEX($G$1:$G$100, MATCH(1, ($A$1:$A$100=S$25)*($B$1:$B$100=$K9), 0))</f>
        <v>8.6210000000000002E-3</v>
      </c>
      <c r="T32" t="b">
        <f>IF(ISNA(N9), TRUE, ABS($M9-N9) &gt; MAX($P32, Q32))</f>
        <v>1</v>
      </c>
      <c r="U32" t="b">
        <f>IF(ISNA(O9), TRUE, ABS($M9-O9) &gt; MAX($P32, R32))</f>
        <v>1</v>
      </c>
      <c r="V32" t="b">
        <f>IF(ISNA(P9), TRUE, ABS($M9-P9) &gt; MAX($P32, S32))</f>
        <v>0</v>
      </c>
      <c r="X32" t="b">
        <f>IF(ISNA(N9), TRUE, ABS($P9-N9) &gt; MAX($S32, Q32))</f>
        <v>1</v>
      </c>
      <c r="Y32" t="b">
        <f>IF(ISNA(O9), TRUE, ABS($P9-O9) &gt; MAX($S32, R32))</f>
        <v>1</v>
      </c>
      <c r="Z32" t="b">
        <f>IF(ISNA(M9), TRUE, ABS($P9-M9) &gt; MAX($S32, P32))</f>
        <v>0</v>
      </c>
    </row>
    <row r="33" spans="1:26" x14ac:dyDescent="0.2">
      <c r="A33" t="s">
        <v>5</v>
      </c>
      <c r="B33" t="s">
        <v>36</v>
      </c>
      <c r="C33" t="s">
        <v>56</v>
      </c>
      <c r="D33">
        <v>1</v>
      </c>
      <c r="E33">
        <v>5</v>
      </c>
      <c r="F33">
        <v>4.2230000000000002E-3</v>
      </c>
      <c r="G33">
        <v>4.8849999999999996E-3</v>
      </c>
      <c r="H33" t="s">
        <v>57</v>
      </c>
      <c r="J33" t="s">
        <v>20</v>
      </c>
      <c r="K33" t="str" cm="1">
        <f t="array" ref="K33">IFERROR(INDEX($Q$3:$Q$18, MATCH(1, ($J33=$L$3:$L$18) * (K$25=$J$3:$J$18), 0)), "")</f>
        <v/>
      </c>
      <c r="L33" cm="1">
        <f t="array" ref="L33">IFERROR(INDEX($Q$3:$Q$18, MATCH(1, ($J33=$L$3:$L$18) * (L$25=$J$3:$J$18), 0)), "")</f>
        <v>6.8156616754350461</v>
      </c>
      <c r="M33" t="str" cm="1">
        <f t="array" ref="M33">IFERROR(INDEX($Q$3:$Q$18, MATCH(1, ($J33=$L$3:$L$18) * (M$25=$J$3:$J$18), 0)), "")</f>
        <v/>
      </c>
      <c r="O33" t="s">
        <v>58</v>
      </c>
      <c r="P33" cm="1">
        <f t="array" ref="P33">INDEX($G$1:$G$100, MATCH(1, ($A$1:$A$100=P$25)*($B$1:$B$100=$K10), 0))</f>
        <v>6.6249999999999998E-3</v>
      </c>
      <c r="Q33" cm="1">
        <f t="array" ref="Q33">INDEX($G$1:$G$100, MATCH(1, ($A$1:$A$100=Q$25)*($B$1:$B$100=$K10), 0))</f>
        <v>2.7237000000000001E-2</v>
      </c>
      <c r="R33" cm="1">
        <f t="array" ref="R33">INDEX($G$1:$G$100, MATCH(1, ($A$1:$A$100=R$25)*($B$1:$B$100=$K10), 0))</f>
        <v>1.093E-3</v>
      </c>
      <c r="S33" cm="1">
        <f t="array" ref="S33">INDEX($G$1:$G$100, MATCH(1, ($A$1:$A$100=S$25)*($B$1:$B$100=$K10), 0))</f>
        <v>4.1970000000000002E-3</v>
      </c>
      <c r="T33" t="b">
        <f>IF(ISNA(N10), TRUE, ABS($M10-N10) &gt; MAX($P33, Q33))</f>
        <v>1</v>
      </c>
      <c r="U33" t="b">
        <f>IF(ISNA(O10), TRUE, ABS($M10-O10) &gt; MAX($P33, R33))</f>
        <v>0</v>
      </c>
      <c r="V33" t="b">
        <f>IF(ISNA(P10), TRUE, ABS($M10-P10) &gt; MAX($P33, S33))</f>
        <v>0</v>
      </c>
      <c r="X33" t="b">
        <f>IF(ISNA(N10), TRUE, ABS($P10-N10) &gt; MAX($S33, Q33))</f>
        <v>1</v>
      </c>
      <c r="Y33" t="b">
        <f>IF(ISNA(O10), TRUE, ABS($P10-O10) &gt; MAX($S33, R33))</f>
        <v>0</v>
      </c>
      <c r="Z33" t="b">
        <f>IF(ISNA(M10), TRUE, ABS($P10-M10) &gt; MAX($S33, P33))</f>
        <v>0</v>
      </c>
    </row>
    <row r="34" spans="1:26" x14ac:dyDescent="0.2">
      <c r="A34" t="s">
        <v>5</v>
      </c>
      <c r="B34" t="s">
        <v>38</v>
      </c>
      <c r="C34" t="s">
        <v>56</v>
      </c>
      <c r="D34">
        <v>1</v>
      </c>
      <c r="E34">
        <v>5</v>
      </c>
      <c r="F34">
        <v>7.6759999999999997E-3</v>
      </c>
      <c r="G34">
        <v>4.5430000000000002E-3</v>
      </c>
      <c r="H34" t="s">
        <v>57</v>
      </c>
      <c r="J34" t="s">
        <v>39</v>
      </c>
      <c r="K34" t="str" cm="1">
        <f t="array" ref="K34">IFERROR(INDEX($Q$3:$Q$18, MATCH(1, ($J34=$L$3:$L$18) * (K$25=$J$3:$J$18), 0)), "")</f>
        <v/>
      </c>
      <c r="L34" cm="1">
        <f t="array" ref="L34">IFERROR(INDEX($Q$3:$Q$18, MATCH(1, ($J34=$L$3:$L$18) * (L$25=$J$3:$J$18), 0)), "")</f>
        <v>11.815309842041311</v>
      </c>
      <c r="M34" t="str" cm="1">
        <f t="array" ref="M34">IFERROR(INDEX($Q$3:$Q$18, MATCH(1, ($J34=$L$3:$L$18) * (M$25=$J$3:$J$18), 0)), "")</f>
        <v/>
      </c>
      <c r="O34" t="s">
        <v>25</v>
      </c>
      <c r="P34" cm="1">
        <f t="array" ref="P34">INDEX($G$1:$G$100, MATCH(1, ($A$1:$A$100=P$25)*($B$1:$B$100=$K11), 0))</f>
        <v>1.2256E-2</v>
      </c>
      <c r="Q34" cm="1">
        <f t="array" ref="Q34">INDEX($G$1:$G$100, MATCH(1, ($A$1:$A$100=Q$25)*($B$1:$B$100=$K11), 0))</f>
        <v>3.8884000000000002E-2</v>
      </c>
      <c r="R34" cm="1">
        <f t="array" ref="R34">INDEX($G$1:$G$100, MATCH(1, ($A$1:$A$100=R$25)*($B$1:$B$100=$K11), 0))</f>
        <v>1.9789999999999999E-3</v>
      </c>
      <c r="S34" cm="1">
        <f t="array" ref="S34">INDEX($G$1:$G$100, MATCH(1, ($A$1:$A$100=S$25)*($B$1:$B$100=$K11), 0))</f>
        <v>1.026E-2</v>
      </c>
      <c r="T34" t="b">
        <f>IF(ISNA(N11), TRUE, ABS($M11-N11) &gt; MAX($P34, Q34))</f>
        <v>1</v>
      </c>
      <c r="U34" t="b">
        <f>IF(ISNA(O11), TRUE, ABS($M11-O11) &gt; MAX($P34, R34))</f>
        <v>0</v>
      </c>
      <c r="V34" t="b">
        <f>IF(ISNA(P11), TRUE, ABS($M11-P11) &gt; MAX($P34, S34))</f>
        <v>0</v>
      </c>
      <c r="X34" t="b">
        <f>IF(ISNA(N11), TRUE, ABS($P11-N11) &gt; MAX($S34, Q34))</f>
        <v>1</v>
      </c>
      <c r="Y34" t="b">
        <f>IF(ISNA(O11), TRUE, ABS($P11-O11) &gt; MAX($S34, R34))</f>
        <v>0</v>
      </c>
      <c r="Z34" t="b">
        <f>IF(ISNA(M11), TRUE, ABS($P11-M11) &gt; MAX($S34, P34))</f>
        <v>0</v>
      </c>
    </row>
    <row r="35" spans="1:26" x14ac:dyDescent="0.2">
      <c r="A35" t="s">
        <v>3</v>
      </c>
      <c r="B35" t="s">
        <v>7</v>
      </c>
      <c r="C35" t="s">
        <v>56</v>
      </c>
      <c r="D35">
        <v>1</v>
      </c>
      <c r="E35">
        <v>5</v>
      </c>
      <c r="F35">
        <v>4.4766E-2</v>
      </c>
      <c r="G35">
        <v>1.3146E-2</v>
      </c>
      <c r="H35" t="s">
        <v>57</v>
      </c>
      <c r="J35" t="s">
        <v>22</v>
      </c>
      <c r="K35" t="str" cm="1">
        <f t="array" ref="K35">IFERROR(INDEX($Q$3:$Q$18, MATCH(1, ($J35=$L$3:$L$18) * (K$25=$J$3:$J$18), 0)), "")</f>
        <v/>
      </c>
      <c r="L35" cm="1">
        <f t="array" ref="L35">IFERROR(INDEX($Q$3:$Q$18, MATCH(1, ($J35=$L$3:$L$18) * (L$25=$J$3:$J$18), 0)), "")</f>
        <v>5.9027614236335326</v>
      </c>
      <c r="M35" t="str" cm="1">
        <f t="array" ref="M35">IFERROR(INDEX($Q$3:$Q$18, MATCH(1, ($J35=$L$3:$L$18) * (M$25=$J$3:$J$18), 0)), "")</f>
        <v/>
      </c>
      <c r="O35" t="s">
        <v>27</v>
      </c>
      <c r="P35" cm="1">
        <f t="array" ref="P35">INDEX($G$1:$G$100, MATCH(1, ($A$1:$A$100=P$25)*($B$1:$B$100=$K12), 0))</f>
        <v>1.3006E-2</v>
      </c>
      <c r="Q35" cm="1">
        <f t="array" ref="Q35">INDEX($G$1:$G$100, MATCH(1, ($A$1:$A$100=Q$25)*($B$1:$B$100=$K12), 0))</f>
        <v>2.4055E-2</v>
      </c>
      <c r="R35" cm="1">
        <f t="array" ref="R35">INDEX($G$1:$G$100, MATCH(1, ($A$1:$A$100=R$25)*($B$1:$B$100=$K12), 0))</f>
        <v>1.0679999999999999E-3</v>
      </c>
      <c r="S35" cm="1">
        <f t="array" ref="S35">INDEX($G$1:$G$100, MATCH(1, ($A$1:$A$100=S$25)*($B$1:$B$100=$K12), 0))</f>
        <v>9.4619999999999999E-3</v>
      </c>
      <c r="T35" t="b">
        <f>IF(ISNA(N12), TRUE, ABS($M12-N12) &gt; MAX($P35, Q35))</f>
        <v>1</v>
      </c>
      <c r="U35" t="b">
        <f>IF(ISNA(O12), TRUE, ABS($M12-O12) &gt; MAX($P35, R35))</f>
        <v>1</v>
      </c>
      <c r="V35" t="b">
        <f>IF(ISNA(P12), TRUE, ABS($M12-P12) &gt; MAX($P35, S35))</f>
        <v>0</v>
      </c>
      <c r="X35" t="b">
        <f>IF(ISNA(N12), TRUE, ABS($P12-N12) &gt; MAX($S35, Q35))</f>
        <v>1</v>
      </c>
      <c r="Y35" t="b">
        <f>IF(ISNA(O12), TRUE, ABS($P12-O12) &gt; MAX($S35, R35))</f>
        <v>1</v>
      </c>
      <c r="Z35" t="b">
        <f>IF(ISNA(M12), TRUE, ABS($P12-M12) &gt; MAX($S35, P35))</f>
        <v>0</v>
      </c>
    </row>
    <row r="36" spans="1:26" x14ac:dyDescent="0.2">
      <c r="A36" t="s">
        <v>3</v>
      </c>
      <c r="B36" t="s">
        <v>10</v>
      </c>
      <c r="C36" t="s">
        <v>56</v>
      </c>
      <c r="D36">
        <v>1</v>
      </c>
      <c r="E36">
        <v>5</v>
      </c>
      <c r="F36">
        <v>5.1443000000000003E-2</v>
      </c>
      <c r="G36">
        <v>2.2572999999999999E-2</v>
      </c>
      <c r="H36" t="s">
        <v>57</v>
      </c>
      <c r="J36" t="s">
        <v>25</v>
      </c>
      <c r="K36" t="str" cm="1">
        <f t="array" ref="K36">IFERROR(INDEX($Q$3:$Q$18, MATCH(1, ($J36=$L$3:$L$18) * (K$25=$J$3:$J$18), 0)), "")</f>
        <v/>
      </c>
      <c r="L36" cm="1">
        <f t="array" ref="L36">IFERROR(INDEX($Q$3:$Q$18, MATCH(1, ($J36=$L$3:$L$18) * (L$25=$J$3:$J$18), 0)), "")</f>
        <v>26.313826940231937</v>
      </c>
      <c r="M36" t="str" cm="1">
        <f t="array" ref="M36">IFERROR(INDEX($Q$3:$Q$18, MATCH(1, ($J36=$L$3:$L$18) * (M$25=$J$3:$J$18), 0)), "")</f>
        <v/>
      </c>
      <c r="O36" t="s">
        <v>29</v>
      </c>
      <c r="P36" cm="1">
        <f t="array" ref="P36">INDEX($G$1:$G$100, MATCH(1, ($A$1:$A$100=P$25)*($B$1:$B$100=$K13), 0))</f>
        <v>5.4079999999999996E-3</v>
      </c>
      <c r="Q36" cm="1">
        <f t="array" ref="Q36">INDEX($G$1:$G$100, MATCH(1, ($A$1:$A$100=Q$25)*($B$1:$B$100=$K13), 0))</f>
        <v>1.0548E-2</v>
      </c>
      <c r="R36" cm="1">
        <f t="array" ref="R36">INDEX($G$1:$G$100, MATCH(1, ($A$1:$A$100=R$25)*($B$1:$B$100=$K13), 0))</f>
        <v>1.1360000000000001E-3</v>
      </c>
      <c r="S36" cm="1">
        <f t="array" ref="S36">INDEX($G$1:$G$100, MATCH(1, ($A$1:$A$100=S$25)*($B$1:$B$100=$K13), 0))</f>
        <v>5.045E-3</v>
      </c>
      <c r="T36" t="b">
        <f>IF(ISNA(N13), TRUE, ABS($M13-N13) &gt; MAX($P36, Q36))</f>
        <v>1</v>
      </c>
      <c r="U36" t="b">
        <f>IF(ISNA(O13), TRUE, ABS($M13-O13) &gt; MAX($P36, R36))</f>
        <v>0</v>
      </c>
      <c r="V36" t="b">
        <f>IF(ISNA(P13), TRUE, ABS($M13-P13) &gt; MAX($P36, S36))</f>
        <v>0</v>
      </c>
      <c r="X36" t="b">
        <f>IF(ISNA(N13), TRUE, ABS($P13-N13) &gt; MAX($S36, Q36))</f>
        <v>1</v>
      </c>
      <c r="Y36" t="b">
        <f>IF(ISNA(O13), TRUE, ABS($P13-O13) &gt; MAX($S36, R36))</f>
        <v>0</v>
      </c>
      <c r="Z36" t="b">
        <f>IF(ISNA(M13), TRUE, ABS($P13-M13) &gt; MAX($S36, P36))</f>
        <v>0</v>
      </c>
    </row>
    <row r="37" spans="1:26" x14ac:dyDescent="0.2">
      <c r="A37" t="s">
        <v>3</v>
      </c>
      <c r="B37" t="s">
        <v>13</v>
      </c>
      <c r="C37" t="s">
        <v>56</v>
      </c>
      <c r="D37">
        <v>1</v>
      </c>
      <c r="E37">
        <v>5</v>
      </c>
      <c r="F37">
        <v>4.1396000000000002E-2</v>
      </c>
      <c r="G37">
        <v>1.4371999999999999E-2</v>
      </c>
      <c r="H37" t="s">
        <v>57</v>
      </c>
      <c r="J37" t="s">
        <v>29</v>
      </c>
      <c r="K37" t="str" cm="1">
        <f t="array" ref="K37">IFERROR(INDEX($Q$3:$Q$18, MATCH(1, ($J37=$L$3:$L$18) * (K$25=$J$3:$J$18), 0)), "")</f>
        <v/>
      </c>
      <c r="L37" cm="1">
        <f t="array" ref="L37">IFERROR(INDEX($Q$3:$Q$18, MATCH(1, ($J37=$L$3:$L$18) * (L$25=$J$3:$J$18), 0)), "")</f>
        <v>5.4386168821734708</v>
      </c>
      <c r="M37" t="str" cm="1">
        <f t="array" ref="M37">IFERROR(INDEX($Q$3:$Q$18, MATCH(1, ($J37=$L$3:$L$18) * (M$25=$J$3:$J$18), 0)), "")</f>
        <v/>
      </c>
      <c r="O37" t="s">
        <v>31</v>
      </c>
      <c r="P37" cm="1">
        <f t="array" ref="P37">INDEX($G$1:$G$100, MATCH(1, ($A$1:$A$100=P$25)*($B$1:$B$100=$K14), 0))</f>
        <v>7.1850000000000004E-3</v>
      </c>
      <c r="Q37" cm="1">
        <f t="array" ref="Q37">INDEX($G$1:$G$100, MATCH(1, ($A$1:$A$100=Q$25)*($B$1:$B$100=$K14), 0))</f>
        <v>1.5157E-2</v>
      </c>
      <c r="R37" cm="1">
        <f t="array" ref="R37">INDEX($G$1:$G$100, MATCH(1, ($A$1:$A$100=R$25)*($B$1:$B$100=$K14), 0))</f>
        <v>1.9449999999999999E-3</v>
      </c>
      <c r="S37" cm="1">
        <f t="array" ref="S37">INDEX($G$1:$G$100, MATCH(1, ($A$1:$A$100=S$25)*($B$1:$B$100=$K14), 0))</f>
        <v>4.444E-3</v>
      </c>
      <c r="T37" t="b">
        <f>IF(ISNA(N14), TRUE, ABS($M14-N14) &gt; MAX($P37, Q37))</f>
        <v>1</v>
      </c>
      <c r="U37" t="b">
        <f>IF(ISNA(O14), TRUE, ABS($M14-O14) &gt; MAX($P37, R37))</f>
        <v>0</v>
      </c>
      <c r="V37" t="b">
        <f>IF(ISNA(P14), TRUE, ABS($M14-P14) &gt; MAX($P37, S37))</f>
        <v>0</v>
      </c>
      <c r="X37" t="b">
        <f>IF(ISNA(N14), TRUE, ABS($P14-N14) &gt; MAX($S37, Q37))</f>
        <v>1</v>
      </c>
      <c r="Y37" t="b">
        <f>IF(ISNA(O14), TRUE, ABS($P14-O14) &gt; MAX($S37, R37))</f>
        <v>0</v>
      </c>
      <c r="Z37" t="b">
        <f>IF(ISNA(M14), TRUE, ABS($P14-M14) &gt; MAX($S37, P37))</f>
        <v>0</v>
      </c>
    </row>
    <row r="38" spans="1:26" x14ac:dyDescent="0.2">
      <c r="A38" t="s">
        <v>3</v>
      </c>
      <c r="B38" t="s">
        <v>15</v>
      </c>
      <c r="C38" t="s">
        <v>56</v>
      </c>
      <c r="D38">
        <v>1</v>
      </c>
      <c r="E38">
        <v>5</v>
      </c>
      <c r="F38">
        <v>3.7509000000000001E-2</v>
      </c>
      <c r="G38">
        <v>4.934E-3</v>
      </c>
      <c r="H38" t="s">
        <v>57</v>
      </c>
      <c r="J38" t="s">
        <v>31</v>
      </c>
      <c r="K38" t="str" cm="1">
        <f t="array" ref="K38">IFERROR(INDEX($Q$3:$Q$18, MATCH(1, ($J38=$L$3:$L$18) * (K$25=$J$3:$J$18), 0)), "")</f>
        <v/>
      </c>
      <c r="L38" cm="1">
        <f t="array" ref="L38">IFERROR(INDEX($Q$3:$Q$18, MATCH(1, ($J38=$L$3:$L$18) * (L$25=$J$3:$J$18), 0)), "")</f>
        <v>8.3449206884913938</v>
      </c>
      <c r="M38" t="str" cm="1">
        <f t="array" ref="M38">IFERROR(INDEX($Q$3:$Q$18, MATCH(1, ($J38=$L$3:$L$18) * (M$25=$J$3:$J$18), 0)), "")</f>
        <v/>
      </c>
      <c r="O38" t="s">
        <v>33</v>
      </c>
      <c r="P38" cm="1">
        <f t="array" ref="P38">INDEX($G$1:$G$100, MATCH(1, ($A$1:$A$100=P$25)*($B$1:$B$100=$K15), 0))</f>
        <v>9.4079999999999997E-3</v>
      </c>
      <c r="Q38" cm="1">
        <f t="array" ref="Q38">INDEX($G$1:$G$100, MATCH(1, ($A$1:$A$100=Q$25)*($B$1:$B$100=$K15), 0))</f>
        <v>2.5336999999999998E-2</v>
      </c>
      <c r="R38" cm="1">
        <f t="array" ref="R38">INDEX($G$1:$G$100, MATCH(1, ($A$1:$A$100=R$25)*($B$1:$B$100=$K15), 0))</f>
        <v>1.0820000000000001E-3</v>
      </c>
      <c r="S38" cm="1">
        <f t="array" ref="S38">INDEX($G$1:$G$100, MATCH(1, ($A$1:$A$100=S$25)*($B$1:$B$100=$K15), 0))</f>
        <v>4.8799999999999998E-3</v>
      </c>
      <c r="T38" t="b">
        <f>IF(ISNA(N15), TRUE, ABS($M15-N15) &gt; MAX($P38, Q38))</f>
        <v>1</v>
      </c>
      <c r="U38" t="b">
        <f>IF(ISNA(O15), TRUE, ABS($M15-O15) &gt; MAX($P38, R38))</f>
        <v>1</v>
      </c>
      <c r="V38" t="b">
        <f>IF(ISNA(P15), TRUE, ABS($M15-P15) &gt; MAX($P38, S38))</f>
        <v>0</v>
      </c>
      <c r="X38" t="b">
        <f>IF(ISNA(N15), TRUE, ABS($P15-N15) &gt; MAX($S38, Q38))</f>
        <v>1</v>
      </c>
      <c r="Y38" t="b">
        <f>IF(ISNA(O15), TRUE, ABS($P15-O15) &gt; MAX($S38, R38))</f>
        <v>1</v>
      </c>
      <c r="Z38" t="b">
        <f>IF(ISNA(M15), TRUE, ABS($P15-M15) &gt; MAX($S38, P38))</f>
        <v>0</v>
      </c>
    </row>
    <row r="39" spans="1:26" x14ac:dyDescent="0.2">
      <c r="A39" t="s">
        <v>3</v>
      </c>
      <c r="B39" t="s">
        <v>17</v>
      </c>
      <c r="C39" t="s">
        <v>56</v>
      </c>
      <c r="D39">
        <v>1</v>
      </c>
      <c r="E39">
        <v>5</v>
      </c>
      <c r="F39">
        <v>0.36768899999999999</v>
      </c>
      <c r="G39">
        <v>2.4417999999999999E-2</v>
      </c>
      <c r="H39" t="s">
        <v>57</v>
      </c>
      <c r="J39" t="s">
        <v>8</v>
      </c>
      <c r="K39" cm="1">
        <f t="array" ref="K39">IFERROR(INDEX($Q$3:$Q$18, MATCH(1, ($J39=$L$3:$L$18) * (K$25=$J$3:$J$18), 0)), "")</f>
        <v>6.1550941839681013</v>
      </c>
      <c r="L39" t="str" cm="1">
        <f t="array" ref="L39">IFERROR(INDEX($Q$3:$Q$18, MATCH(1, ($J39=$L$3:$L$18) * (L$25=$J$3:$J$18), 0)), "")</f>
        <v/>
      </c>
      <c r="M39" t="str" cm="1">
        <f t="array" ref="M39">IFERROR(INDEX($Q$3:$Q$18, MATCH(1, ($J39=$L$3:$L$18) * (M$25=$J$3:$J$18), 0)), "")</f>
        <v/>
      </c>
      <c r="O39" t="s">
        <v>35</v>
      </c>
      <c r="P39" cm="1">
        <f t="array" ref="P39">INDEX($G$1:$G$100, MATCH(1, ($A$1:$A$100=P$25)*($B$1:$B$100=$K16), 0))</f>
        <v>3.7859999999999999E-3</v>
      </c>
      <c r="Q39" cm="1">
        <f t="array" ref="Q39">INDEX($G$1:$G$100, MATCH(1, ($A$1:$A$100=Q$25)*($B$1:$B$100=$K16), 0))</f>
        <v>9.7370000000000009E-3</v>
      </c>
      <c r="R39" cm="1">
        <f t="array" ref="R39">INDEX($G$1:$G$100, MATCH(1, ($A$1:$A$100=R$25)*($B$1:$B$100=$K16), 0))</f>
        <v>1.4270000000000001E-3</v>
      </c>
      <c r="S39" cm="1">
        <f t="array" ref="S39">INDEX($G$1:$G$100, MATCH(1, ($A$1:$A$100=S$25)*($B$1:$B$100=$K16), 0))</f>
        <v>9.3699999999999999E-3</v>
      </c>
      <c r="T39" t="b">
        <f>IF(ISNA(N16), TRUE, ABS($M16-N16) &gt; MAX($P39, Q39))</f>
        <v>1</v>
      </c>
      <c r="U39" t="b">
        <f>IF(ISNA(O16), TRUE, ABS($M16-O16) &gt; MAX($P39, R39))</f>
        <v>1</v>
      </c>
      <c r="V39" t="b">
        <f>IF(ISNA(P16), TRUE, ABS($M16-P16) &gt; MAX($P39, S39))</f>
        <v>0</v>
      </c>
      <c r="X39" t="b">
        <f>IF(ISNA(N16), TRUE, ABS($P16-N16) &gt; MAX($S39, Q39))</f>
        <v>1</v>
      </c>
      <c r="Y39" t="b">
        <f>IF(ISNA(O16), TRUE, ABS($P16-O16) &gt; MAX($S39, R39))</f>
        <v>0</v>
      </c>
      <c r="Z39" t="b">
        <f>IF(ISNA(M16), TRUE, ABS($P16-M16) &gt; MAX($S39, P39))</f>
        <v>0</v>
      </c>
    </row>
    <row r="40" spans="1:26" x14ac:dyDescent="0.2">
      <c r="A40" t="s">
        <v>3</v>
      </c>
      <c r="B40" t="s">
        <v>19</v>
      </c>
      <c r="C40" t="s">
        <v>56</v>
      </c>
      <c r="D40">
        <v>1</v>
      </c>
      <c r="E40">
        <v>5</v>
      </c>
      <c r="F40">
        <v>6.7365999999999995E-2</v>
      </c>
      <c r="G40">
        <v>2.6911000000000001E-2</v>
      </c>
      <c r="H40" t="s">
        <v>57</v>
      </c>
      <c r="J40" t="s">
        <v>35</v>
      </c>
      <c r="K40" cm="1">
        <f t="array" ref="K40">IFERROR(INDEX($Q$3:$Q$18, MATCH(1, ($J40=$L$3:$L$18) * (K$25=$J$3:$J$18), 0)), "")</f>
        <v>5.3358644859813085</v>
      </c>
      <c r="L40" t="str" cm="1">
        <f t="array" ref="L40">IFERROR(INDEX($Q$3:$Q$18, MATCH(1, ($J40=$L$3:$L$18) * (L$25=$J$3:$J$18), 0)), "")</f>
        <v/>
      </c>
      <c r="M40" t="str" cm="1">
        <f t="array" ref="M40">IFERROR(INDEX($Q$3:$Q$18, MATCH(1, ($J40=$L$3:$L$18) * (M$25=$J$3:$J$18), 0)), "")</f>
        <v/>
      </c>
      <c r="O40" t="s">
        <v>37</v>
      </c>
      <c r="P40" cm="1">
        <f t="array" ref="P40">INDEX($G$1:$G$100, MATCH(1, ($A$1:$A$100=P$25)*($B$1:$B$100=$K17), 0))</f>
        <v>5.9550000000000002E-3</v>
      </c>
      <c r="Q40" cm="1">
        <f t="array" ref="Q40">INDEX($G$1:$G$100, MATCH(1, ($A$1:$A$100=Q$25)*($B$1:$B$100=$K17), 0))</f>
        <v>2.3456000000000001E-2</v>
      </c>
      <c r="R40" cm="1">
        <f t="array" ref="R40">INDEX($G$1:$G$100, MATCH(1, ($A$1:$A$100=R$25)*($B$1:$B$100=$K17), 0))</f>
        <v>2.4000000000000001E-4</v>
      </c>
      <c r="S40" cm="1">
        <f t="array" ref="S40">INDEX($G$1:$G$100, MATCH(1, ($A$1:$A$100=S$25)*($B$1:$B$100=$K17), 0))</f>
        <v>4.8849999999999996E-3</v>
      </c>
      <c r="T40" t="b">
        <f>IF(ISNA(N17), TRUE, ABS($M17-N17) &gt; MAX($P40, Q40))</f>
        <v>0</v>
      </c>
      <c r="U40" t="b">
        <f>IF(ISNA(O17), TRUE, ABS($M17-O17) &gt; MAX($P40, R40))</f>
        <v>1</v>
      </c>
      <c r="V40" t="b">
        <f>IF(ISNA(P17), TRUE, ABS($M17-P17) &gt; MAX($P40, S40))</f>
        <v>0</v>
      </c>
      <c r="X40" t="b">
        <f>IF(ISNA(N17), TRUE, ABS($P17-N17) &gt; MAX($S40, Q40))</f>
        <v>1</v>
      </c>
      <c r="Y40" t="b">
        <f>IF(ISNA(O17), TRUE, ABS($P17-O17) &gt; MAX($S40, R40))</f>
        <v>0</v>
      </c>
      <c r="Z40" t="b">
        <f>IF(ISNA(M17), TRUE, ABS($P17-M17) &gt; MAX($S40, P40))</f>
        <v>0</v>
      </c>
    </row>
    <row r="41" spans="1:26" x14ac:dyDescent="0.2">
      <c r="A41" t="s">
        <v>3</v>
      </c>
      <c r="B41" t="s">
        <v>21</v>
      </c>
      <c r="C41" t="s">
        <v>56</v>
      </c>
      <c r="D41">
        <v>1</v>
      </c>
      <c r="E41">
        <v>5</v>
      </c>
      <c r="F41">
        <v>0.15540200000000001</v>
      </c>
      <c r="G41">
        <v>2.0627E-2</v>
      </c>
      <c r="H41" t="s">
        <v>57</v>
      </c>
      <c r="J41" t="s">
        <v>37</v>
      </c>
      <c r="K41" cm="1">
        <f t="array" ref="K41">IFERROR(INDEX($Q$3:$Q$18, MATCH(1, ($J41=$L$3:$L$18) * (K$25=$J$3:$J$18), 0)), "")</f>
        <v>3.3562744004461793</v>
      </c>
      <c r="L41" t="str" cm="1">
        <f t="array" ref="L41">IFERROR(INDEX($Q$3:$Q$18, MATCH(1, ($J41=$L$3:$L$18) * (L$25=$J$3:$J$18), 0)), "")</f>
        <v/>
      </c>
      <c r="M41" t="str" cm="1">
        <f t="array" ref="M41">IFERROR(INDEX($Q$3:$Q$18, MATCH(1, ($J41=$L$3:$L$18) * (M$25=$J$3:$J$18), 0)), "")</f>
        <v/>
      </c>
      <c r="O41" t="s">
        <v>39</v>
      </c>
      <c r="P41" cm="1">
        <f t="array" ref="P41">INDEX($G$1:$G$100, MATCH(1, ($A$1:$A$100=P$25)*($B$1:$B$100=$K18), 0))</f>
        <v>6.8250000000000003E-3</v>
      </c>
      <c r="Q41" cm="1">
        <f t="array" ref="Q41">INDEX($G$1:$G$100, MATCH(1, ($A$1:$A$100=Q$25)*($B$1:$B$100=$K18), 0))</f>
        <v>2.6071E-2</v>
      </c>
      <c r="R41" cm="1">
        <f t="array" ref="R41">INDEX($G$1:$G$100, MATCH(1, ($A$1:$A$100=R$25)*($B$1:$B$100=$K18), 0))</f>
        <v>1.477E-3</v>
      </c>
      <c r="S41" cm="1">
        <f t="array" ref="S41">INDEX($G$1:$G$100, MATCH(1, ($A$1:$A$100=S$25)*($B$1:$B$100=$K18), 0))</f>
        <v>4.5430000000000002E-3</v>
      </c>
      <c r="T41" t="b">
        <f>IF(ISNA(N18), TRUE, ABS($M18-N18) &gt; MAX($P41, Q41))</f>
        <v>1</v>
      </c>
      <c r="U41" t="b">
        <f>IF(ISNA(O18), TRUE, ABS($M18-O18) &gt; MAX($P41, R41))</f>
        <v>1</v>
      </c>
      <c r="V41" t="b">
        <f>IF(ISNA(P18), TRUE, ABS($M18-P18) &gt; MAX($P41, S41))</f>
        <v>0</v>
      </c>
      <c r="X41" t="b">
        <f>IF(ISNA(N18), TRUE, ABS($P18-N18) &gt; MAX($S41, Q41))</f>
        <v>1</v>
      </c>
      <c r="Y41" t="b">
        <f>IF(ISNA(O18), TRUE, ABS($P18-O18) &gt; MAX($S41, R41))</f>
        <v>1</v>
      </c>
      <c r="Z41" t="b">
        <f>IF(ISNA(M18), TRUE, ABS($P18-M18) &gt; MAX($S41, P41))</f>
        <v>0</v>
      </c>
    </row>
    <row r="42" spans="1:26" x14ac:dyDescent="0.2">
      <c r="A42" t="s">
        <v>3</v>
      </c>
      <c r="B42" t="s">
        <v>23</v>
      </c>
      <c r="C42" t="s">
        <v>56</v>
      </c>
      <c r="D42">
        <v>1</v>
      </c>
      <c r="E42">
        <v>5</v>
      </c>
      <c r="F42">
        <v>4.5449000000000003E-2</v>
      </c>
      <c r="G42">
        <v>2.7237000000000001E-2</v>
      </c>
      <c r="H42" t="s">
        <v>57</v>
      </c>
    </row>
    <row r="43" spans="1:26" x14ac:dyDescent="0.2">
      <c r="A43" t="s">
        <v>3</v>
      </c>
      <c r="B43" t="s">
        <v>24</v>
      </c>
      <c r="C43" t="s">
        <v>56</v>
      </c>
      <c r="D43">
        <v>1</v>
      </c>
      <c r="E43">
        <v>5</v>
      </c>
      <c r="F43">
        <v>0.29497800000000002</v>
      </c>
      <c r="G43">
        <v>3.8884000000000002E-2</v>
      </c>
      <c r="H43" t="s">
        <v>57</v>
      </c>
      <c r="J43" t="s">
        <v>41</v>
      </c>
    </row>
    <row r="44" spans="1:26" x14ac:dyDescent="0.2">
      <c r="A44" t="s">
        <v>3</v>
      </c>
      <c r="B44" t="s">
        <v>26</v>
      </c>
      <c r="C44" t="s">
        <v>56</v>
      </c>
      <c r="D44">
        <v>1</v>
      </c>
      <c r="E44">
        <v>5</v>
      </c>
      <c r="F44">
        <v>7.1494000000000002E-2</v>
      </c>
      <c r="G44">
        <v>2.4055E-2</v>
      </c>
      <c r="H44" t="s">
        <v>57</v>
      </c>
      <c r="J44" t="s">
        <v>1</v>
      </c>
      <c r="K44" t="s">
        <v>6</v>
      </c>
      <c r="L44" t="s">
        <v>12</v>
      </c>
      <c r="M44" t="s">
        <v>9</v>
      </c>
    </row>
    <row r="45" spans="1:26" x14ac:dyDescent="0.2">
      <c r="A45" t="s">
        <v>3</v>
      </c>
      <c r="B45" t="s">
        <v>28</v>
      </c>
      <c r="C45" t="s">
        <v>56</v>
      </c>
      <c r="D45">
        <v>1</v>
      </c>
      <c r="E45">
        <v>5</v>
      </c>
      <c r="F45">
        <v>3.7434000000000002E-2</v>
      </c>
      <c r="G45">
        <v>1.0548E-2</v>
      </c>
      <c r="H45" t="s">
        <v>57</v>
      </c>
      <c r="J45" t="s">
        <v>11</v>
      </c>
      <c r="K45" t="str" cm="1">
        <f t="array" ref="K45">IFERROR(INDEX($R$3:$R$18, MATCH(1, ($J45=$L$3:$L$18) * (K$44=$J$3:$J$18), 0)), "")</f>
        <v/>
      </c>
      <c r="L45" t="str" cm="1">
        <f t="array" ref="L45">IFERROR(INDEX($R$3:$R$18, MATCH(1, ($J45=$L$3:$L$18) * (L$44=$J$3:$J$18), 0)), "")</f>
        <v/>
      </c>
      <c r="M45" cm="1">
        <f t="array" ref="M45">IFERROR(INDEX($R$3:$R$18, MATCH(1, ($J45=$L$3:$L$18) * (M$44=$J$3:$J$18), 0)), "")</f>
        <v>9.6982758620689655E-2</v>
      </c>
    </row>
    <row r="46" spans="1:26" x14ac:dyDescent="0.2">
      <c r="A46" t="s">
        <v>3</v>
      </c>
      <c r="B46" t="s">
        <v>30</v>
      </c>
      <c r="C46" t="s">
        <v>56</v>
      </c>
      <c r="D46">
        <v>1</v>
      </c>
      <c r="E46">
        <v>5</v>
      </c>
      <c r="F46">
        <v>7.4177999999999994E-2</v>
      </c>
      <c r="G46">
        <v>1.5157E-2</v>
      </c>
      <c r="H46" t="s">
        <v>57</v>
      </c>
      <c r="J46" t="s">
        <v>18</v>
      </c>
      <c r="K46" t="str" cm="1">
        <f t="array" ref="K46">IFERROR(INDEX($R$3:$R$18, MATCH(1, ($J46=$L$3:$L$18) * (K$44=$J$3:$J$18), 0)), "")</f>
        <v/>
      </c>
      <c r="L46" t="str" cm="1">
        <f t="array" ref="L46">IFERROR(INDEX($R$3:$R$18, MATCH(1, ($J46=$L$3:$L$18) * (L$44=$J$3:$J$18), 0)), "")</f>
        <v/>
      </c>
      <c r="M46" cm="1">
        <f t="array" ref="M46">IFERROR(INDEX($R$3:$R$18, MATCH(1, ($J46=$L$3:$L$18) * (M$44=$J$3:$J$18), 0)), "")</f>
        <v>0.19266707620679618</v>
      </c>
    </row>
    <row r="47" spans="1:26" x14ac:dyDescent="0.2">
      <c r="A47" t="s">
        <v>3</v>
      </c>
      <c r="B47" t="s">
        <v>32</v>
      </c>
      <c r="C47" t="s">
        <v>56</v>
      </c>
      <c r="D47">
        <v>1</v>
      </c>
      <c r="E47">
        <v>5</v>
      </c>
      <c r="F47">
        <v>7.8541E-2</v>
      </c>
      <c r="G47">
        <v>2.5336999999999998E-2</v>
      </c>
      <c r="H47" t="s">
        <v>57</v>
      </c>
      <c r="J47" t="s">
        <v>58</v>
      </c>
      <c r="K47" t="str" cm="1">
        <f t="array" ref="K47">IFERROR(INDEX($R$3:$R$18, MATCH(1, ($J47=$L$3:$L$18) * (K$44=$J$3:$J$18), 0)), "")</f>
        <v/>
      </c>
      <c r="L47" t="str" cm="1">
        <f t="array" ref="L47">IFERROR(INDEX($R$3:$R$18, MATCH(1, ($J47=$L$3:$L$18) * (L$44=$J$3:$J$18), 0)), "")</f>
        <v/>
      </c>
      <c r="M47" cm="1">
        <f t="array" ref="M47">IFERROR(INDEX($R$3:$R$18, MATCH(1, ($J47=$L$3:$L$18) * (M$44=$J$3:$J$18), 0)), "")</f>
        <v>0.2921960072595281</v>
      </c>
    </row>
    <row r="48" spans="1:26" x14ac:dyDescent="0.2">
      <c r="A48" t="s">
        <v>3</v>
      </c>
      <c r="B48" t="s">
        <v>34</v>
      </c>
      <c r="C48" t="s">
        <v>56</v>
      </c>
      <c r="D48">
        <v>1</v>
      </c>
      <c r="E48">
        <v>5</v>
      </c>
      <c r="F48">
        <v>6.3945000000000002E-2</v>
      </c>
      <c r="G48">
        <v>9.7370000000000009E-3</v>
      </c>
      <c r="H48" t="s">
        <v>57</v>
      </c>
      <c r="J48" t="s">
        <v>27</v>
      </c>
      <c r="K48" t="str" cm="1">
        <f t="array" ref="K48">IFERROR(INDEX($R$3:$R$18, MATCH(1, ($J48=$L$3:$L$18) * (K$44=$J$3:$J$18), 0)), "")</f>
        <v/>
      </c>
      <c r="L48" t="str" cm="1">
        <f t="array" ref="L48">IFERROR(INDEX($R$3:$R$18, MATCH(1, ($J48=$L$3:$L$18) * (L$44=$J$3:$J$18), 0)), "")</f>
        <v/>
      </c>
      <c r="M48" cm="1">
        <f t="array" ref="M48">IFERROR(INDEX($R$3:$R$18, MATCH(1, ($J48=$L$3:$L$18) * (M$44=$J$3:$J$18), 0)), "")</f>
        <v>0.12074549690323315</v>
      </c>
    </row>
    <row r="49" spans="1:19" x14ac:dyDescent="0.2">
      <c r="A49" t="s">
        <v>3</v>
      </c>
      <c r="B49" t="s">
        <v>36</v>
      </c>
      <c r="C49" t="s">
        <v>56</v>
      </c>
      <c r="D49">
        <v>1</v>
      </c>
      <c r="E49">
        <v>5</v>
      </c>
      <c r="F49">
        <v>3.0089000000000001E-2</v>
      </c>
      <c r="G49">
        <v>2.3456000000000001E-2</v>
      </c>
      <c r="H49" t="s">
        <v>57</v>
      </c>
      <c r="J49" t="s">
        <v>33</v>
      </c>
      <c r="K49" t="str" cm="1">
        <f t="array" ref="K49">IFERROR(INDEX($R$3:$R$18, MATCH(1, ($J49=$L$3:$L$18) * (K$44=$J$3:$J$18), 0)), "")</f>
        <v/>
      </c>
      <c r="L49" t="str" cm="1">
        <f t="array" ref="L49">IFERROR(INDEX($R$3:$R$18, MATCH(1, ($J49=$L$3:$L$18) * (L$44=$J$3:$J$18), 0)), "")</f>
        <v/>
      </c>
      <c r="M49" cm="1">
        <f t="array" ref="M49">IFERROR(INDEX($R$3:$R$18, MATCH(1, ($J49=$L$3:$L$18) * (M$44=$J$3:$J$18), 0)), "")</f>
        <v>0.14961582242458735</v>
      </c>
    </row>
    <row r="50" spans="1:19" x14ac:dyDescent="0.2">
      <c r="A50" t="s">
        <v>3</v>
      </c>
      <c r="B50" t="s">
        <v>38</v>
      </c>
      <c r="C50" t="s">
        <v>56</v>
      </c>
      <c r="D50">
        <v>1</v>
      </c>
      <c r="E50">
        <v>5</v>
      </c>
      <c r="F50">
        <v>0.14585999999999999</v>
      </c>
      <c r="G50">
        <v>2.6071E-2</v>
      </c>
      <c r="H50" t="s">
        <v>57</v>
      </c>
      <c r="J50" t="s">
        <v>14</v>
      </c>
      <c r="K50" t="str" cm="1">
        <f t="array" ref="K50">IFERROR(INDEX($R$3:$R$18, MATCH(1, ($J50=$L$3:$L$18) * (K$44=$J$3:$J$18), 0)), "")</f>
        <v/>
      </c>
      <c r="L50" cm="1">
        <f t="array" ref="L50">IFERROR(INDEX($R$3:$R$18, MATCH(1, ($J50=$L$3:$L$18) * (L$44=$J$3:$J$18), 0)), "")</f>
        <v>0.27137917787168653</v>
      </c>
      <c r="M50" t="str" cm="1">
        <f t="array" ref="M50">IFERROR(INDEX($R$3:$R$18, MATCH(1, ($J50=$L$3:$L$18) * (M$44=$J$3:$J$18), 0)), "")</f>
        <v/>
      </c>
    </row>
    <row r="51" spans="1:19" x14ac:dyDescent="0.2">
      <c r="A51" t="s">
        <v>2</v>
      </c>
      <c r="B51" t="s">
        <v>7</v>
      </c>
      <c r="C51" t="s">
        <v>56</v>
      </c>
      <c r="D51">
        <v>1</v>
      </c>
      <c r="E51">
        <v>5</v>
      </c>
      <c r="F51">
        <v>7.273E-3</v>
      </c>
      <c r="G51">
        <v>1.0325000000000001E-2</v>
      </c>
      <c r="H51" t="s">
        <v>57</v>
      </c>
      <c r="J51" t="s">
        <v>16</v>
      </c>
      <c r="K51" t="str" cm="1">
        <f t="array" ref="K51">IFERROR(INDEX($R$3:$R$18, MATCH(1, ($J51=$L$3:$L$18) * (K$44=$J$3:$J$18), 0)), "")</f>
        <v/>
      </c>
      <c r="L51" cm="1">
        <f t="array" ref="L51">IFERROR(INDEX($R$3:$R$18, MATCH(1, ($J51=$L$3:$L$18) * (L$44=$J$3:$J$18), 0)), "")</f>
        <v>0.21015924677438103</v>
      </c>
      <c r="M51" t="str" cm="1">
        <f t="array" ref="M51">IFERROR(INDEX($R$3:$R$18, MATCH(1, ($J51=$L$3:$L$18) * (M$44=$J$3:$J$18), 0)), "")</f>
        <v/>
      </c>
    </row>
    <row r="52" spans="1:19" x14ac:dyDescent="0.2">
      <c r="A52" t="s">
        <v>2</v>
      </c>
      <c r="B52" t="s">
        <v>10</v>
      </c>
      <c r="C52" t="s">
        <v>56</v>
      </c>
      <c r="D52">
        <v>1</v>
      </c>
      <c r="E52">
        <v>5</v>
      </c>
      <c r="F52">
        <v>1.4848E-2</v>
      </c>
      <c r="G52">
        <v>7.3220000000000004E-3</v>
      </c>
      <c r="H52" t="s">
        <v>57</v>
      </c>
      <c r="J52" t="s">
        <v>20</v>
      </c>
      <c r="K52" t="str" cm="1">
        <f t="array" ref="K52">IFERROR(INDEX($R$3:$R$18, MATCH(1, ($J52=$L$3:$L$18) * (K$44=$J$3:$J$18), 0)), "")</f>
        <v/>
      </c>
      <c r="L52" cm="1">
        <f t="array" ref="L52">IFERROR(INDEX($R$3:$R$18, MATCH(1, ($J52=$L$3:$L$18) * (L$44=$J$3:$J$18), 0)), "")</f>
        <v>0.24170376365843788</v>
      </c>
      <c r="M52" t="str" cm="1">
        <f t="array" ref="M52">IFERROR(INDEX($R$3:$R$18, MATCH(1, ($J52=$L$3:$L$18) * (M$44=$J$3:$J$18), 0)), "")</f>
        <v/>
      </c>
    </row>
    <row r="53" spans="1:19" x14ac:dyDescent="0.2">
      <c r="A53" t="s">
        <v>2</v>
      </c>
      <c r="B53" t="s">
        <v>13</v>
      </c>
      <c r="C53" t="s">
        <v>56</v>
      </c>
      <c r="D53">
        <v>1</v>
      </c>
      <c r="E53">
        <v>5</v>
      </c>
      <c r="F53">
        <v>1.3015000000000001E-2</v>
      </c>
      <c r="G53">
        <v>8.1419999999999999E-3</v>
      </c>
      <c r="H53" t="s">
        <v>57</v>
      </c>
      <c r="J53" t="s">
        <v>39</v>
      </c>
      <c r="K53" t="str" cm="1">
        <f t="array" ref="K53">IFERROR(INDEX($R$3:$R$18, MATCH(1, ($J53=$L$3:$L$18) * (K$44=$J$3:$J$18), 0)), "")</f>
        <v/>
      </c>
      <c r="L53" cm="1">
        <f t="array" ref="L53">IFERROR(INDEX($R$3:$R$18, MATCH(1, ($J53=$L$3:$L$18) * (L$44=$J$3:$J$18), 0)), "")</f>
        <v>0.17950587282300526</v>
      </c>
      <c r="M53" t="str" cm="1">
        <f t="array" ref="M53">IFERROR(INDEX($R$3:$R$18, MATCH(1, ($J53=$L$3:$L$18) * (M$44=$J$3:$J$18), 0)), "")</f>
        <v/>
      </c>
      <c r="S53" t="s">
        <v>62</v>
      </c>
    </row>
    <row r="54" spans="1:19" x14ac:dyDescent="0.2">
      <c r="A54" t="s">
        <v>2</v>
      </c>
      <c r="B54" t="s">
        <v>15</v>
      </c>
      <c r="C54" t="s">
        <v>56</v>
      </c>
      <c r="D54">
        <v>1</v>
      </c>
      <c r="E54">
        <v>5</v>
      </c>
      <c r="F54">
        <v>8.6029999999999995E-3</v>
      </c>
      <c r="G54">
        <v>8.1659999999999996E-3</v>
      </c>
      <c r="H54" t="s">
        <v>57</v>
      </c>
      <c r="J54" t="s">
        <v>22</v>
      </c>
      <c r="K54" t="str" cm="1">
        <f t="array" ref="K54">IFERROR(INDEX($R$3:$R$18, MATCH(1, ($J54=$L$3:$L$18) * (K$44=$J$3:$J$18), 0)), "")</f>
        <v/>
      </c>
      <c r="L54" cm="1">
        <f t="array" ref="L54">IFERROR(INDEX($R$3:$R$18, MATCH(1, ($J54=$L$3:$L$18) * (L$44=$J$3:$J$18), 0)), "")</f>
        <v>9.321229156379382E-2</v>
      </c>
      <c r="M54" t="str" cm="1">
        <f t="array" ref="M54">IFERROR(INDEX($R$3:$R$18, MATCH(1, ($J54=$L$3:$L$18) * (M$44=$J$3:$J$18), 0)), "")</f>
        <v/>
      </c>
    </row>
    <row r="55" spans="1:19" x14ac:dyDescent="0.2">
      <c r="A55" t="s">
        <v>2</v>
      </c>
      <c r="B55" t="s">
        <v>17</v>
      </c>
      <c r="C55" t="s">
        <v>56</v>
      </c>
      <c r="D55">
        <v>1</v>
      </c>
      <c r="E55">
        <v>5</v>
      </c>
      <c r="F55">
        <v>3.0929000000000002E-2</v>
      </c>
      <c r="G55">
        <v>1.0462000000000001E-2</v>
      </c>
      <c r="H55" t="s">
        <v>57</v>
      </c>
      <c r="J55" t="s">
        <v>25</v>
      </c>
      <c r="K55" t="str" cm="1">
        <f t="array" ref="K55">IFERROR(INDEX($R$3:$R$18, MATCH(1, ($J55=$L$3:$L$18) * (K$44=$J$3:$J$18), 0)), "")</f>
        <v/>
      </c>
      <c r="L55" cm="1">
        <f t="array" ref="L55">IFERROR(INDEX($R$3:$R$18, MATCH(1, ($J55=$L$3:$L$18) * (L$44=$J$3:$J$18), 0)), "")</f>
        <v>0.22132024977698486</v>
      </c>
      <c r="M55" t="str" cm="1">
        <f t="array" ref="M55">IFERROR(INDEX($R$3:$R$18, MATCH(1, ($J55=$L$3:$L$18) * (M$44=$J$3:$J$18), 0)), "")</f>
        <v/>
      </c>
    </row>
    <row r="56" spans="1:19" x14ac:dyDescent="0.2">
      <c r="A56" t="s">
        <v>2</v>
      </c>
      <c r="B56" t="s">
        <v>19</v>
      </c>
      <c r="C56" t="s">
        <v>56</v>
      </c>
      <c r="D56">
        <v>1</v>
      </c>
      <c r="E56">
        <v>5</v>
      </c>
      <c r="F56">
        <v>9.8840000000000004E-3</v>
      </c>
      <c r="G56">
        <v>9.4570000000000001E-3</v>
      </c>
      <c r="H56" t="s">
        <v>57</v>
      </c>
      <c r="J56" t="s">
        <v>29</v>
      </c>
      <c r="K56" t="str" cm="1">
        <f t="array" ref="K56">IFERROR(INDEX($R$3:$R$18, MATCH(1, ($J56=$L$3:$L$18) * (K$44=$J$3:$J$18), 0)), "")</f>
        <v/>
      </c>
      <c r="L56" cm="1">
        <f t="array" ref="L56">IFERROR(INDEX($R$3:$R$18, MATCH(1, ($J56=$L$3:$L$18) * (L$44=$J$3:$J$18), 0)), "")</f>
        <v>0.31672235943629229</v>
      </c>
      <c r="M56" t="str" cm="1">
        <f t="array" ref="M56">IFERROR(INDEX($R$3:$R$18, MATCH(1, ($J56=$L$3:$L$18) * (M$44=$J$3:$J$18), 0)), "")</f>
        <v/>
      </c>
    </row>
    <row r="57" spans="1:19" x14ac:dyDescent="0.2">
      <c r="A57" t="s">
        <v>2</v>
      </c>
      <c r="B57" t="s">
        <v>21</v>
      </c>
      <c r="C57" t="s">
        <v>56</v>
      </c>
      <c r="D57">
        <v>1</v>
      </c>
      <c r="E57">
        <v>5</v>
      </c>
      <c r="F57">
        <v>2.6327E-2</v>
      </c>
      <c r="G57">
        <v>1.5432E-2</v>
      </c>
      <c r="H57" t="s">
        <v>57</v>
      </c>
      <c r="J57" t="s">
        <v>31</v>
      </c>
      <c r="K57" t="str" cm="1">
        <f t="array" ref="K57">IFERROR(INDEX($R$3:$R$18, MATCH(1, ($J57=$L$3:$L$18) * (K$44=$J$3:$J$18), 0)), "")</f>
        <v/>
      </c>
      <c r="L57" cm="1">
        <f t="array" ref="L57">IFERROR(INDEX($R$3:$R$18, MATCH(1, ($J57=$L$3:$L$18) * (L$44=$J$3:$J$18), 0)), "")</f>
        <v>0.39082011474856571</v>
      </c>
      <c r="M57" t="str" cm="1">
        <f t="array" ref="M57">IFERROR(INDEX($R$3:$R$18, MATCH(1, ($J57=$L$3:$L$18) * (M$44=$J$3:$J$18), 0)), "")</f>
        <v/>
      </c>
    </row>
    <row r="58" spans="1:19" x14ac:dyDescent="0.2">
      <c r="A58" t="s">
        <v>2</v>
      </c>
      <c r="B58" t="s">
        <v>23</v>
      </c>
      <c r="C58" t="s">
        <v>56</v>
      </c>
      <c r="D58">
        <v>1</v>
      </c>
      <c r="E58">
        <v>5</v>
      </c>
      <c r="F58">
        <v>7.1630000000000001E-3</v>
      </c>
      <c r="G58">
        <v>6.6249999999999998E-3</v>
      </c>
      <c r="H58" t="s">
        <v>57</v>
      </c>
      <c r="J58" t="s">
        <v>8</v>
      </c>
      <c r="K58" cm="1">
        <f t="array" ref="K58">IFERROR(INDEX($R$3:$R$18, MATCH(1, ($J58=$L$3:$L$18) * (K$44=$J$3:$J$18), 0)), "")</f>
        <v>0.19043035886154269</v>
      </c>
      <c r="L58" t="str" cm="1">
        <f t="array" ref="L58">IFERROR(INDEX($R$3:$R$18, MATCH(1, ($J58=$L$3:$L$18) * (L$44=$J$3:$J$18), 0)), "")</f>
        <v/>
      </c>
      <c r="M58" t="str" cm="1">
        <f t="array" ref="M58">IFERROR(INDEX($R$3:$R$18, MATCH(1, ($J58=$L$3:$L$18) * (M$44=$J$3:$J$18), 0)), "")</f>
        <v/>
      </c>
    </row>
    <row r="59" spans="1:19" x14ac:dyDescent="0.2">
      <c r="A59" t="s">
        <v>2</v>
      </c>
      <c r="B59" t="s">
        <v>24</v>
      </c>
      <c r="C59" t="s">
        <v>56</v>
      </c>
      <c r="D59">
        <v>1</v>
      </c>
      <c r="E59">
        <v>5</v>
      </c>
      <c r="F59">
        <v>1.1209999999999999E-2</v>
      </c>
      <c r="G59">
        <v>1.2256E-2</v>
      </c>
      <c r="H59" t="s">
        <v>57</v>
      </c>
      <c r="J59" t="s">
        <v>35</v>
      </c>
      <c r="K59" cm="1">
        <f t="array" ref="K59">IFERROR(INDEX($R$3:$R$18, MATCH(1, ($J59=$L$3:$L$18) * (K$44=$J$3:$J$18), 0)), "")</f>
        <v>0.1908377837116155</v>
      </c>
      <c r="L59" t="str" cm="1">
        <f t="array" ref="L59">IFERROR(INDEX($R$3:$R$18, MATCH(1, ($J59=$L$3:$L$18) * (L$44=$J$3:$J$18), 0)), "")</f>
        <v/>
      </c>
      <c r="M59" t="str" cm="1">
        <f t="array" ref="M59">IFERROR(INDEX($R$3:$R$18, MATCH(1, ($J59=$L$3:$L$18) * (M$44=$J$3:$J$18), 0)), "")</f>
        <v/>
      </c>
    </row>
    <row r="60" spans="1:19" x14ac:dyDescent="0.2">
      <c r="A60" t="s">
        <v>2</v>
      </c>
      <c r="B60" t="s">
        <v>26</v>
      </c>
      <c r="C60" t="s">
        <v>56</v>
      </c>
      <c r="D60">
        <v>1</v>
      </c>
      <c r="E60">
        <v>5</v>
      </c>
      <c r="F60">
        <v>1.7599E-2</v>
      </c>
      <c r="G60">
        <v>1.3006E-2</v>
      </c>
      <c r="H60" t="s">
        <v>57</v>
      </c>
      <c r="J60" t="s">
        <v>37</v>
      </c>
      <c r="K60" cm="1">
        <f t="array" ref="K60">IFERROR(INDEX($R$3:$R$18, MATCH(1, ($J60=$L$3:$L$18) * (K$44=$J$3:$J$18), 0)), "")</f>
        <v>0.10362520914668154</v>
      </c>
      <c r="L60" t="str" cm="1">
        <f t="array" ref="L60">IFERROR(INDEX($R$3:$R$18, MATCH(1, ($J60=$L$3:$L$18) * (L$44=$J$3:$J$18), 0)), "")</f>
        <v/>
      </c>
      <c r="M60" t="str" cm="1">
        <f t="array" ref="M60">IFERROR(INDEX($R$3:$R$18, MATCH(1, ($J60=$L$3:$L$18) * (M$44=$J$3:$J$18), 0)), "")</f>
        <v/>
      </c>
    </row>
    <row r="61" spans="1:19" x14ac:dyDescent="0.2">
      <c r="A61" t="s">
        <v>2</v>
      </c>
      <c r="B61" t="s">
        <v>28</v>
      </c>
      <c r="C61" t="s">
        <v>56</v>
      </c>
      <c r="D61">
        <v>1</v>
      </c>
      <c r="E61">
        <v>5</v>
      </c>
      <c r="F61">
        <v>6.8830000000000002E-3</v>
      </c>
      <c r="G61">
        <v>5.4079999999999996E-3</v>
      </c>
      <c r="H61" t="s">
        <v>57</v>
      </c>
    </row>
    <row r="62" spans="1:19" x14ac:dyDescent="0.2">
      <c r="A62" t="s">
        <v>2</v>
      </c>
      <c r="B62" t="s">
        <v>30</v>
      </c>
      <c r="C62" t="s">
        <v>56</v>
      </c>
      <c r="D62">
        <v>1</v>
      </c>
      <c r="E62">
        <v>5</v>
      </c>
      <c r="F62">
        <v>8.8889999999999993E-3</v>
      </c>
      <c r="G62">
        <v>7.1850000000000004E-3</v>
      </c>
      <c r="H62" t="s">
        <v>57</v>
      </c>
      <c r="J62" t="s">
        <v>5</v>
      </c>
    </row>
    <row r="63" spans="1:19" x14ac:dyDescent="0.2">
      <c r="A63" t="s">
        <v>2</v>
      </c>
      <c r="B63" t="s">
        <v>32</v>
      </c>
      <c r="C63" t="s">
        <v>56</v>
      </c>
      <c r="D63">
        <v>1</v>
      </c>
      <c r="E63">
        <v>5</v>
      </c>
      <c r="F63">
        <v>1.4056000000000001E-2</v>
      </c>
      <c r="G63">
        <v>9.4079999999999997E-3</v>
      </c>
      <c r="H63" t="s">
        <v>57</v>
      </c>
      <c r="J63" t="s">
        <v>1</v>
      </c>
      <c r="K63" t="s">
        <v>6</v>
      </c>
      <c r="L63" t="s">
        <v>12</v>
      </c>
      <c r="M63" t="s">
        <v>9</v>
      </c>
    </row>
    <row r="64" spans="1:19" x14ac:dyDescent="0.2">
      <c r="A64" t="s">
        <v>2</v>
      </c>
      <c r="B64" t="s">
        <v>34</v>
      </c>
      <c r="C64" t="s">
        <v>56</v>
      </c>
      <c r="D64">
        <v>1</v>
      </c>
      <c r="E64">
        <v>5</v>
      </c>
      <c r="F64">
        <v>1.1984E-2</v>
      </c>
      <c r="G64">
        <v>3.7859999999999999E-3</v>
      </c>
      <c r="H64" t="s">
        <v>57</v>
      </c>
      <c r="J64" t="s">
        <v>11</v>
      </c>
      <c r="K64" t="str" cm="1">
        <f t="array" ref="K64">IFERROR(INDEX($S$3:$S$18, MATCH(1, ($J45=$L$3:$L$18) * (K$44=$J$3:$J$18), 0)), "")</f>
        <v/>
      </c>
      <c r="L64" t="str" cm="1">
        <f t="array" ref="L64">IFERROR(INDEX($S$3:$S$18, MATCH(1, ($J45=$L$3:$L$18) * (L$44=$J$3:$J$18), 0)), "")</f>
        <v/>
      </c>
      <c r="M64" cm="1">
        <f t="array" ref="M64">IFERROR(INDEX($S$3:$S$18, MATCH(1, ($J45=$L$3:$L$18) * (M$44=$J$3:$J$18), 0)), "")</f>
        <v>0.9514412715517242</v>
      </c>
    </row>
    <row r="65" spans="1:13" x14ac:dyDescent="0.2">
      <c r="A65" t="s">
        <v>2</v>
      </c>
      <c r="B65" t="s">
        <v>36</v>
      </c>
      <c r="C65" t="s">
        <v>56</v>
      </c>
      <c r="D65">
        <v>1</v>
      </c>
      <c r="E65">
        <v>5</v>
      </c>
      <c r="F65">
        <v>8.9650000000000007E-3</v>
      </c>
      <c r="G65">
        <v>5.9550000000000002E-3</v>
      </c>
      <c r="H65" t="s">
        <v>57</v>
      </c>
      <c r="J65" t="s">
        <v>18</v>
      </c>
      <c r="K65" t="str" cm="1">
        <f t="array" ref="K65">IFERROR(INDEX($S$3:$S$18, MATCH(1, ($J46=$L$3:$L$18) * (K$44=$J$3:$J$18), 0)), "")</f>
        <v/>
      </c>
      <c r="L65" t="str" cm="1">
        <f t="array" ref="L65">IFERROR(INDEX($S$3:$S$18, MATCH(1, ($J46=$L$3:$L$18) * (L$44=$J$3:$J$18), 0)), "")</f>
        <v/>
      </c>
      <c r="M65" cm="1">
        <f t="array" ref="M65">IFERROR(INDEX($S$3:$S$18, MATCH(1, ($J46=$L$3:$L$18) * (M$44=$J$3:$J$18), 0)), "")</f>
        <v>0.90620453296259174</v>
      </c>
    </row>
    <row r="66" spans="1:13" x14ac:dyDescent="0.2">
      <c r="A66" t="s">
        <v>2</v>
      </c>
      <c r="B66" t="s">
        <v>38</v>
      </c>
      <c r="C66" t="s">
        <v>56</v>
      </c>
      <c r="D66">
        <v>1</v>
      </c>
      <c r="E66">
        <v>5</v>
      </c>
      <c r="F66">
        <v>1.2345E-2</v>
      </c>
      <c r="G66">
        <v>6.8250000000000003E-3</v>
      </c>
      <c r="H66" t="s">
        <v>57</v>
      </c>
      <c r="J66" t="s">
        <v>58</v>
      </c>
      <c r="K66" t="str" cm="1">
        <f t="array" ref="K66">IFERROR(INDEX($S$3:$S$18, MATCH(1, ($J47=$L$3:$L$18) * (K$44=$J$3:$J$18), 0)), "")</f>
        <v/>
      </c>
      <c r="L66" t="str" cm="1">
        <f t="array" ref="L66">IFERROR(INDEX($S$3:$S$18, MATCH(1, ($J47=$L$3:$L$18) * (L$44=$J$3:$J$18), 0)), "")</f>
        <v/>
      </c>
      <c r="M66" cm="1">
        <f t="array" ref="M66">IFERROR(INDEX($S$3:$S$18, MATCH(1, ($J47=$L$3:$L$18) * (M$44=$J$3:$J$18), 0)), "")</f>
        <v>0.65014658662571545</v>
      </c>
    </row>
    <row r="67" spans="1:13" x14ac:dyDescent="0.2">
      <c r="J67" t="s">
        <v>27</v>
      </c>
      <c r="K67" t="str" cm="1">
        <f t="array" ref="K67">IFERROR(INDEX($S$3:$S$18, MATCH(1, ($J48=$L$3:$L$18) * (K$44=$J$3:$J$18), 0)), "")</f>
        <v/>
      </c>
      <c r="L67" t="str" cm="1">
        <f t="array" ref="L67">IFERROR(INDEX($S$3:$S$18, MATCH(1, ($J48=$L$3:$L$18) * (L$44=$J$3:$J$18), 0)), "")</f>
        <v/>
      </c>
      <c r="M67" cm="1">
        <f t="array" ref="M67">IFERROR(INDEX($S$3:$S$18, MATCH(1, ($J48=$L$3:$L$18) * (M$44=$J$3:$J$18), 0)), "")</f>
        <v>0.72595033808739129</v>
      </c>
    </row>
    <row r="68" spans="1:13" x14ac:dyDescent="0.2">
      <c r="J68" t="s">
        <v>33</v>
      </c>
      <c r="K68" t="str" cm="1">
        <f t="array" ref="K68">IFERROR(INDEX($S$3:$S$18, MATCH(1, ($J49=$L$3:$L$18) * (K$44=$J$3:$J$18), 0)), "")</f>
        <v/>
      </c>
      <c r="L68" t="str" cm="1">
        <f t="array" ref="L68">IFERROR(INDEX($S$3:$S$18, MATCH(1, ($J49=$L$3:$L$18) * (L$44=$J$3:$J$18), 0)), "")</f>
        <v/>
      </c>
      <c r="M68" cm="1">
        <f t="array" ref="M68">IFERROR(INDEX($S$3:$S$18, MATCH(1, ($J49=$L$3:$L$18) * (M$44=$J$3:$J$18), 0)), "")</f>
        <v>1.0206317586795672</v>
      </c>
    </row>
    <row r="69" spans="1:13" x14ac:dyDescent="0.2">
      <c r="J69" t="s">
        <v>14</v>
      </c>
      <c r="K69" t="str" cm="1">
        <f t="array" ref="K69">IFERROR(INDEX($S$3:$S$18, MATCH(1, ($J50=$L$3:$L$18) * (K$44=$J$3:$J$18), 0)), "")</f>
        <v/>
      </c>
      <c r="L69" cm="1">
        <f t="array" ref="L69">IFERROR(INDEX($S$3:$S$18, MATCH(1, ($J50=$L$3:$L$18) * (L$44=$J$3:$J$18), 0)), "")</f>
        <v>0.75766423357664225</v>
      </c>
      <c r="M69" t="str" cm="1">
        <f t="array" ref="M69">IFERROR(INDEX($S$3:$S$18, MATCH(1, ($J50=$L$3:$L$18) * (M$44=$J$3:$J$18), 0)), "")</f>
        <v/>
      </c>
    </row>
    <row r="70" spans="1:13" x14ac:dyDescent="0.2">
      <c r="J70" t="s">
        <v>16</v>
      </c>
      <c r="K70" t="str" cm="1">
        <f t="array" ref="K70">IFERROR(INDEX($S$3:$S$18, MATCH(1, ($J51=$L$3:$L$18) * (K$44=$J$3:$J$18), 0)), "")</f>
        <v/>
      </c>
      <c r="L70" cm="1">
        <f t="array" ref="L70">IFERROR(INDEX($S$3:$S$18, MATCH(1, ($J51=$L$3:$L$18) * (L$44=$J$3:$J$18), 0)), "")</f>
        <v>0.99232825758456356</v>
      </c>
      <c r="M70" t="str" cm="1">
        <f t="array" ref="M70">IFERROR(INDEX($S$3:$S$18, MATCH(1, ($J51=$L$3:$L$18) * (M$44=$J$3:$J$18), 0)), "")</f>
        <v/>
      </c>
    </row>
    <row r="71" spans="1:13" x14ac:dyDescent="0.2">
      <c r="J71" t="s">
        <v>20</v>
      </c>
      <c r="K71" t="str" cm="1">
        <f t="array" ref="K71">IFERROR(INDEX($S$3:$S$18, MATCH(1, ($J52=$L$3:$L$18) * (K$44=$J$3:$J$18), 0)), "")</f>
        <v/>
      </c>
      <c r="L71" cm="1">
        <f t="array" ref="L71">IFERROR(INDEX($S$3:$S$18, MATCH(1, ($J52=$L$3:$L$18) * (L$44=$J$3:$J$18), 0)), "")</f>
        <v>1.0780048563334681</v>
      </c>
      <c r="M71" t="str" cm="1">
        <f t="array" ref="M71">IFERROR(INDEX($S$3:$S$18, MATCH(1, ($J52=$L$3:$L$18) * (M$44=$J$3:$J$18), 0)), "")</f>
        <v/>
      </c>
    </row>
    <row r="72" spans="1:13" x14ac:dyDescent="0.2">
      <c r="J72" t="s">
        <v>39</v>
      </c>
      <c r="K72" t="str" cm="1">
        <f t="array" ref="K72">IFERROR(INDEX($S$3:$S$18, MATCH(1, ($J53=$L$3:$L$18) * (K$44=$J$3:$J$18), 0)), "")</f>
        <v/>
      </c>
      <c r="L72" cm="1">
        <f t="array" ref="L72">IFERROR(INDEX($S$3:$S$18, MATCH(1, ($J53=$L$3:$L$18) * (L$44=$J$3:$J$18), 0)), "")</f>
        <v>0.62179019846091532</v>
      </c>
      <c r="M72" t="str" cm="1">
        <f t="array" ref="M72">IFERROR(INDEX($S$3:$S$18, MATCH(1, ($J53=$L$3:$L$18) * (M$44=$J$3:$J$18), 0)), "")</f>
        <v/>
      </c>
    </row>
    <row r="73" spans="1:13" x14ac:dyDescent="0.2">
      <c r="J73" t="s">
        <v>22</v>
      </c>
      <c r="K73" t="str" cm="1">
        <f t="array" ref="K73">IFERROR(INDEX($S$3:$S$18, MATCH(1, ($J54=$L$3:$L$18) * (K$44=$J$3:$J$18), 0)), "")</f>
        <v/>
      </c>
      <c r="L73" cm="1">
        <f t="array" ref="L73">IFERROR(INDEX($S$3:$S$18, MATCH(1, ($J54=$L$3:$L$18) * (L$44=$J$3:$J$18), 0)), "")</f>
        <v>0.79583697344931059</v>
      </c>
      <c r="M73" t="str" cm="1">
        <f t="array" ref="M73">IFERROR(INDEX($S$3:$S$18, MATCH(1, ($J54=$L$3:$L$18) * (M$44=$J$3:$J$18), 0)), "")</f>
        <v/>
      </c>
    </row>
    <row r="74" spans="1:13" x14ac:dyDescent="0.2">
      <c r="J74" t="s">
        <v>25</v>
      </c>
      <c r="K74" t="str" cm="1">
        <f t="array" ref="K74">IFERROR(INDEX($S$3:$S$18, MATCH(1, ($J55=$L$3:$L$18) * (K$44=$J$3:$J$18), 0)), "")</f>
        <v/>
      </c>
      <c r="L74" cm="1">
        <f t="array" ref="L74">IFERROR(INDEX($S$3:$S$18, MATCH(1, ($J55=$L$3:$L$18) * (L$44=$J$3:$J$18), 0)), "")</f>
        <v>0.85093666369313126</v>
      </c>
      <c r="M74" t="str" cm="1">
        <f t="array" ref="M74">IFERROR(INDEX($S$3:$S$18, MATCH(1, ($J55=$L$3:$L$18) * (M$44=$J$3:$J$18), 0)), "")</f>
        <v/>
      </c>
    </row>
    <row r="75" spans="1:13" x14ac:dyDescent="0.2">
      <c r="J75" t="s">
        <v>29</v>
      </c>
      <c r="K75" t="str" cm="1">
        <f t="array" ref="K75">IFERROR(INDEX($S$3:$S$18, MATCH(1, ($J56=$L$3:$L$18) * (K$44=$J$3:$J$18), 0)), "")</f>
        <v/>
      </c>
      <c r="L75" cm="1">
        <f t="array" ref="L75">IFERROR(INDEX($S$3:$S$18, MATCH(1, ($J56=$L$3:$L$18) * (L$44=$J$3:$J$18), 0)), "")</f>
        <v>0.85297108818829004</v>
      </c>
      <c r="M75" t="str" cm="1">
        <f t="array" ref="M75">IFERROR(INDEX($S$3:$S$18, MATCH(1, ($J56=$L$3:$L$18) * (M$44=$J$3:$J$18), 0)), "")</f>
        <v/>
      </c>
    </row>
    <row r="76" spans="1:13" x14ac:dyDescent="0.2">
      <c r="J76" t="s">
        <v>31</v>
      </c>
      <c r="K76" t="str" cm="1">
        <f t="array" ref="K76">IFERROR(INDEX($S$3:$S$18, MATCH(1, ($J57=$L$3:$L$18) * (K$44=$J$3:$J$18), 0)), "")</f>
        <v/>
      </c>
      <c r="L76" cm="1">
        <f t="array" ref="L76">IFERROR(INDEX($S$3:$S$18, MATCH(1, ($J57=$L$3:$L$18) * (L$44=$J$3:$J$18), 0)), "")</f>
        <v>0.67285408932388358</v>
      </c>
      <c r="M76" t="str" cm="1">
        <f t="array" ref="M76">IFERROR(INDEX($S$3:$S$18, MATCH(1, ($J57=$L$3:$L$18) * (M$44=$J$3:$J$18), 0)), "")</f>
        <v/>
      </c>
    </row>
    <row r="77" spans="1:13" x14ac:dyDescent="0.2">
      <c r="J77" t="s">
        <v>8</v>
      </c>
      <c r="K77" cm="1">
        <f t="array" ref="K77">IFERROR(INDEX($S$3:$S$18, MATCH(1, ($J58=$L$3:$L$18) * (K$44=$J$3:$J$18), 0)), "")</f>
        <v>0.78963288876667126</v>
      </c>
      <c r="L77" t="str" cm="1">
        <f t="array" ref="L77">IFERROR(INDEX($S$3:$S$18, MATCH(1, ($J58=$L$3:$L$18) * (L$44=$J$3:$J$18), 0)), "")</f>
        <v/>
      </c>
      <c r="M77" t="str" cm="1">
        <f t="array" ref="M77">IFERROR(INDEX($S$3:$S$18, MATCH(1, ($J58=$L$3:$L$18) * (M$44=$J$3:$J$18), 0)), "")</f>
        <v/>
      </c>
    </row>
    <row r="78" spans="1:13" x14ac:dyDescent="0.2">
      <c r="J78" t="s">
        <v>35</v>
      </c>
      <c r="K78" cm="1">
        <f t="array" ref="K78">IFERROR(INDEX($S$3:$S$18, MATCH(1, ($J59=$L$3:$L$18) * (K$44=$J$3:$J$18), 0)), "")</f>
        <v>0.70635847797062756</v>
      </c>
      <c r="L78" t="str" cm="1">
        <f t="array" ref="L78">IFERROR(INDEX($S$3:$S$18, MATCH(1, ($J59=$L$3:$L$18) * (L$44=$J$3:$J$18), 0)), "")</f>
        <v/>
      </c>
      <c r="M78" t="str" cm="1">
        <f t="array" ref="M78">IFERROR(INDEX($S$3:$S$18, MATCH(1, ($J59=$L$3:$L$18) * (M$44=$J$3:$J$18), 0)), "")</f>
        <v/>
      </c>
    </row>
    <row r="79" spans="1:13" x14ac:dyDescent="0.2">
      <c r="J79" t="s">
        <v>37</v>
      </c>
      <c r="K79" cm="1">
        <f t="array" ref="K79">IFERROR(INDEX($S$3:$S$18, MATCH(1, ($J60=$L$3:$L$18) * (K$44=$J$3:$J$18), 0)), "")</f>
        <v>0.47105409927495817</v>
      </c>
      <c r="L79" t="str" cm="1">
        <f t="array" ref="L79">IFERROR(INDEX($S$3:$S$18, MATCH(1, ($J60=$L$3:$L$18) * (L$44=$J$3:$J$18), 0)), "")</f>
        <v/>
      </c>
      <c r="M79" t="str" cm="1">
        <f t="array" ref="M79">IFERROR(INDEX($S$3:$S$18, MATCH(1, ($J60=$L$3:$L$18) * (M$44=$J$3:$J$18), 0)),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6DFE-E7F0-FD45-AC8E-89003ECEC41D}">
  <dimension ref="A1:Z79"/>
  <sheetViews>
    <sheetView zoomScale="87" workbookViewId="0">
      <selection activeCell="F7" sqref="F7"/>
    </sheetView>
  </sheetViews>
  <sheetFormatPr baseColWidth="10" defaultRowHeight="16" x14ac:dyDescent="0.2"/>
  <cols>
    <col min="2" max="2" width="12.5" bestFit="1" customWidth="1"/>
    <col min="3" max="3" width="7.5" bestFit="1" customWidth="1"/>
    <col min="4" max="4" width="8" bestFit="1" customWidth="1"/>
    <col min="5" max="5" width="5.83203125" bestFit="1" customWidth="1"/>
    <col min="6" max="6" width="17" bestFit="1" customWidth="1"/>
    <col min="7" max="7" width="10.1640625" bestFit="1" customWidth="1"/>
    <col min="8" max="8" width="4.6640625" bestFit="1" customWidth="1"/>
    <col min="10" max="10" width="12.83203125" bestFit="1" customWidth="1"/>
    <col min="11" max="11" width="12.5" bestFit="1" customWidth="1"/>
    <col min="12" max="13" width="12.1640625" bestFit="1" customWidth="1"/>
    <col min="14" max="14" width="9.1640625" bestFit="1" customWidth="1"/>
    <col min="15" max="15" width="12" bestFit="1" customWidth="1"/>
    <col min="16" max="16" width="13.33203125" bestFit="1" customWidth="1"/>
    <col min="17" max="17" width="28.33203125" bestFit="1" customWidth="1"/>
    <col min="18" max="18" width="22" bestFit="1" customWidth="1"/>
    <col min="19" max="19" width="22.33203125" bestFit="1" customWidth="1"/>
    <col min="20" max="20" width="30.83203125" bestFit="1" customWidth="1"/>
    <col min="21" max="21" width="28.33203125" bestFit="1" customWidth="1"/>
    <col min="22" max="22" width="22" bestFit="1" customWidth="1"/>
    <col min="23" max="23" width="16.33203125" bestFit="1" customWidth="1"/>
    <col min="24" max="24" width="37" bestFit="1" customWidth="1"/>
    <col min="25" max="25" width="12.83203125" bestFit="1" customWidth="1"/>
    <col min="26" max="26" width="6" bestFit="1" customWidth="1"/>
  </cols>
  <sheetData>
    <row r="1" spans="1:23" ht="65" x14ac:dyDescent="0.75">
      <c r="A1" s="14" t="s">
        <v>137</v>
      </c>
      <c r="B1" s="15"/>
      <c r="C1" s="15"/>
      <c r="D1" s="15"/>
      <c r="E1" s="15"/>
      <c r="F1" s="15"/>
      <c r="G1" s="15"/>
      <c r="H1" s="15"/>
      <c r="I1" s="15"/>
      <c r="J1" s="4"/>
      <c r="K1" s="4"/>
      <c r="L1" s="4"/>
      <c r="Q1" t="s">
        <v>42</v>
      </c>
      <c r="T1" t="s">
        <v>43</v>
      </c>
    </row>
    <row r="2" spans="1:23" x14ac:dyDescent="0.2">
      <c r="A2" t="s">
        <v>63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J2" t="s">
        <v>0</v>
      </c>
      <c r="K2" t="s">
        <v>1</v>
      </c>
      <c r="L2" t="s">
        <v>51</v>
      </c>
      <c r="M2" t="s">
        <v>2</v>
      </c>
      <c r="N2" t="s">
        <v>3</v>
      </c>
      <c r="O2" t="s">
        <v>4</v>
      </c>
      <c r="P2" t="s">
        <v>5</v>
      </c>
      <c r="Q2" t="s">
        <v>52</v>
      </c>
      <c r="R2" t="s">
        <v>53</v>
      </c>
      <c r="S2" t="s">
        <v>54</v>
      </c>
      <c r="U2" t="s">
        <v>52</v>
      </c>
      <c r="V2" t="s">
        <v>53</v>
      </c>
      <c r="W2" t="s">
        <v>55</v>
      </c>
    </row>
    <row r="3" spans="1:23" x14ac:dyDescent="0.2">
      <c r="A3" t="s">
        <v>4</v>
      </c>
      <c r="B3" t="s">
        <v>7</v>
      </c>
      <c r="C3" t="s">
        <v>56</v>
      </c>
      <c r="D3">
        <v>1</v>
      </c>
      <c r="E3">
        <v>5</v>
      </c>
      <c r="F3">
        <v>3.4401489999999999</v>
      </c>
      <c r="G3">
        <v>0.50980999999999999</v>
      </c>
      <c r="H3" t="s">
        <v>57</v>
      </c>
      <c r="J3" t="s">
        <v>6</v>
      </c>
      <c r="K3" t="s">
        <v>7</v>
      </c>
      <c r="L3" t="s">
        <v>8</v>
      </c>
      <c r="M3" cm="1">
        <f t="array" ref="M3">INDEX($F$1:$F$100, MATCH(1, (A$1:A$100=M$2)*(B$1:B$100=$K3), 0))</f>
        <v>0.219246</v>
      </c>
      <c r="N3" cm="1">
        <f t="array" ref="N3">INDEX($F$1:$F$100, MATCH(1, (A$1:A$100=N$2)*(B$1:B$100=$K3), 0))</f>
        <v>0.43465300000000001</v>
      </c>
      <c r="O3" cm="1">
        <f t="array" ref="O3">INDEX($F$1:$F$100, MATCH(1, (A$1:A$100=O$2)*(B$1:B$100=$K3), 0))</f>
        <v>3.4401489999999999</v>
      </c>
      <c r="P3" cm="1">
        <f t="array" ref="P3">INDEX($F$1:$F$100, MATCH(1, (A$1:A$100=P$2)*(B$1:B$100=$K3), 0))</f>
        <v>0.23339399999999999</v>
      </c>
      <c r="Q3">
        <f>IF(ISNA($N3), "DNF", $N3/$M3)</f>
        <v>1.9824899884148401</v>
      </c>
      <c r="R3">
        <f>IF(ISNA(O3), "DNF", O3/$M3)</f>
        <v>15.690817620389881</v>
      </c>
      <c r="S3">
        <f>IF(ISNA($P3), "DNF", $P3/$M3)</f>
        <v>1.0645302536876384</v>
      </c>
      <c r="U3">
        <f>IF(ISNA($N3), "DNF", $N3/$P3)</f>
        <v>1.8623143696924516</v>
      </c>
      <c r="V3">
        <f>IF(ISNA($O3), "DNF", $O3/$P3)</f>
        <v>14.739663401801247</v>
      </c>
      <c r="W3">
        <f>IF(ISNA($M3), "DNF", $M3/$P3)</f>
        <v>0.93938147510218772</v>
      </c>
    </row>
    <row r="4" spans="1:23" x14ac:dyDescent="0.2">
      <c r="A4" t="s">
        <v>4</v>
      </c>
      <c r="B4" t="s">
        <v>10</v>
      </c>
      <c r="C4" t="s">
        <v>56</v>
      </c>
      <c r="D4">
        <v>1</v>
      </c>
      <c r="E4">
        <v>5</v>
      </c>
      <c r="F4">
        <v>3.4955729999999998</v>
      </c>
      <c r="G4">
        <v>0.16129199999999999</v>
      </c>
      <c r="H4" t="s">
        <v>57</v>
      </c>
      <c r="J4" t="s">
        <v>9</v>
      </c>
      <c r="K4" t="s">
        <v>10</v>
      </c>
      <c r="L4" t="s">
        <v>11</v>
      </c>
      <c r="M4" cm="1">
        <f t="array" ref="M4">INDEX($F$1:$F$100, MATCH(1, (A$1:A$100=M$2)*(B$1:B$100=$K4), 0))</f>
        <v>1.9036999999999998E-2</v>
      </c>
      <c r="N4" cm="1">
        <f t="array" ref="N4">INDEX($F$1:$F$100, MATCH(1, (A$1:A$100=N$2)*(B$1:B$100=$K4), 0))</f>
        <v>9.0839000000000003E-2</v>
      </c>
      <c r="O4" cm="1">
        <f t="array" ref="O4">INDEX($F$1:$F$100, MATCH(1, (A$1:A$100=O$2)*(B$1:B$100=$K4), 0))</f>
        <v>3.4955729999999998</v>
      </c>
      <c r="P4" cm="1">
        <f t="array" ref="P4">INDEX($F$1:$F$100, MATCH(1, (A$1:A$100=P$2)*(B$1:B$100=$K4), 0))</f>
        <v>1.8297000000000001E-2</v>
      </c>
      <c r="Q4">
        <f>IF(ISNA($N4), "DNF", $N4/$M4)</f>
        <v>4.7717077270578354</v>
      </c>
      <c r="R4">
        <f>IF(ISNA(O4), "DNF", O4/$M4)</f>
        <v>183.61995062247203</v>
      </c>
      <c r="S4">
        <f>IF(ISNA($P4), "DNF", $P4/$M4)</f>
        <v>0.96112832904344181</v>
      </c>
      <c r="U4">
        <f>IF(ISNA($N4), "DNF", $N4/$P4)</f>
        <v>4.9646936656282454</v>
      </c>
      <c r="V4">
        <f>IF(ISNA($O4), "DNF", $O4/$P4)</f>
        <v>191.04623708804721</v>
      </c>
      <c r="W4">
        <f>IF(ISNA($M4), "DNF", $M4/$P4)</f>
        <v>1.0404437885992237</v>
      </c>
    </row>
    <row r="5" spans="1:23" x14ac:dyDescent="0.2">
      <c r="A5" t="s">
        <v>4</v>
      </c>
      <c r="B5" t="s">
        <v>13</v>
      </c>
      <c r="C5" t="s">
        <v>56</v>
      </c>
      <c r="D5">
        <v>1</v>
      </c>
      <c r="E5">
        <v>5</v>
      </c>
      <c r="F5">
        <v>19.845801999999999</v>
      </c>
      <c r="G5">
        <v>0.73902199999999996</v>
      </c>
      <c r="H5" t="s">
        <v>57</v>
      </c>
      <c r="J5" t="s">
        <v>12</v>
      </c>
      <c r="K5" t="s">
        <v>13</v>
      </c>
      <c r="L5" t="s">
        <v>14</v>
      </c>
      <c r="M5" cm="1">
        <f t="array" ref="M5">INDEX($F$1:$F$100, MATCH(1, (A$1:A$100=M$2)*(B$1:B$100=$K5), 0))</f>
        <v>4.8621999999999999E-2</v>
      </c>
      <c r="N5" cm="1">
        <f t="array" ref="N5">INDEX($F$1:$F$100, MATCH(1, (A$1:A$100=N$2)*(B$1:B$100=$K5), 0))</f>
        <v>0.18498500000000001</v>
      </c>
      <c r="O5" cm="1">
        <f t="array" ref="O5">INDEX($F$1:$F$100, MATCH(1, (A$1:A$100=O$2)*(B$1:B$100=$K5), 0))</f>
        <v>19.845801999999999</v>
      </c>
      <c r="P5" cm="1">
        <f t="array" ref="P5">INDEX($F$1:$F$100, MATCH(1, (A$1:A$100=P$2)*(B$1:B$100=$K5), 0))</f>
        <v>4.5088000000000003E-2</v>
      </c>
      <c r="Q5">
        <f>IF(ISNA($N5), "DNF", $N5/$M5)</f>
        <v>3.8045534943029908</v>
      </c>
      <c r="R5">
        <f>IF(ISNA(O5), "DNF", O5/$M5)</f>
        <v>408.16506931018881</v>
      </c>
      <c r="S5">
        <f>IF(ISNA($P5), "DNF", $P5/$M5)</f>
        <v>0.92731685245362194</v>
      </c>
      <c r="U5">
        <f>IF(ISNA($N5), "DNF", $N5/$P5)</f>
        <v>4.1027546132008519</v>
      </c>
      <c r="V5">
        <f>IF(ISNA($O5), "DNF", $O5/$P5)</f>
        <v>440.15707061745911</v>
      </c>
      <c r="W5">
        <f>IF(ISNA($M5), "DNF", $M5/$P5)</f>
        <v>1.0783800567778565</v>
      </c>
    </row>
    <row r="6" spans="1:23" x14ac:dyDescent="0.2">
      <c r="A6" t="s">
        <v>4</v>
      </c>
      <c r="B6" t="s">
        <v>15</v>
      </c>
      <c r="C6" t="s">
        <v>56</v>
      </c>
      <c r="D6">
        <v>1</v>
      </c>
      <c r="E6">
        <v>5</v>
      </c>
      <c r="F6">
        <v>136.25333699999999</v>
      </c>
      <c r="G6">
        <v>6.3787099999999999</v>
      </c>
      <c r="H6" t="s">
        <v>57</v>
      </c>
      <c r="J6" t="s">
        <v>12</v>
      </c>
      <c r="K6" t="s">
        <v>15</v>
      </c>
      <c r="L6" t="s">
        <v>16</v>
      </c>
      <c r="M6" cm="1">
        <f t="array" ref="M6">INDEX($F$1:$F$100, MATCH(1, (A$1:A$100=M$2)*(B$1:B$100=$K6), 0))</f>
        <v>8.8409000000000001E-2</v>
      </c>
      <c r="N6" cm="1">
        <f t="array" ref="N6">INDEX($F$1:$F$100, MATCH(1, (A$1:A$100=N$2)*(B$1:B$100=$K6), 0))</f>
        <v>0.56551700000000005</v>
      </c>
      <c r="O6" cm="1">
        <f t="array" ref="O6">INDEX($F$1:$F$100, MATCH(1, (A$1:A$100=O$2)*(B$1:B$100=$K6), 0))</f>
        <v>136.25333699999999</v>
      </c>
      <c r="P6" cm="1">
        <f t="array" ref="P6">INDEX($F$1:$F$100, MATCH(1, (A$1:A$100=P$2)*(B$1:B$100=$K6), 0))</f>
        <v>8.9752999999999999E-2</v>
      </c>
      <c r="Q6">
        <f>IF(ISNA($N6), "DNF", $N6/$M6)</f>
        <v>6.396599893675984</v>
      </c>
      <c r="R6">
        <f>IF(ISNA(O6), "DNF", O6/$M6)</f>
        <v>1541.1704351366941</v>
      </c>
      <c r="S6">
        <f>IF(ISNA($P6), "DNF", $P6/$M6)</f>
        <v>1.0152020721872208</v>
      </c>
      <c r="U6">
        <f>IF(ISNA($N6), "DNF", $N6/$P6)</f>
        <v>6.3008144574554619</v>
      </c>
      <c r="V6">
        <f>IF(ISNA($O6), "DNF", $O6/$P6)</f>
        <v>1518.092286608804</v>
      </c>
      <c r="W6">
        <f>IF(ISNA($M6), "DNF", $M6/$P6)</f>
        <v>0.98502557017592729</v>
      </c>
    </row>
    <row r="7" spans="1:23" x14ac:dyDescent="0.2">
      <c r="A7" t="s">
        <v>4</v>
      </c>
      <c r="B7" t="s">
        <v>19</v>
      </c>
      <c r="C7" t="s">
        <v>56</v>
      </c>
      <c r="D7">
        <v>1</v>
      </c>
      <c r="E7">
        <v>5</v>
      </c>
      <c r="F7">
        <v>14.768091</v>
      </c>
      <c r="G7">
        <v>6.4972599999999998</v>
      </c>
      <c r="H7" t="s">
        <v>57</v>
      </c>
      <c r="J7" t="s">
        <v>9</v>
      </c>
      <c r="K7" t="s">
        <v>17</v>
      </c>
      <c r="L7" t="s">
        <v>18</v>
      </c>
      <c r="M7" cm="1">
        <f t="array" ref="M7">INDEX($F$1:$F$100, MATCH(1, (A$1:A$100=M$2)*(B$1:B$100=$K7), 0))</f>
        <v>2.3695000000000001E-2</v>
      </c>
      <c r="N7" cm="1">
        <f t="array" ref="N7">INDEX($F$1:$F$100, MATCH(1, (A$1:A$100=N$2)*(B$1:B$100=$K7), 0))</f>
        <v>7.0541000000000006E-2</v>
      </c>
      <c r="O7" t="e" cm="1">
        <f t="array" ref="O7">INDEX($F$1:$F$100, MATCH(1, (A$1:A$100=O$2)*(B$1:B$100=$K7), 0))</f>
        <v>#N/A</v>
      </c>
      <c r="P7" cm="1">
        <f t="array" ref="P7">INDEX($F$1:$F$100, MATCH(1, (A$1:A$100=P$2)*(B$1:B$100=$K7), 0))</f>
        <v>1.8036E-2</v>
      </c>
      <c r="Q7">
        <f>IF(ISNA($N7), "DNF", $N7/$M7)</f>
        <v>2.9770415699514667</v>
      </c>
      <c r="R7" t="str">
        <f>IF(ISNA(O7), "DNF", O7/$M7)</f>
        <v>DNF</v>
      </c>
      <c r="S7">
        <f>IF(ISNA($P7), "DNF", $P7/$M7)</f>
        <v>0.76117324330027425</v>
      </c>
      <c r="U7">
        <f>IF(ISNA($N7), "DNF", $N7/$P7)</f>
        <v>3.911122200044356</v>
      </c>
      <c r="V7" t="str">
        <f>IF(ISNA($O7), "DNF", $O7/$P7)</f>
        <v>DNF</v>
      </c>
      <c r="W7">
        <f>IF(ISNA($M7), "DNF", $M7/$P7)</f>
        <v>1.3137613661565757</v>
      </c>
    </row>
    <row r="8" spans="1:23" x14ac:dyDescent="0.2">
      <c r="A8" t="s">
        <v>4</v>
      </c>
      <c r="B8" t="s">
        <v>23</v>
      </c>
      <c r="C8" t="s">
        <v>56</v>
      </c>
      <c r="D8">
        <v>1</v>
      </c>
      <c r="E8">
        <v>5</v>
      </c>
      <c r="F8">
        <v>18.281358000000001</v>
      </c>
      <c r="G8">
        <v>0.50560400000000005</v>
      </c>
      <c r="H8" t="s">
        <v>57</v>
      </c>
      <c r="J8" t="s">
        <v>12</v>
      </c>
      <c r="K8" t="s">
        <v>19</v>
      </c>
      <c r="L8" t="s">
        <v>20</v>
      </c>
      <c r="M8" cm="1">
        <f t="array" ref="M8">INDEX($F$1:$F$100, MATCH(1, (A$1:A$100=M$2)*(B$1:B$100=$K8), 0))</f>
        <v>0.30250899999999997</v>
      </c>
      <c r="N8" cm="1">
        <f t="array" ref="N8">INDEX($F$1:$F$100, MATCH(1, (A$1:A$100=N$2)*(B$1:B$100=$K8), 0))</f>
        <v>0.76612599999999997</v>
      </c>
      <c r="O8" cm="1">
        <f t="array" ref="O8">INDEX($F$1:$F$100, MATCH(1, (A$1:A$100=O$2)*(B$1:B$100=$K8), 0))</f>
        <v>14.768091</v>
      </c>
      <c r="P8" cm="1">
        <f t="array" ref="P8">INDEX($F$1:$F$100, MATCH(1, (A$1:A$100=P$2)*(B$1:B$100=$K8), 0))</f>
        <v>0.29150100000000001</v>
      </c>
      <c r="Q8">
        <f>IF(ISNA($N8), "DNF", $N8/$M8)</f>
        <v>2.5325725846173173</v>
      </c>
      <c r="R8">
        <f>IF(ISNA(O8), "DNF", O8/$M8)</f>
        <v>48.818683080503398</v>
      </c>
      <c r="S8">
        <f>IF(ISNA($P8), "DNF", $P8/$M8)</f>
        <v>0.9636110000033058</v>
      </c>
      <c r="U8">
        <f>IF(ISNA($N8), "DNF", $N8/$P8)</f>
        <v>2.628210537871225</v>
      </c>
      <c r="V8">
        <f>IF(ISNA($O8), "DNF", $O8/$P8)</f>
        <v>50.66223100435333</v>
      </c>
      <c r="W8">
        <f>IF(ISNA($M8), "DNF", $M8/$P8)</f>
        <v>1.0377631637627314</v>
      </c>
    </row>
    <row r="9" spans="1:23" x14ac:dyDescent="0.2">
      <c r="A9" t="s">
        <v>4</v>
      </c>
      <c r="B9" t="s">
        <v>34</v>
      </c>
      <c r="C9" t="s">
        <v>56</v>
      </c>
      <c r="D9">
        <v>1</v>
      </c>
      <c r="E9">
        <v>5</v>
      </c>
      <c r="F9">
        <v>0.51264699999999996</v>
      </c>
      <c r="G9">
        <v>0.14718300000000001</v>
      </c>
      <c r="H9" t="s">
        <v>57</v>
      </c>
      <c r="J9" t="s">
        <v>12</v>
      </c>
      <c r="K9" t="s">
        <v>21</v>
      </c>
      <c r="L9" t="s">
        <v>22</v>
      </c>
      <c r="M9" cm="1">
        <f t="array" ref="M9">INDEX($F$1:$F$100, MATCH(1, (A$1:A$100=M$2)*(B$1:B$100=$K9), 0))</f>
        <v>1.110039</v>
      </c>
      <c r="N9" cm="1">
        <f t="array" ref="N9">INDEX($F$1:$F$100, MATCH(1, (A$1:A$100=N$2)*(B$1:B$100=$K9), 0))</f>
        <v>5.7134239999999998</v>
      </c>
      <c r="O9" t="e" cm="1">
        <f t="array" ref="O9">INDEX($F$1:$F$100, MATCH(1, (A$1:A$100=O$2)*(B$1:B$100=$K9), 0))</f>
        <v>#N/A</v>
      </c>
      <c r="P9" cm="1">
        <f t="array" ref="P9">INDEX($F$1:$F$100, MATCH(1, (A$1:A$100=P$2)*(B$1:B$100=$K9), 0))</f>
        <v>1.0586629999999999</v>
      </c>
      <c r="Q9">
        <f>IF(ISNA($N9), "DNF", $N9/$M9)</f>
        <v>5.1470479866022725</v>
      </c>
      <c r="R9" t="str">
        <f>IF(ISNA(O9), "DNF", O9/$M9)</f>
        <v>DNF</v>
      </c>
      <c r="S9">
        <f>IF(ISNA($P9), "DNF", $P9/$M9)</f>
        <v>0.95371694147683095</v>
      </c>
      <c r="U9">
        <f>IF(ISNA($N9), "DNF", $N9/$P9)</f>
        <v>5.3968297749142078</v>
      </c>
      <c r="V9" t="str">
        <f>IF(ISNA($O9), "DNF", $O9/$P9)</f>
        <v>DNF</v>
      </c>
      <c r="W9">
        <f>IF(ISNA($M9), "DNF", $M9/$P9)</f>
        <v>1.048529135333907</v>
      </c>
    </row>
    <row r="10" spans="1:23" x14ac:dyDescent="0.2">
      <c r="A10" t="s">
        <v>4</v>
      </c>
      <c r="B10" t="s">
        <v>36</v>
      </c>
      <c r="C10" t="s">
        <v>56</v>
      </c>
      <c r="D10">
        <v>1</v>
      </c>
      <c r="E10">
        <v>5</v>
      </c>
      <c r="F10">
        <v>0.364846</v>
      </c>
      <c r="G10">
        <v>2.0931999999999999E-2</v>
      </c>
      <c r="H10" t="s">
        <v>57</v>
      </c>
      <c r="J10" t="s">
        <v>9</v>
      </c>
      <c r="K10" t="s">
        <v>23</v>
      </c>
      <c r="L10" t="s">
        <v>58</v>
      </c>
      <c r="M10" cm="1">
        <f t="array" ref="M10">INDEX($F$1:$F$100, MATCH(1, (A$1:A$100=M$2)*(B$1:B$100=$K10), 0))</f>
        <v>7.6810000000000003E-3</v>
      </c>
      <c r="N10" cm="1">
        <f t="array" ref="N10">INDEX($F$1:$F$100, MATCH(1, (A$1:A$100=N$2)*(B$1:B$100=$K10), 0))</f>
        <v>6.3964999999999994E-2</v>
      </c>
      <c r="O10" cm="1">
        <f t="array" ref="O10">INDEX($F$1:$F$100, MATCH(1, (A$1:A$100=O$2)*(B$1:B$100=$K10), 0))</f>
        <v>18.281358000000001</v>
      </c>
      <c r="P10" cm="1">
        <f t="array" ref="P10">INDEX($F$1:$F$100, MATCH(1, (A$1:A$100=P$2)*(B$1:B$100=$K10), 0))</f>
        <v>8.1679999999999999E-3</v>
      </c>
      <c r="Q10">
        <f>IF(ISNA($N10), "DNF", $N10/$M10)</f>
        <v>8.3276917068090075</v>
      </c>
      <c r="R10">
        <f>IF(ISNA(O10), "DNF", O10/$M10)</f>
        <v>2380.075250618409</v>
      </c>
      <c r="S10">
        <f>IF(ISNA($P10), "DNF", $P10/$M10)</f>
        <v>1.0634032027079807</v>
      </c>
      <c r="U10">
        <f>IF(ISNA($N10), "DNF", $N10/$P10)</f>
        <v>7.8311704211557291</v>
      </c>
      <c r="V10">
        <f>IF(ISNA($O10), "DNF", $O10/$P10)</f>
        <v>2238.1682174338885</v>
      </c>
      <c r="W10">
        <f>IF(ISNA($M10), "DNF", $M10/$P10)</f>
        <v>0.94037708129285025</v>
      </c>
    </row>
    <row r="11" spans="1:23" x14ac:dyDescent="0.2">
      <c r="A11" t="s">
        <v>5</v>
      </c>
      <c r="B11" t="s">
        <v>7</v>
      </c>
      <c r="C11" t="s">
        <v>56</v>
      </c>
      <c r="D11">
        <v>1</v>
      </c>
      <c r="E11">
        <v>5</v>
      </c>
      <c r="F11">
        <v>0.23339399999999999</v>
      </c>
      <c r="G11">
        <v>4.7153E-2</v>
      </c>
      <c r="H11" t="s">
        <v>57</v>
      </c>
      <c r="J11" t="s">
        <v>12</v>
      </c>
      <c r="K11" t="s">
        <v>24</v>
      </c>
      <c r="L11" t="s">
        <v>25</v>
      </c>
      <c r="M11" cm="1">
        <f t="array" ref="M11">INDEX($F$1:$F$100, MATCH(1, (A$1:A$100=M$2)*(B$1:B$100=$K11), 0))</f>
        <v>182.74462199999999</v>
      </c>
      <c r="N11" t="e" cm="1">
        <f t="array" ref="N11">INDEX($F$1:$F$100, MATCH(1, (A$1:A$100=N$2)*(B$1:B$100=$K11), 0))</f>
        <v>#N/A</v>
      </c>
      <c r="O11" t="e" cm="1">
        <f t="array" ref="O11">INDEX($F$1:$F$100, MATCH(1, (A$1:A$100=O$2)*(B$1:B$100=$K11), 0))</f>
        <v>#N/A</v>
      </c>
      <c r="P11" cm="1">
        <f t="array" ref="P11">INDEX($F$1:$F$100, MATCH(1, (A$1:A$100=P$2)*(B$1:B$100=$K11), 0))</f>
        <v>183.95971299999999</v>
      </c>
      <c r="Q11" t="str">
        <f>IF(ISNA($N11), "DNF", $N11/$M11)</f>
        <v>DNF</v>
      </c>
      <c r="R11" t="str">
        <f>IF(ISNA(O11), "DNF", O11/$M11)</f>
        <v>DNF</v>
      </c>
      <c r="S11">
        <f>IF(ISNA($P11), "DNF", $P11/$M11)</f>
        <v>1.0066491204321186</v>
      </c>
      <c r="U11" t="str">
        <f>IF(ISNA($N11), "DNF", $N11/$P11)</f>
        <v>DNF</v>
      </c>
      <c r="V11" t="str">
        <f>IF(ISNA($O11), "DNF", $O11/$P11)</f>
        <v>DNF</v>
      </c>
      <c r="W11">
        <f>IF(ISNA($M11), "DNF", $M11/$P11)</f>
        <v>0.99339479834913635</v>
      </c>
    </row>
    <row r="12" spans="1:23" x14ac:dyDescent="0.2">
      <c r="A12" t="s">
        <v>5</v>
      </c>
      <c r="B12" t="s">
        <v>10</v>
      </c>
      <c r="C12" t="s">
        <v>56</v>
      </c>
      <c r="D12">
        <v>1</v>
      </c>
      <c r="E12">
        <v>5</v>
      </c>
      <c r="F12">
        <v>1.8297000000000001E-2</v>
      </c>
      <c r="G12">
        <v>6.3569999999999998E-3</v>
      </c>
      <c r="H12" t="s">
        <v>57</v>
      </c>
      <c r="J12" t="s">
        <v>9</v>
      </c>
      <c r="K12" t="s">
        <v>26</v>
      </c>
      <c r="L12" t="s">
        <v>27</v>
      </c>
      <c r="M12" cm="1">
        <f t="array" ref="M12">INDEX($F$1:$F$100, MATCH(1, (A$1:A$100=M$2)*(B$1:B$100=$K12), 0))</f>
        <v>5.5432000000000002E-2</v>
      </c>
      <c r="N12" cm="1">
        <f t="array" ref="N12">INDEX($F$1:$F$100, MATCH(1, (A$1:A$100=N$2)*(B$1:B$100=$K12), 0))</f>
        <v>0.82805499999999999</v>
      </c>
      <c r="O12" t="e" cm="1">
        <f t="array" ref="O12">INDEX($F$1:$F$100, MATCH(1, (A$1:A$100=O$2)*(B$1:B$100=$K12), 0))</f>
        <v>#N/A</v>
      </c>
      <c r="P12" cm="1">
        <f t="array" ref="P12">INDEX($F$1:$F$100, MATCH(1, (A$1:A$100=P$2)*(B$1:B$100=$K12), 0))</f>
        <v>5.3027999999999999E-2</v>
      </c>
      <c r="Q12">
        <f>IF(ISNA($N12), "DNF", $N12/$M12)</f>
        <v>14.93821258478857</v>
      </c>
      <c r="R12" t="str">
        <f>IF(ISNA(O12), "DNF", O12/$M12)</f>
        <v>DNF</v>
      </c>
      <c r="S12">
        <f>IF(ISNA($P12), "DNF", $P12/$M12)</f>
        <v>0.95663154856400634</v>
      </c>
      <c r="U12">
        <f>IF(ISNA($N12), "DNF", $N12/$P12)</f>
        <v>15.615429584370521</v>
      </c>
      <c r="V12" t="str">
        <f>IF(ISNA($O12), "DNF", $O12/$P12)</f>
        <v>DNF</v>
      </c>
      <c r="W12">
        <f>IF(ISNA($M12), "DNF", $M12/$P12)</f>
        <v>1.0453345402428906</v>
      </c>
    </row>
    <row r="13" spans="1:23" x14ac:dyDescent="0.2">
      <c r="A13" t="s">
        <v>5</v>
      </c>
      <c r="B13" t="s">
        <v>13</v>
      </c>
      <c r="C13" t="s">
        <v>56</v>
      </c>
      <c r="D13">
        <v>1</v>
      </c>
      <c r="E13">
        <v>5</v>
      </c>
      <c r="F13">
        <v>4.5088000000000003E-2</v>
      </c>
      <c r="G13">
        <v>5.2610000000000001E-3</v>
      </c>
      <c r="H13" t="s">
        <v>57</v>
      </c>
      <c r="J13" t="s">
        <v>12</v>
      </c>
      <c r="K13" t="s">
        <v>28</v>
      </c>
      <c r="L13" t="s">
        <v>29</v>
      </c>
      <c r="M13" cm="1">
        <f t="array" ref="M13">INDEX($F$1:$F$100, MATCH(1, (A$1:A$100=M$2)*(B$1:B$100=$K13), 0))</f>
        <v>6.6562999999999997E-2</v>
      </c>
      <c r="N13" cm="1">
        <f t="array" ref="N13">INDEX($F$1:$F$100, MATCH(1, (A$1:A$100=N$2)*(B$1:B$100=$K13), 0))</f>
        <v>0.39228499999999999</v>
      </c>
      <c r="O13" t="e" cm="1">
        <f t="array" ref="O13">INDEX($F$1:$F$100, MATCH(1, (A$1:A$100=O$2)*(B$1:B$100=$K13), 0))</f>
        <v>#N/A</v>
      </c>
      <c r="P13" cm="1">
        <f t="array" ref="P13">INDEX($F$1:$F$100, MATCH(1, (A$1:A$100=P$2)*(B$1:B$100=$K13), 0))</f>
        <v>6.9117999999999999E-2</v>
      </c>
      <c r="Q13">
        <f>IF(ISNA($N13), "DNF", $N13/$M13)</f>
        <v>5.893439298108559</v>
      </c>
      <c r="R13" t="str">
        <f>IF(ISNA(O13), "DNF", O13/$M13)</f>
        <v>DNF</v>
      </c>
      <c r="S13">
        <f>IF(ISNA($P13), "DNF", $P13/$M13)</f>
        <v>1.0383846881901357</v>
      </c>
      <c r="U13">
        <f>IF(ISNA($N13), "DNF", $N13/$P13)</f>
        <v>5.6755837842530168</v>
      </c>
      <c r="V13" t="str">
        <f>IF(ISNA($O13), "DNF", $O13/$P13)</f>
        <v>DNF</v>
      </c>
      <c r="W13">
        <f>IF(ISNA($M13), "DNF", $M13/$P13)</f>
        <v>0.96303423131456345</v>
      </c>
    </row>
    <row r="14" spans="1:23" x14ac:dyDescent="0.2">
      <c r="A14" t="s">
        <v>5</v>
      </c>
      <c r="B14" t="s">
        <v>15</v>
      </c>
      <c r="C14" t="s">
        <v>56</v>
      </c>
      <c r="D14">
        <v>1</v>
      </c>
      <c r="E14">
        <v>5</v>
      </c>
      <c r="F14">
        <v>8.9752999999999999E-2</v>
      </c>
      <c r="G14">
        <v>4.9590000000000002E-2</v>
      </c>
      <c r="H14" t="s">
        <v>57</v>
      </c>
      <c r="J14" t="s">
        <v>12</v>
      </c>
      <c r="K14" t="s">
        <v>30</v>
      </c>
      <c r="L14" t="s">
        <v>31</v>
      </c>
      <c r="M14" cm="1">
        <f t="array" ref="M14">INDEX($F$1:$F$100, MATCH(1, (A$1:A$100=M$2)*(B$1:B$100=$K14), 0))</f>
        <v>9.0717999999999993E-2</v>
      </c>
      <c r="N14" cm="1">
        <f t="array" ref="N14">INDEX($F$1:$F$100, MATCH(1, (A$1:A$100=N$2)*(B$1:B$100=$K14), 0))</f>
        <v>0.65006799999999998</v>
      </c>
      <c r="O14" t="e" cm="1">
        <f t="array" ref="O14">INDEX($F$1:$F$100, MATCH(1, (A$1:A$100=O$2)*(B$1:B$100=$K14), 0))</f>
        <v>#N/A</v>
      </c>
      <c r="P14" cm="1">
        <f t="array" ref="P14">INDEX($F$1:$F$100, MATCH(1, (A$1:A$100=P$2)*(B$1:B$100=$K14), 0))</f>
        <v>8.7290000000000006E-2</v>
      </c>
      <c r="Q14">
        <f>IF(ISNA($N14), "DNF", $N14/$M14)</f>
        <v>7.1658105337419258</v>
      </c>
      <c r="R14" t="str">
        <f>IF(ISNA(O14), "DNF", O14/$M14)</f>
        <v>DNF</v>
      </c>
      <c r="S14">
        <f>IF(ISNA($P14), "DNF", $P14/$M14)</f>
        <v>0.9622125708238719</v>
      </c>
      <c r="U14">
        <f>IF(ISNA($N14), "DNF", $N14/$P14)</f>
        <v>7.447221903998166</v>
      </c>
      <c r="V14" t="str">
        <f>IF(ISNA($O14), "DNF", $O14/$P14)</f>
        <v>DNF</v>
      </c>
      <c r="W14">
        <f>IF(ISNA($M14), "DNF", $M14/$P14)</f>
        <v>1.0392713942032306</v>
      </c>
    </row>
    <row r="15" spans="1:23" x14ac:dyDescent="0.2">
      <c r="A15" t="s">
        <v>5</v>
      </c>
      <c r="B15" t="s">
        <v>17</v>
      </c>
      <c r="C15" t="s">
        <v>56</v>
      </c>
      <c r="D15">
        <v>1</v>
      </c>
      <c r="E15">
        <v>5</v>
      </c>
      <c r="F15">
        <v>1.8036E-2</v>
      </c>
      <c r="G15">
        <v>8.1679999999999999E-3</v>
      </c>
      <c r="H15" t="s">
        <v>57</v>
      </c>
      <c r="J15" t="s">
        <v>9</v>
      </c>
      <c r="K15" t="s">
        <v>32</v>
      </c>
      <c r="L15" t="s">
        <v>33</v>
      </c>
      <c r="M15" cm="1">
        <f t="array" ref="M15">INDEX($F$1:$F$100, MATCH(1, (A$1:A$100=M$2)*(B$1:B$100=$K15), 0))</f>
        <v>5.3682000000000001E-2</v>
      </c>
      <c r="N15" cm="1">
        <f t="array" ref="N15">INDEX($F$1:$F$100, MATCH(1, (A$1:A$100=N$2)*(B$1:B$100=$K15), 0))</f>
        <v>0.85997400000000002</v>
      </c>
      <c r="O15" t="e" cm="1">
        <f t="array" ref="O15">INDEX($F$1:$F$100, MATCH(1, (A$1:A$100=O$2)*(B$1:B$100=$K15), 0))</f>
        <v>#N/A</v>
      </c>
      <c r="P15" cm="1">
        <f t="array" ref="P15">INDEX($F$1:$F$100, MATCH(1, (A$1:A$100=P$2)*(B$1:B$100=$K15), 0))</f>
        <v>5.1891E-2</v>
      </c>
      <c r="Q15">
        <f>IF(ISNA($N15), "DNF", $N15/$M15)</f>
        <v>16.019783167542194</v>
      </c>
      <c r="R15" t="str">
        <f>IF(ISNA(O15), "DNF", O15/$M15)</f>
        <v>DNF</v>
      </c>
      <c r="S15">
        <f>IF(ISNA($P15), "DNF", $P15/$M15)</f>
        <v>0.96663686151782724</v>
      </c>
      <c r="U15">
        <f>IF(ISNA($N15), "DNF", $N15/$P15)</f>
        <v>16.572700468289298</v>
      </c>
      <c r="V15" t="str">
        <f>IF(ISNA($O15), "DNF", $O15/$P15)</f>
        <v>DNF</v>
      </c>
      <c r="W15">
        <f>IF(ISNA($M15), "DNF", $M15/$P15)</f>
        <v>1.0345146557206453</v>
      </c>
    </row>
    <row r="16" spans="1:23" x14ac:dyDescent="0.2">
      <c r="A16" t="s">
        <v>5</v>
      </c>
      <c r="B16" t="s">
        <v>19</v>
      </c>
      <c r="C16" t="s">
        <v>56</v>
      </c>
      <c r="D16">
        <v>1</v>
      </c>
      <c r="E16">
        <v>5</v>
      </c>
      <c r="F16">
        <v>0.29150100000000001</v>
      </c>
      <c r="G16">
        <v>2.9825999999999998E-2</v>
      </c>
      <c r="H16" t="s">
        <v>57</v>
      </c>
      <c r="J16" t="s">
        <v>6</v>
      </c>
      <c r="K16" t="s">
        <v>34</v>
      </c>
      <c r="L16" t="s">
        <v>35</v>
      </c>
      <c r="M16" cm="1">
        <f t="array" ref="M16">INDEX($F$1:$F$100, MATCH(1, (A$1:A$100=M$2)*(B$1:B$100=$K16), 0))</f>
        <v>2.9388999999999998E-2</v>
      </c>
      <c r="N16" cm="1">
        <f t="array" ref="N16">INDEX($F$1:$F$100, MATCH(1, (A$1:A$100=N$2)*(B$1:B$100=$K16), 0))</f>
        <v>0.16139899999999999</v>
      </c>
      <c r="O16" cm="1">
        <f t="array" ref="O16">INDEX($F$1:$F$100, MATCH(1, (A$1:A$100=O$2)*(B$1:B$100=$K16), 0))</f>
        <v>0.51264699999999996</v>
      </c>
      <c r="P16" cm="1">
        <f t="array" ref="P16">INDEX($F$1:$F$100, MATCH(1, (A$1:A$100=P$2)*(B$1:B$100=$K16), 0))</f>
        <v>2.7459999999999998E-2</v>
      </c>
      <c r="Q16">
        <f>IF(ISNA($N16), "DNF", $N16/$M16)</f>
        <v>5.4918166660995613</v>
      </c>
      <c r="R16">
        <f>IF(ISNA(O16), "DNF", O16/$M16)</f>
        <v>17.443499268433769</v>
      </c>
      <c r="S16">
        <f>IF(ISNA($P16), "DNF", $P16/$M16)</f>
        <v>0.93436319711456661</v>
      </c>
      <c r="U16">
        <f>IF(ISNA($N16), "DNF", $N16/$P16)</f>
        <v>5.877603787327021</v>
      </c>
      <c r="V16">
        <f>IF(ISNA($O16), "DNF", $O16/$P16)</f>
        <v>18.668863801893664</v>
      </c>
      <c r="W16">
        <f>IF(ISNA($M16), "DNF", $M16/$P16)</f>
        <v>1.0702476329206119</v>
      </c>
    </row>
    <row r="17" spans="1:26" x14ac:dyDescent="0.2">
      <c r="A17" t="s">
        <v>5</v>
      </c>
      <c r="B17" t="s">
        <v>21</v>
      </c>
      <c r="C17" t="s">
        <v>56</v>
      </c>
      <c r="D17">
        <v>1</v>
      </c>
      <c r="E17">
        <v>5</v>
      </c>
      <c r="F17">
        <v>1.0586629999999999</v>
      </c>
      <c r="G17">
        <v>8.1883999999999998E-2</v>
      </c>
      <c r="H17" t="s">
        <v>57</v>
      </c>
      <c r="J17" t="s">
        <v>6</v>
      </c>
      <c r="K17" t="s">
        <v>36</v>
      </c>
      <c r="L17" t="s">
        <v>37</v>
      </c>
      <c r="M17" cm="1">
        <f t="array" ref="M17">INDEX($F$1:$F$100, MATCH(1, (A$1:A$100=M$2)*(B$1:B$100=$K17), 0))</f>
        <v>2.1453E-2</v>
      </c>
      <c r="N17" cm="1">
        <f t="array" ref="N17">INDEX($F$1:$F$100, MATCH(1, (A$1:A$100=N$2)*(B$1:B$100=$K17), 0))</f>
        <v>7.6234999999999997E-2</v>
      </c>
      <c r="O17" cm="1">
        <f t="array" ref="O17">INDEX($F$1:$F$100, MATCH(1, (A$1:A$100=O$2)*(B$1:B$100=$K17), 0))</f>
        <v>0.364846</v>
      </c>
      <c r="P17" cm="1">
        <f t="array" ref="P17">INDEX($F$1:$F$100, MATCH(1, (A$1:A$100=P$2)*(B$1:B$100=$K17), 0))</f>
        <v>1.8523000000000001E-2</v>
      </c>
      <c r="Q17">
        <f>IF(ISNA($N17), "DNF", $N17/$M17)</f>
        <v>3.5535822495688247</v>
      </c>
      <c r="R17">
        <f>IF(ISNA(O17), "DNF", O17/$M17)</f>
        <v>17.006758961450615</v>
      </c>
      <c r="S17">
        <f>IF(ISNA($P17), "DNF", $P17/$M17)</f>
        <v>0.86342236517037252</v>
      </c>
      <c r="U17">
        <f>IF(ISNA($N17), "DNF", $N17/$P17)</f>
        <v>4.1156940020515034</v>
      </c>
      <c r="V17">
        <f>IF(ISNA($O17), "DNF", $O17/$P17)</f>
        <v>19.696917346002266</v>
      </c>
      <c r="W17">
        <f>IF(ISNA($M17), "DNF", $M17/$P17)</f>
        <v>1.1581817200237541</v>
      </c>
    </row>
    <row r="18" spans="1:26" x14ac:dyDescent="0.2">
      <c r="A18" t="s">
        <v>5</v>
      </c>
      <c r="B18" t="s">
        <v>23</v>
      </c>
      <c r="C18" t="s">
        <v>56</v>
      </c>
      <c r="D18">
        <v>1</v>
      </c>
      <c r="E18">
        <v>5</v>
      </c>
      <c r="F18">
        <v>8.1679999999999999E-3</v>
      </c>
      <c r="G18">
        <v>5.0559999999999997E-3</v>
      </c>
      <c r="H18" t="s">
        <v>57</v>
      </c>
      <c r="J18" t="s">
        <v>12</v>
      </c>
      <c r="K18" t="s">
        <v>38</v>
      </c>
      <c r="L18" t="s">
        <v>39</v>
      </c>
      <c r="M18" cm="1">
        <f t="array" ref="M18">INDEX($F$1:$F$100, MATCH(1, (A$1:A$100=M$2)*(B$1:B$100=$K18), 0))</f>
        <v>0.12890499999999999</v>
      </c>
      <c r="N18" cm="1">
        <f t="array" ref="N18">INDEX($F$1:$F$100, MATCH(1, (A$1:A$100=N$2)*(B$1:B$100=$K18), 0))</f>
        <v>2.6444559999999999</v>
      </c>
      <c r="O18" t="e" cm="1">
        <f t="array" ref="O18">INDEX($F$1:$F$100, MATCH(1, (A$1:A$100=O$2)*(B$1:B$100=$K18), 0))</f>
        <v>#N/A</v>
      </c>
      <c r="P18" cm="1">
        <f t="array" ref="P18">INDEX($F$1:$F$100, MATCH(1, (A$1:A$100=P$2)*(B$1:B$100=$K18), 0))</f>
        <v>0.13126599999999999</v>
      </c>
      <c r="Q18">
        <f>IF(ISNA($N18), "DNF", $N18/$M18)</f>
        <v>20.514766688646677</v>
      </c>
      <c r="R18" t="str">
        <f>IF(ISNA(O18), "DNF", O18/$M18)</f>
        <v>DNF</v>
      </c>
      <c r="S18">
        <f>IF(ISNA($P18), "DNF", $P18/$M18)</f>
        <v>1.0183158139715294</v>
      </c>
      <c r="U18">
        <f>IF(ISNA($N18), "DNF", $N18/$P18)</f>
        <v>20.145780323922416</v>
      </c>
      <c r="V18" t="str">
        <f>IF(ISNA($O18), "DNF", $O18/$P18)</f>
        <v>DNF</v>
      </c>
      <c r="W18">
        <f>IF(ISNA($M18), "DNF", $M18/$P18)</f>
        <v>0.98201362119665414</v>
      </c>
    </row>
    <row r="19" spans="1:26" x14ac:dyDescent="0.2">
      <c r="A19" t="s">
        <v>5</v>
      </c>
      <c r="B19" t="s">
        <v>24</v>
      </c>
      <c r="C19" t="s">
        <v>56</v>
      </c>
      <c r="D19">
        <v>1</v>
      </c>
      <c r="E19">
        <v>5</v>
      </c>
      <c r="F19">
        <v>183.95971299999999</v>
      </c>
      <c r="G19">
        <v>12.474529</v>
      </c>
      <c r="H19" t="s">
        <v>57</v>
      </c>
    </row>
    <row r="20" spans="1:26" x14ac:dyDescent="0.2">
      <c r="A20" t="s">
        <v>5</v>
      </c>
      <c r="B20" t="s">
        <v>26</v>
      </c>
      <c r="C20" t="s">
        <v>56</v>
      </c>
      <c r="D20">
        <v>1</v>
      </c>
      <c r="E20">
        <v>5</v>
      </c>
      <c r="F20">
        <v>5.3027999999999999E-2</v>
      </c>
      <c r="G20">
        <v>9.3019999999999995E-3</v>
      </c>
      <c r="H20" t="s">
        <v>57</v>
      </c>
    </row>
    <row r="21" spans="1:26" x14ac:dyDescent="0.2">
      <c r="A21" t="s">
        <v>5</v>
      </c>
      <c r="B21" t="s">
        <v>28</v>
      </c>
      <c r="C21" t="s">
        <v>56</v>
      </c>
      <c r="D21">
        <v>1</v>
      </c>
      <c r="E21">
        <v>5</v>
      </c>
      <c r="F21">
        <v>6.9117999999999999E-2</v>
      </c>
      <c r="G21">
        <v>1.7659000000000001E-2</v>
      </c>
      <c r="H21" t="s">
        <v>57</v>
      </c>
    </row>
    <row r="22" spans="1:26" x14ac:dyDescent="0.2">
      <c r="A22" t="s">
        <v>5</v>
      </c>
      <c r="B22" t="s">
        <v>30</v>
      </c>
      <c r="C22" t="s">
        <v>56</v>
      </c>
      <c r="D22">
        <v>1</v>
      </c>
      <c r="E22">
        <v>5</v>
      </c>
      <c r="F22">
        <v>8.7290000000000006E-2</v>
      </c>
      <c r="G22">
        <v>1.8630000000000001E-2</v>
      </c>
      <c r="H22" t="s">
        <v>57</v>
      </c>
    </row>
    <row r="23" spans="1:26" x14ac:dyDescent="0.2">
      <c r="A23" t="s">
        <v>5</v>
      </c>
      <c r="B23" t="s">
        <v>32</v>
      </c>
      <c r="C23" t="s">
        <v>56</v>
      </c>
      <c r="D23">
        <v>1</v>
      </c>
      <c r="E23">
        <v>5</v>
      </c>
      <c r="F23">
        <v>5.1891E-2</v>
      </c>
      <c r="G23">
        <v>1.0980999999999999E-2</v>
      </c>
      <c r="H23" t="s">
        <v>57</v>
      </c>
    </row>
    <row r="24" spans="1:26" x14ac:dyDescent="0.2">
      <c r="A24" t="s">
        <v>5</v>
      </c>
      <c r="B24" t="s">
        <v>34</v>
      </c>
      <c r="C24" t="s">
        <v>56</v>
      </c>
      <c r="D24">
        <v>1</v>
      </c>
      <c r="E24">
        <v>5</v>
      </c>
      <c r="F24">
        <v>2.7459999999999998E-2</v>
      </c>
      <c r="G24">
        <v>6.5839999999999996E-3</v>
      </c>
      <c r="H24" t="s">
        <v>57</v>
      </c>
      <c r="J24" t="s">
        <v>40</v>
      </c>
      <c r="P24" t="s">
        <v>59</v>
      </c>
      <c r="T24" t="s">
        <v>64</v>
      </c>
      <c r="X24" t="s">
        <v>61</v>
      </c>
    </row>
    <row r="25" spans="1:26" x14ac:dyDescent="0.2">
      <c r="A25" t="s">
        <v>5</v>
      </c>
      <c r="B25" t="s">
        <v>36</v>
      </c>
      <c r="C25" t="s">
        <v>56</v>
      </c>
      <c r="D25">
        <v>1</v>
      </c>
      <c r="E25">
        <v>5</v>
      </c>
      <c r="F25">
        <v>1.8523000000000001E-2</v>
      </c>
      <c r="G25">
        <v>5.1799999999999997E-3</v>
      </c>
      <c r="H25" t="s">
        <v>57</v>
      </c>
      <c r="J25" t="s">
        <v>1</v>
      </c>
      <c r="K25" t="s">
        <v>6</v>
      </c>
      <c r="L25" t="s">
        <v>12</v>
      </c>
      <c r="M25" t="s">
        <v>9</v>
      </c>
      <c r="O25" t="s">
        <v>51</v>
      </c>
      <c r="P25" t="s">
        <v>2</v>
      </c>
      <c r="Q25" t="s">
        <v>3</v>
      </c>
      <c r="R25" t="s">
        <v>4</v>
      </c>
      <c r="S25" t="s">
        <v>5</v>
      </c>
      <c r="T25" t="s">
        <v>40</v>
      </c>
      <c r="U25" t="s">
        <v>41</v>
      </c>
      <c r="V25" t="s">
        <v>5</v>
      </c>
      <c r="X25" t="s">
        <v>40</v>
      </c>
      <c r="Y25" t="s">
        <v>41</v>
      </c>
      <c r="Z25" t="s">
        <v>2</v>
      </c>
    </row>
    <row r="26" spans="1:26" x14ac:dyDescent="0.2">
      <c r="A26" t="s">
        <v>5</v>
      </c>
      <c r="B26" t="s">
        <v>38</v>
      </c>
      <c r="C26" t="s">
        <v>56</v>
      </c>
      <c r="D26">
        <v>1</v>
      </c>
      <c r="E26">
        <v>5</v>
      </c>
      <c r="F26">
        <v>0.13126599999999999</v>
      </c>
      <c r="G26">
        <v>4.9313000000000003E-2</v>
      </c>
      <c r="H26" t="s">
        <v>57</v>
      </c>
      <c r="J26" t="s">
        <v>11</v>
      </c>
      <c r="K26" t="str" cm="1">
        <f t="array" ref="K26">IFERROR(INDEX($Q$3:$Q$18, MATCH(1, ($J26=$L$3:$L$18) * (K$25=$J$3:$J$18), 0)), "")</f>
        <v/>
      </c>
      <c r="L26" t="str" cm="1">
        <f t="array" ref="L26">IFERROR(INDEX($Q$3:$Q$18, MATCH(1, ($J26=$L$3:$L$18) * (L$25=$J$3:$J$18), 0)), "")</f>
        <v/>
      </c>
      <c r="M26" cm="1">
        <f t="array" ref="M26">IFERROR(INDEX($Q$3:$Q$18, MATCH(1, ($J26=$L$3:$L$18) * (M$25=$J$3:$J$18), 0)), "")</f>
        <v>4.7717077270578354</v>
      </c>
      <c r="O26" t="s">
        <v>8</v>
      </c>
      <c r="P26" cm="1">
        <f t="array" ref="P26">INDEX($G$1:$G$100, MATCH(1, ($A$1:$A$100=P$25)*($B$1:$B$100=$K3), 0))</f>
        <v>6.4810000000000006E-2</v>
      </c>
      <c r="Q26" cm="1">
        <f t="array" ref="Q26">INDEX($G$1:$G$100, MATCH(1, ($A$1:$A$100=Q$25)*($B$1:$B$100=$K3), 0))</f>
        <v>4.3934000000000001E-2</v>
      </c>
      <c r="R26" cm="1">
        <f t="array" ref="R26">INDEX($G$1:$G$100, MATCH(1, ($A$1:$A$100=R$25)*($B$1:$B$100=$K3), 0))</f>
        <v>0.50980999999999999</v>
      </c>
      <c r="S26" cm="1">
        <f t="array" ref="S26">INDEX($G$1:$G$100, MATCH(1, ($A$1:$A$100=S$25)*($B$1:$B$100=$K3), 0))</f>
        <v>4.7153E-2</v>
      </c>
      <c r="T26" t="b">
        <f>IF(ISNA(N3), TRUE, ABS($M3-N3) &gt; MAX($P26, Q26))</f>
        <v>1</v>
      </c>
      <c r="U26" t="b">
        <f>IF(ISNA(O3), TRUE, ABS($M3-O3) &gt; MAX($P26, R26))</f>
        <v>1</v>
      </c>
      <c r="V26" t="b">
        <f>IF(ISNA(P3), TRUE, ABS($M3-P3) &gt; MAX($P26, S26))</f>
        <v>0</v>
      </c>
      <c r="X26" t="b">
        <f>IF(ISNA(N3), TRUE, ABS($P3-N3) &gt; MAX($S26, Q26))</f>
        <v>1</v>
      </c>
      <c r="Y26" t="b">
        <f>IF(ISNA(O3), TRUE, ABS($P3-O3) &gt; MAX($S26, R26))</f>
        <v>1</v>
      </c>
      <c r="Z26" t="b">
        <f>IF(ISNA(M3), TRUE, ABS($P3-M3) &gt; MAX($S26, P26))</f>
        <v>0</v>
      </c>
    </row>
    <row r="27" spans="1:26" x14ac:dyDescent="0.2">
      <c r="A27" t="s">
        <v>3</v>
      </c>
      <c r="B27" t="s">
        <v>7</v>
      </c>
      <c r="C27" t="s">
        <v>56</v>
      </c>
      <c r="D27">
        <v>1</v>
      </c>
      <c r="E27">
        <v>5</v>
      </c>
      <c r="F27">
        <v>0.43465300000000001</v>
      </c>
      <c r="G27">
        <v>4.3934000000000001E-2</v>
      </c>
      <c r="H27" t="s">
        <v>57</v>
      </c>
      <c r="J27" t="s">
        <v>18</v>
      </c>
      <c r="K27" t="str" cm="1">
        <f t="array" ref="K27">IFERROR(INDEX($Q$3:$Q$18, MATCH(1, ($J27=$L$3:$L$18) * (K$25=$J$3:$J$18), 0)), "")</f>
        <v/>
      </c>
      <c r="L27" t="str" cm="1">
        <f t="array" ref="L27">IFERROR(INDEX($Q$3:$Q$18, MATCH(1, ($J27=$L$3:$L$18) * (L$25=$J$3:$J$18), 0)), "")</f>
        <v/>
      </c>
      <c r="M27" cm="1">
        <f t="array" ref="M27">IFERROR(INDEX($Q$3:$Q$18, MATCH(1, ($J27=$L$3:$L$18) * (M$25=$J$3:$J$18), 0)), "")</f>
        <v>2.9770415699514667</v>
      </c>
      <c r="O27" t="s">
        <v>11</v>
      </c>
      <c r="P27" cm="1">
        <f t="array" ref="P27">INDEX($G$1:$G$100, MATCH(1, ($A$1:$A$100=P$25)*($B$1:$B$100=$K4), 0))</f>
        <v>6.8100000000000001E-3</v>
      </c>
      <c r="Q27" cm="1">
        <f t="array" ref="Q27">INDEX($G$1:$G$100, MATCH(1, ($A$1:$A$100=Q$25)*($B$1:$B$100=$K4), 0))</f>
        <v>2.3179000000000002E-2</v>
      </c>
      <c r="R27" cm="1">
        <f t="array" ref="R27">INDEX($G$1:$G$100, MATCH(1, ($A$1:$A$100=R$25)*($B$1:$B$100=$K4), 0))</f>
        <v>0.16129199999999999</v>
      </c>
      <c r="S27" cm="1">
        <f t="array" ref="S27">INDEX($G$1:$G$100, MATCH(1, ($A$1:$A$100=S$25)*($B$1:$B$100=$K4), 0))</f>
        <v>6.3569999999999998E-3</v>
      </c>
      <c r="T27" t="b">
        <f>IF(ISNA(N4), TRUE, ABS($M4-N4) &gt; MAX($P27, Q27))</f>
        <v>1</v>
      </c>
      <c r="U27" t="b">
        <f>IF(ISNA(O4), TRUE, ABS($M4-O4) &gt; MAX($P27, R27))</f>
        <v>1</v>
      </c>
      <c r="V27" t="b">
        <f>IF(ISNA(P4), TRUE, ABS($M4-P4) &gt; MAX($P27, S27))</f>
        <v>0</v>
      </c>
      <c r="X27" t="b">
        <f>IF(ISNA(N4), TRUE, ABS($P4-N4) &gt; MAX($S27, Q27))</f>
        <v>1</v>
      </c>
      <c r="Y27" t="b">
        <f>IF(ISNA(O4), TRUE, ABS($P4-O4) &gt; MAX($S27, R27))</f>
        <v>1</v>
      </c>
      <c r="Z27" t="b">
        <f>IF(ISNA(M4), TRUE, ABS($P4-M4) &gt; MAX($S27, P27))</f>
        <v>0</v>
      </c>
    </row>
    <row r="28" spans="1:26" x14ac:dyDescent="0.2">
      <c r="A28" t="s">
        <v>3</v>
      </c>
      <c r="B28" t="s">
        <v>10</v>
      </c>
      <c r="C28" t="s">
        <v>56</v>
      </c>
      <c r="D28">
        <v>1</v>
      </c>
      <c r="E28">
        <v>5</v>
      </c>
      <c r="F28">
        <v>9.0839000000000003E-2</v>
      </c>
      <c r="G28">
        <v>2.3179000000000002E-2</v>
      </c>
      <c r="H28" t="s">
        <v>57</v>
      </c>
      <c r="J28" t="s">
        <v>58</v>
      </c>
      <c r="K28" t="str" cm="1">
        <f t="array" ref="K28">IFERROR(INDEX($Q$3:$Q$18, MATCH(1, ($J28=$L$3:$L$18) * (K$25=$J$3:$J$18), 0)), "")</f>
        <v/>
      </c>
      <c r="L28" t="str" cm="1">
        <f t="array" ref="L28">IFERROR(INDEX($Q$3:$Q$18, MATCH(1, ($J28=$L$3:$L$18) * (L$25=$J$3:$J$18), 0)), "")</f>
        <v/>
      </c>
      <c r="M28" cm="1">
        <f t="array" ref="M28">IFERROR(INDEX($Q$3:$Q$18, MATCH(1, ($J28=$L$3:$L$18) * (M$25=$J$3:$J$18), 0)), "")</f>
        <v>8.3276917068090075</v>
      </c>
      <c r="O28" t="s">
        <v>14</v>
      </c>
      <c r="P28" cm="1">
        <f t="array" ref="P28">INDEX($G$1:$G$100, MATCH(1, ($A$1:$A$100=P$25)*($B$1:$B$100=$K5), 0))</f>
        <v>1.2522999999999999E-2</v>
      </c>
      <c r="Q28" cm="1">
        <f t="array" ref="Q28">INDEX($G$1:$G$100, MATCH(1, ($A$1:$A$100=Q$25)*($B$1:$B$100=$K5), 0))</f>
        <v>1.5577000000000001E-2</v>
      </c>
      <c r="R28" cm="1">
        <f t="array" ref="R28">INDEX($G$1:$G$100, MATCH(1, ($A$1:$A$100=R$25)*($B$1:$B$100=$K5), 0))</f>
        <v>0.73902199999999996</v>
      </c>
      <c r="S28" cm="1">
        <f t="array" ref="S28">INDEX($G$1:$G$100, MATCH(1, ($A$1:$A$100=S$25)*($B$1:$B$100=$K5), 0))</f>
        <v>5.2610000000000001E-3</v>
      </c>
      <c r="T28" t="b">
        <f>IF(ISNA(N5), TRUE, ABS($M5-N5) &gt; MAX($P28, Q28))</f>
        <v>1</v>
      </c>
      <c r="U28" t="b">
        <f>IF(ISNA(O5), TRUE, ABS($M5-O5) &gt; MAX($P28, R28))</f>
        <v>1</v>
      </c>
      <c r="V28" t="b">
        <f>IF(ISNA(P5), TRUE, ABS($M5-P5) &gt; MAX($P28, S28))</f>
        <v>0</v>
      </c>
      <c r="X28" t="b">
        <f>IF(ISNA(N5), TRUE, ABS($P5-N5) &gt; MAX($S28, Q28))</f>
        <v>1</v>
      </c>
      <c r="Y28" t="b">
        <f>IF(ISNA(O5), TRUE, ABS($P5-O5) &gt; MAX($S28, R28))</f>
        <v>1</v>
      </c>
      <c r="Z28" t="b">
        <f>IF(ISNA(M5), TRUE, ABS($P5-M5) &gt; MAX($S28, P28))</f>
        <v>0</v>
      </c>
    </row>
    <row r="29" spans="1:26" x14ac:dyDescent="0.2">
      <c r="A29" t="s">
        <v>3</v>
      </c>
      <c r="B29" t="s">
        <v>13</v>
      </c>
      <c r="C29" t="s">
        <v>56</v>
      </c>
      <c r="D29">
        <v>1</v>
      </c>
      <c r="E29">
        <v>5</v>
      </c>
      <c r="F29">
        <v>0.18498500000000001</v>
      </c>
      <c r="G29">
        <v>1.5577000000000001E-2</v>
      </c>
      <c r="H29" t="s">
        <v>57</v>
      </c>
      <c r="J29" t="s">
        <v>27</v>
      </c>
      <c r="K29" t="str" cm="1">
        <f t="array" ref="K29">IFERROR(INDEX($Q$3:$Q$18, MATCH(1, ($J29=$L$3:$L$18) * (K$25=$J$3:$J$18), 0)), "")</f>
        <v/>
      </c>
      <c r="L29" t="str" cm="1">
        <f t="array" ref="L29">IFERROR(INDEX($Q$3:$Q$18, MATCH(1, ($J29=$L$3:$L$18) * (L$25=$J$3:$J$18), 0)), "")</f>
        <v/>
      </c>
      <c r="M29" cm="1">
        <f t="array" ref="M29">IFERROR(INDEX($Q$3:$Q$18, MATCH(1, ($J29=$L$3:$L$18) * (M$25=$J$3:$J$18), 0)), "")</f>
        <v>14.93821258478857</v>
      </c>
      <c r="O29" t="s">
        <v>16</v>
      </c>
      <c r="P29" cm="1">
        <f t="array" ref="P29">INDEX($G$1:$G$100, MATCH(1, ($A$1:$A$100=P$25)*($B$1:$B$100=$K6), 0))</f>
        <v>2.0789999999999999E-2</v>
      </c>
      <c r="Q29" cm="1">
        <f t="array" ref="Q29">INDEX($G$1:$G$100, MATCH(1, ($A$1:$A$100=Q$25)*($B$1:$B$100=$K6), 0))</f>
        <v>5.0166000000000002E-2</v>
      </c>
      <c r="R29" cm="1">
        <f t="array" ref="R29">INDEX($G$1:$G$100, MATCH(1, ($A$1:$A$100=R$25)*($B$1:$B$100=$K6), 0))</f>
        <v>6.3787099999999999</v>
      </c>
      <c r="S29" cm="1">
        <f t="array" ref="S29">INDEX($G$1:$G$100, MATCH(1, ($A$1:$A$100=S$25)*($B$1:$B$100=$K6), 0))</f>
        <v>4.9590000000000002E-2</v>
      </c>
      <c r="T29" t="b">
        <f>IF(ISNA(N6), TRUE, ABS($M6-N6) &gt; MAX($P29, Q29))</f>
        <v>1</v>
      </c>
      <c r="U29" t="b">
        <f>IF(ISNA(O6), TRUE, ABS($M6-O6) &gt; MAX($P29, R29))</f>
        <v>1</v>
      </c>
      <c r="V29" t="b">
        <f>IF(ISNA(P6), TRUE, ABS($M6-P6) &gt; MAX($P29, S29))</f>
        <v>0</v>
      </c>
      <c r="X29" t="b">
        <f>IF(ISNA(N6), TRUE, ABS($P6-N6) &gt; MAX($S29, Q29))</f>
        <v>1</v>
      </c>
      <c r="Y29" t="b">
        <f>IF(ISNA(O6), TRUE, ABS($P6-O6) &gt; MAX($S29, R29))</f>
        <v>1</v>
      </c>
      <c r="Z29" t="b">
        <f>IF(ISNA(M6), TRUE, ABS($P6-M6) &gt; MAX($S29, P29))</f>
        <v>0</v>
      </c>
    </row>
    <row r="30" spans="1:26" x14ac:dyDescent="0.2">
      <c r="A30" t="s">
        <v>3</v>
      </c>
      <c r="B30" t="s">
        <v>15</v>
      </c>
      <c r="C30" t="s">
        <v>56</v>
      </c>
      <c r="D30">
        <v>1</v>
      </c>
      <c r="E30">
        <v>5</v>
      </c>
      <c r="F30">
        <v>0.56551700000000005</v>
      </c>
      <c r="G30">
        <v>5.0166000000000002E-2</v>
      </c>
      <c r="H30" t="s">
        <v>57</v>
      </c>
      <c r="J30" t="s">
        <v>33</v>
      </c>
      <c r="K30" t="str" cm="1">
        <f t="array" ref="K30">IFERROR(INDEX($Q$3:$Q$18, MATCH(1, ($J30=$L$3:$L$18) * (K$25=$J$3:$J$18), 0)), "")</f>
        <v/>
      </c>
      <c r="L30" t="str" cm="1">
        <f t="array" ref="L30">IFERROR(INDEX($Q$3:$Q$18, MATCH(1, ($J30=$L$3:$L$18) * (L$25=$J$3:$J$18), 0)), "")</f>
        <v/>
      </c>
      <c r="M30" cm="1">
        <f t="array" ref="M30">IFERROR(INDEX($Q$3:$Q$18, MATCH(1, ($J30=$L$3:$L$18) * (M$25=$J$3:$J$18), 0)), "")</f>
        <v>16.019783167542194</v>
      </c>
      <c r="O30" t="s">
        <v>18</v>
      </c>
      <c r="P30" cm="1">
        <f t="array" ref="P30">INDEX($G$1:$G$100, MATCH(1, ($A$1:$A$100=P$25)*($B$1:$B$100=$K7), 0))</f>
        <v>5.4920000000000004E-3</v>
      </c>
      <c r="Q30" cm="1">
        <f t="array" ref="Q30">INDEX($G$1:$G$100, MATCH(1, ($A$1:$A$100=Q$25)*($B$1:$B$100=$K7), 0))</f>
        <v>1.1695000000000001E-2</v>
      </c>
      <c r="R30" t="e" cm="1">
        <f t="array" ref="R30">INDEX($G$1:$G$100, MATCH(1, ($A$1:$A$100=R$25)*($B$1:$B$100=$K7), 0))</f>
        <v>#N/A</v>
      </c>
      <c r="S30" cm="1">
        <f t="array" ref="S30">INDEX($G$1:$G$100, MATCH(1, ($A$1:$A$100=S$25)*($B$1:$B$100=$K7), 0))</f>
        <v>8.1679999999999999E-3</v>
      </c>
      <c r="T30" t="b">
        <f>IF(ISNA(N7), TRUE, ABS($M7-N7) &gt; MAX($P30, Q30))</f>
        <v>1</v>
      </c>
      <c r="U30" t="b">
        <f>IF(ISNA(O7), TRUE, ABS($M7-O7) &gt; MAX($P30, R30))</f>
        <v>1</v>
      </c>
      <c r="V30" t="b">
        <f>IF(ISNA(P7), TRUE, ABS($M7-P7) &gt; MAX($P30, S30))</f>
        <v>0</v>
      </c>
      <c r="X30" t="b">
        <f>IF(ISNA(N7), TRUE, ABS($P7-N7) &gt; MAX($S30, Q30))</f>
        <v>1</v>
      </c>
      <c r="Y30" t="b">
        <f>IF(ISNA(O7), TRUE, ABS($P7-O7) &gt; MAX($S30, R30))</f>
        <v>1</v>
      </c>
      <c r="Z30" t="b">
        <f>IF(ISNA(M7), TRUE, ABS($P7-M7) &gt; MAX($S30, P30))</f>
        <v>0</v>
      </c>
    </row>
    <row r="31" spans="1:26" x14ac:dyDescent="0.2">
      <c r="A31" t="s">
        <v>3</v>
      </c>
      <c r="B31" t="s">
        <v>17</v>
      </c>
      <c r="C31" t="s">
        <v>56</v>
      </c>
      <c r="D31">
        <v>1</v>
      </c>
      <c r="E31">
        <v>5</v>
      </c>
      <c r="F31">
        <v>7.0541000000000006E-2</v>
      </c>
      <c r="G31">
        <v>1.1695000000000001E-2</v>
      </c>
      <c r="H31" t="s">
        <v>57</v>
      </c>
      <c r="J31" t="s">
        <v>14</v>
      </c>
      <c r="K31" t="str" cm="1">
        <f t="array" ref="K31">IFERROR(INDEX($Q$3:$Q$18, MATCH(1, ($J31=$L$3:$L$18) * (K$25=$J$3:$J$18), 0)), "")</f>
        <v/>
      </c>
      <c r="L31" cm="1">
        <f t="array" ref="L31">IFERROR(INDEX($Q$3:$Q$18, MATCH(1, ($J31=$L$3:$L$18) * (L$25=$J$3:$J$18), 0)), "")</f>
        <v>3.8045534943029908</v>
      </c>
      <c r="M31" t="str" cm="1">
        <f t="array" ref="M31">IFERROR(INDEX($Q$3:$Q$18, MATCH(1, ($J31=$L$3:$L$18) * (M$25=$J$3:$J$18), 0)), "")</f>
        <v/>
      </c>
      <c r="O31" t="s">
        <v>20</v>
      </c>
      <c r="P31" cm="1">
        <f t="array" ref="P31">INDEX($G$1:$G$100, MATCH(1, ($A$1:$A$100=P$25)*($B$1:$B$100=$K8), 0))</f>
        <v>5.8703999999999999E-2</v>
      </c>
      <c r="Q31" cm="1">
        <f t="array" ref="Q31">INDEX($G$1:$G$100, MATCH(1, ($A$1:$A$100=Q$25)*($B$1:$B$100=$K8), 0))</f>
        <v>5.7518E-2</v>
      </c>
      <c r="R31" cm="1">
        <f t="array" ref="R31">INDEX($G$1:$G$100, MATCH(1, ($A$1:$A$100=R$25)*($B$1:$B$100=$K8), 0))</f>
        <v>6.4972599999999998</v>
      </c>
      <c r="S31" cm="1">
        <f t="array" ref="S31">INDEX($G$1:$G$100, MATCH(1, ($A$1:$A$100=S$25)*($B$1:$B$100=$K8), 0))</f>
        <v>2.9825999999999998E-2</v>
      </c>
      <c r="T31" t="b">
        <f>IF(ISNA(N8), TRUE, ABS($M8-N8) &gt; MAX($P31, Q31))</f>
        <v>1</v>
      </c>
      <c r="U31" t="b">
        <f>IF(ISNA(O8), TRUE, ABS($M8-O8) &gt; MAX($P31, R31))</f>
        <v>1</v>
      </c>
      <c r="V31" t="b">
        <f>IF(ISNA(P8), TRUE, ABS($M8-P8) &gt; MAX($P31, S31))</f>
        <v>0</v>
      </c>
      <c r="X31" t="b">
        <f>IF(ISNA(N8), TRUE, ABS($P8-N8) &gt; MAX($S31, Q31))</f>
        <v>1</v>
      </c>
      <c r="Y31" t="b">
        <f>IF(ISNA(O8), TRUE, ABS($P8-O8) &gt; MAX($S31, R31))</f>
        <v>1</v>
      </c>
      <c r="Z31" t="b">
        <f>IF(ISNA(M8), TRUE, ABS($P8-M8) &gt; MAX($S31, P31))</f>
        <v>0</v>
      </c>
    </row>
    <row r="32" spans="1:26" x14ac:dyDescent="0.2">
      <c r="A32" t="s">
        <v>3</v>
      </c>
      <c r="B32" t="s">
        <v>19</v>
      </c>
      <c r="C32" t="s">
        <v>56</v>
      </c>
      <c r="D32">
        <v>1</v>
      </c>
      <c r="E32">
        <v>5</v>
      </c>
      <c r="F32">
        <v>0.76612599999999997</v>
      </c>
      <c r="G32">
        <v>5.7518E-2</v>
      </c>
      <c r="H32" t="s">
        <v>57</v>
      </c>
      <c r="J32" t="s">
        <v>16</v>
      </c>
      <c r="K32" t="str" cm="1">
        <f t="array" ref="K32">IFERROR(INDEX($Q$3:$Q$18, MATCH(1, ($J32=$L$3:$L$18) * (K$25=$J$3:$J$18), 0)), "")</f>
        <v/>
      </c>
      <c r="L32" cm="1">
        <f t="array" ref="L32">IFERROR(INDEX($Q$3:$Q$18, MATCH(1, ($J32=$L$3:$L$18) * (L$25=$J$3:$J$18), 0)), "")</f>
        <v>6.396599893675984</v>
      </c>
      <c r="M32" t="str" cm="1">
        <f t="array" ref="M32">IFERROR(INDEX($Q$3:$Q$18, MATCH(1, ($J32=$L$3:$L$18) * (M$25=$J$3:$J$18), 0)), "")</f>
        <v/>
      </c>
      <c r="O32" t="s">
        <v>22</v>
      </c>
      <c r="P32" cm="1">
        <f t="array" ref="P32">INDEX($G$1:$G$100, MATCH(1, ($A$1:$A$100=P$25)*($B$1:$B$100=$K9), 0))</f>
        <v>0.15834999999999999</v>
      </c>
      <c r="Q32" cm="1">
        <f t="array" ref="Q32">INDEX($G$1:$G$100, MATCH(1, ($A$1:$A$100=Q$25)*($B$1:$B$100=$K9), 0))</f>
        <v>0.23764199999999999</v>
      </c>
      <c r="R32" t="e" cm="1">
        <f t="array" ref="R32">INDEX($G$1:$G$100, MATCH(1, ($A$1:$A$100=R$25)*($B$1:$B$100=$K9), 0))</f>
        <v>#N/A</v>
      </c>
      <c r="S32" cm="1">
        <f t="array" ref="S32">INDEX($G$1:$G$100, MATCH(1, ($A$1:$A$100=S$25)*($B$1:$B$100=$K9), 0))</f>
        <v>8.1883999999999998E-2</v>
      </c>
      <c r="T32" t="b">
        <f>IF(ISNA(N9), TRUE, ABS($M9-N9) &gt; MAX($P32, Q32))</f>
        <v>1</v>
      </c>
      <c r="U32" t="b">
        <f>IF(ISNA(O9), TRUE, ABS($M9-O9) &gt; MAX($P32, R32))</f>
        <v>1</v>
      </c>
      <c r="V32" t="b">
        <f>IF(ISNA(P9), TRUE, ABS($M9-P9) &gt; MAX($P32, S32))</f>
        <v>0</v>
      </c>
      <c r="X32" t="b">
        <f>IF(ISNA(N9), TRUE, ABS($P9-N9) &gt; MAX($S32, Q32))</f>
        <v>1</v>
      </c>
      <c r="Y32" t="b">
        <f>IF(ISNA(O9), TRUE, ABS($P9-O9) &gt; MAX($S32, R32))</f>
        <v>1</v>
      </c>
      <c r="Z32" t="b">
        <f>IF(ISNA(M9), TRUE, ABS($P9-M9) &gt; MAX($S32, P32))</f>
        <v>0</v>
      </c>
    </row>
    <row r="33" spans="1:26" x14ac:dyDescent="0.2">
      <c r="A33" t="s">
        <v>3</v>
      </c>
      <c r="B33" t="s">
        <v>21</v>
      </c>
      <c r="C33" t="s">
        <v>56</v>
      </c>
      <c r="D33">
        <v>1</v>
      </c>
      <c r="E33">
        <v>5</v>
      </c>
      <c r="F33">
        <v>5.7134239999999998</v>
      </c>
      <c r="G33">
        <v>0.23764199999999999</v>
      </c>
      <c r="H33" t="s">
        <v>57</v>
      </c>
      <c r="J33" t="s">
        <v>20</v>
      </c>
      <c r="K33" t="str" cm="1">
        <f t="array" ref="K33">IFERROR(INDEX($Q$3:$Q$18, MATCH(1, ($J33=$L$3:$L$18) * (K$25=$J$3:$J$18), 0)), "")</f>
        <v/>
      </c>
      <c r="L33" cm="1">
        <f t="array" ref="L33">IFERROR(INDEX($Q$3:$Q$18, MATCH(1, ($J33=$L$3:$L$18) * (L$25=$J$3:$J$18), 0)), "")</f>
        <v>2.5325725846173173</v>
      </c>
      <c r="M33" t="str" cm="1">
        <f t="array" ref="M33">IFERROR(INDEX($Q$3:$Q$18, MATCH(1, ($J33=$L$3:$L$18) * (M$25=$J$3:$J$18), 0)), "")</f>
        <v/>
      </c>
      <c r="O33" t="s">
        <v>58</v>
      </c>
      <c r="P33" cm="1">
        <f t="array" ref="P33">INDEX($G$1:$G$100, MATCH(1, ($A$1:$A$100=P$25)*($B$1:$B$100=$K10), 0))</f>
        <v>1.8860000000000001E-3</v>
      </c>
      <c r="Q33" cm="1">
        <f t="array" ref="Q33">INDEX($G$1:$G$100, MATCH(1, ($A$1:$A$100=Q$25)*($B$1:$B$100=$K10), 0))</f>
        <v>1.5502999999999999E-2</v>
      </c>
      <c r="R33" cm="1">
        <f t="array" ref="R33">INDEX($G$1:$G$100, MATCH(1, ($A$1:$A$100=R$25)*($B$1:$B$100=$K10), 0))</f>
        <v>0.50560400000000005</v>
      </c>
      <c r="S33" cm="1">
        <f t="array" ref="S33">INDEX($G$1:$G$100, MATCH(1, ($A$1:$A$100=S$25)*($B$1:$B$100=$K10), 0))</f>
        <v>5.0559999999999997E-3</v>
      </c>
      <c r="T33" t="b">
        <f>IF(ISNA(N10), TRUE, ABS($M10-N10) &gt; MAX($P33, Q33))</f>
        <v>1</v>
      </c>
      <c r="U33" t="b">
        <f>IF(ISNA(O10), TRUE, ABS($M10-O10) &gt; MAX($P33, R33))</f>
        <v>1</v>
      </c>
      <c r="V33" t="b">
        <f>IF(ISNA(P10), TRUE, ABS($M10-P10) &gt; MAX($P33, S33))</f>
        <v>0</v>
      </c>
      <c r="X33" t="b">
        <f>IF(ISNA(N10), TRUE, ABS($P10-N10) &gt; MAX($S33, Q33))</f>
        <v>1</v>
      </c>
      <c r="Y33" t="b">
        <f>IF(ISNA(O10), TRUE, ABS($P10-O10) &gt; MAX($S33, R33))</f>
        <v>1</v>
      </c>
      <c r="Z33" t="b">
        <f>IF(ISNA(M10), TRUE, ABS($P10-M10) &gt; MAX($S33, P33))</f>
        <v>0</v>
      </c>
    </row>
    <row r="34" spans="1:26" x14ac:dyDescent="0.2">
      <c r="A34" t="s">
        <v>3</v>
      </c>
      <c r="B34" t="s">
        <v>23</v>
      </c>
      <c r="C34" t="s">
        <v>56</v>
      </c>
      <c r="D34">
        <v>1</v>
      </c>
      <c r="E34">
        <v>5</v>
      </c>
      <c r="F34">
        <v>6.3964999999999994E-2</v>
      </c>
      <c r="G34">
        <v>1.5502999999999999E-2</v>
      </c>
      <c r="H34" t="s">
        <v>57</v>
      </c>
      <c r="J34" t="s">
        <v>39</v>
      </c>
      <c r="K34" t="str" cm="1">
        <f t="array" ref="K34">IFERROR(INDEX($Q$3:$Q$18, MATCH(1, ($J34=$L$3:$L$18) * (K$25=$J$3:$J$18), 0)), "")</f>
        <v/>
      </c>
      <c r="L34" cm="1">
        <f t="array" ref="L34">IFERROR(INDEX($Q$3:$Q$18, MATCH(1, ($J34=$L$3:$L$18) * (L$25=$J$3:$J$18), 0)), "")</f>
        <v>20.514766688646677</v>
      </c>
      <c r="M34" t="str" cm="1">
        <f t="array" ref="M34">IFERROR(INDEX($Q$3:$Q$18, MATCH(1, ($J34=$L$3:$L$18) * (M$25=$J$3:$J$18), 0)), "")</f>
        <v/>
      </c>
      <c r="O34" t="s">
        <v>25</v>
      </c>
      <c r="P34" cm="1">
        <f t="array" ref="P34">INDEX($G$1:$G$100, MATCH(1, ($A$1:$A$100=P$25)*($B$1:$B$100=$K11), 0))</f>
        <v>12.219408</v>
      </c>
      <c r="Q34" t="e" cm="1">
        <f t="array" ref="Q34">INDEX($G$1:$G$100, MATCH(1, ($A$1:$A$100=Q$25)*($B$1:$B$100=$K11), 0))</f>
        <v>#N/A</v>
      </c>
      <c r="R34" t="e" cm="1">
        <f t="array" ref="R34">INDEX($G$1:$G$100, MATCH(1, ($A$1:$A$100=R$25)*($B$1:$B$100=$K11), 0))</f>
        <v>#N/A</v>
      </c>
      <c r="S34" cm="1">
        <f t="array" ref="S34">INDEX($G$1:$G$100, MATCH(1, ($A$1:$A$100=S$25)*($B$1:$B$100=$K11), 0))</f>
        <v>12.474529</v>
      </c>
      <c r="T34" t="b">
        <f>IF(ISNA(N11), TRUE, ABS($M11-N11) &gt; MAX($P34, Q34))</f>
        <v>1</v>
      </c>
      <c r="U34" t="b">
        <f>IF(ISNA(O11), TRUE, ABS($M11-O11) &gt; MAX($P34, R34))</f>
        <v>1</v>
      </c>
      <c r="V34" t="b">
        <f>IF(ISNA(P11), TRUE, ABS($M11-P11) &gt; MAX($P34, S34))</f>
        <v>0</v>
      </c>
      <c r="X34" t="b">
        <f>IF(ISNA(N11), TRUE, ABS($P11-N11) &gt; MAX($S34, Q34))</f>
        <v>1</v>
      </c>
      <c r="Y34" t="b">
        <f>IF(ISNA(O11), TRUE, ABS($P11-O11) &gt; MAX($S34, R34))</f>
        <v>1</v>
      </c>
      <c r="Z34" t="b">
        <f>IF(ISNA(M11), TRUE, ABS($P11-M11) &gt; MAX($S34, P34))</f>
        <v>0</v>
      </c>
    </row>
    <row r="35" spans="1:26" x14ac:dyDescent="0.2">
      <c r="A35" t="s">
        <v>3</v>
      </c>
      <c r="B35" t="s">
        <v>26</v>
      </c>
      <c r="C35" t="s">
        <v>56</v>
      </c>
      <c r="D35">
        <v>1</v>
      </c>
      <c r="E35">
        <v>5</v>
      </c>
      <c r="F35">
        <v>0.82805499999999999</v>
      </c>
      <c r="G35">
        <v>8.5555000000000006E-2</v>
      </c>
      <c r="H35" t="s">
        <v>57</v>
      </c>
      <c r="J35" t="s">
        <v>22</v>
      </c>
      <c r="K35" t="str" cm="1">
        <f t="array" ref="K35">IFERROR(INDEX($Q$3:$Q$18, MATCH(1, ($J35=$L$3:$L$18) * (K$25=$J$3:$J$18), 0)), "")</f>
        <v/>
      </c>
      <c r="L35" cm="1">
        <f t="array" ref="L35">IFERROR(INDEX($Q$3:$Q$18, MATCH(1, ($J35=$L$3:$L$18) * (L$25=$J$3:$J$18), 0)), "")</f>
        <v>5.1470479866022725</v>
      </c>
      <c r="M35" t="str" cm="1">
        <f t="array" ref="M35">IFERROR(INDEX($Q$3:$Q$18, MATCH(1, ($J35=$L$3:$L$18) * (M$25=$J$3:$J$18), 0)), "")</f>
        <v/>
      </c>
      <c r="O35" t="s">
        <v>27</v>
      </c>
      <c r="P35" cm="1">
        <f t="array" ref="P35">INDEX($G$1:$G$100, MATCH(1, ($A$1:$A$100=P$25)*($B$1:$B$100=$K12), 0))</f>
        <v>9.2160000000000002E-3</v>
      </c>
      <c r="Q35" cm="1">
        <f t="array" ref="Q35">INDEX($G$1:$G$100, MATCH(1, ($A$1:$A$100=Q$25)*($B$1:$B$100=$K12), 0))</f>
        <v>8.5555000000000006E-2</v>
      </c>
      <c r="R35" t="e" cm="1">
        <f t="array" ref="R35">INDEX($G$1:$G$100, MATCH(1, ($A$1:$A$100=R$25)*($B$1:$B$100=$K12), 0))</f>
        <v>#N/A</v>
      </c>
      <c r="S35" cm="1">
        <f t="array" ref="S35">INDEX($G$1:$G$100, MATCH(1, ($A$1:$A$100=S$25)*($B$1:$B$100=$K12), 0))</f>
        <v>9.3019999999999995E-3</v>
      </c>
      <c r="T35" t="b">
        <f>IF(ISNA(N12), TRUE, ABS($M12-N12) &gt; MAX($P35, Q35))</f>
        <v>1</v>
      </c>
      <c r="U35" t="b">
        <f>IF(ISNA(O12), TRUE, ABS($M12-O12) &gt; MAX($P35, R35))</f>
        <v>1</v>
      </c>
      <c r="V35" t="b">
        <f>IF(ISNA(P12), TRUE, ABS($M12-P12) &gt; MAX($P35, S35))</f>
        <v>0</v>
      </c>
      <c r="X35" t="b">
        <f>IF(ISNA(N12), TRUE, ABS($P12-N12) &gt; MAX($S35, Q35))</f>
        <v>1</v>
      </c>
      <c r="Y35" t="b">
        <f>IF(ISNA(O12), TRUE, ABS($P12-O12) &gt; MAX($S35, R35))</f>
        <v>1</v>
      </c>
      <c r="Z35" t="b">
        <f>IF(ISNA(M12), TRUE, ABS($P12-M12) &gt; MAX($S35, P35))</f>
        <v>0</v>
      </c>
    </row>
    <row r="36" spans="1:26" x14ac:dyDescent="0.2">
      <c r="A36" t="s">
        <v>3</v>
      </c>
      <c r="B36" t="s">
        <v>28</v>
      </c>
      <c r="C36" t="s">
        <v>56</v>
      </c>
      <c r="D36">
        <v>1</v>
      </c>
      <c r="E36">
        <v>5</v>
      </c>
      <c r="F36">
        <v>0.39228499999999999</v>
      </c>
      <c r="G36">
        <v>5.5654000000000002E-2</v>
      </c>
      <c r="H36" t="s">
        <v>57</v>
      </c>
      <c r="J36" t="s">
        <v>25</v>
      </c>
      <c r="K36" t="str" cm="1">
        <f t="array" ref="K36">IFERROR(INDEX($Q$3:$Q$18, MATCH(1, ($J36=$L$3:$L$18) * (K$25=$J$3:$J$18), 0)), "")</f>
        <v/>
      </c>
      <c r="L36" t="str" cm="1">
        <f t="array" ref="L36">IFERROR(INDEX($Q$3:$Q$18, MATCH(1, ($J36=$L$3:$L$18) * (L$25=$J$3:$J$18), 0)), "")</f>
        <v>DNF</v>
      </c>
      <c r="M36" t="str" cm="1">
        <f t="array" ref="M36">IFERROR(INDEX($Q$3:$Q$18, MATCH(1, ($J36=$L$3:$L$18) * (M$25=$J$3:$J$18), 0)), "")</f>
        <v/>
      </c>
      <c r="O36" t="s">
        <v>29</v>
      </c>
      <c r="P36" cm="1">
        <f t="array" ref="P36">INDEX($G$1:$G$100, MATCH(1, ($A$1:$A$100=P$25)*($B$1:$B$100=$K13), 0))</f>
        <v>2.6242999999999999E-2</v>
      </c>
      <c r="Q36" cm="1">
        <f t="array" ref="Q36">INDEX($G$1:$G$100, MATCH(1, ($A$1:$A$100=Q$25)*($B$1:$B$100=$K13), 0))</f>
        <v>5.5654000000000002E-2</v>
      </c>
      <c r="R36" t="e" cm="1">
        <f t="array" ref="R36">INDEX($G$1:$G$100, MATCH(1, ($A$1:$A$100=R$25)*($B$1:$B$100=$K13), 0))</f>
        <v>#N/A</v>
      </c>
      <c r="S36" cm="1">
        <f t="array" ref="S36">INDEX($G$1:$G$100, MATCH(1, ($A$1:$A$100=S$25)*($B$1:$B$100=$K13), 0))</f>
        <v>1.7659000000000001E-2</v>
      </c>
      <c r="T36" t="b">
        <f>IF(ISNA(N13), TRUE, ABS($M13-N13) &gt; MAX($P36, Q36))</f>
        <v>1</v>
      </c>
      <c r="U36" t="b">
        <f>IF(ISNA(O13), TRUE, ABS($M13-O13) &gt; MAX($P36, R36))</f>
        <v>1</v>
      </c>
      <c r="V36" t="b">
        <f>IF(ISNA(P13), TRUE, ABS($M13-P13) &gt; MAX($P36, S36))</f>
        <v>0</v>
      </c>
      <c r="X36" t="b">
        <f>IF(ISNA(N13), TRUE, ABS($P13-N13) &gt; MAX($S36, Q36))</f>
        <v>1</v>
      </c>
      <c r="Y36" t="b">
        <f>IF(ISNA(O13), TRUE, ABS($P13-O13) &gt; MAX($S36, R36))</f>
        <v>1</v>
      </c>
      <c r="Z36" t="b">
        <f>IF(ISNA(M13), TRUE, ABS($P13-M13) &gt; MAX($S36, P36))</f>
        <v>0</v>
      </c>
    </row>
    <row r="37" spans="1:26" x14ac:dyDescent="0.2">
      <c r="A37" t="s">
        <v>3</v>
      </c>
      <c r="B37" t="s">
        <v>30</v>
      </c>
      <c r="C37" t="s">
        <v>56</v>
      </c>
      <c r="D37">
        <v>1</v>
      </c>
      <c r="E37">
        <v>5</v>
      </c>
      <c r="F37">
        <v>0.65006799999999998</v>
      </c>
      <c r="G37">
        <v>8.5748000000000005E-2</v>
      </c>
      <c r="H37" t="s">
        <v>57</v>
      </c>
      <c r="J37" t="s">
        <v>29</v>
      </c>
      <c r="K37" t="str" cm="1">
        <f t="array" ref="K37">IFERROR(INDEX($Q$3:$Q$18, MATCH(1, ($J37=$L$3:$L$18) * (K$25=$J$3:$J$18), 0)), "")</f>
        <v/>
      </c>
      <c r="L37" cm="1">
        <f t="array" ref="L37">IFERROR(INDEX($Q$3:$Q$18, MATCH(1, ($J37=$L$3:$L$18) * (L$25=$J$3:$J$18), 0)), "")</f>
        <v>5.893439298108559</v>
      </c>
      <c r="M37" t="str" cm="1">
        <f t="array" ref="M37">IFERROR(INDEX($Q$3:$Q$18, MATCH(1, ($J37=$L$3:$L$18) * (M$25=$J$3:$J$18), 0)), "")</f>
        <v/>
      </c>
      <c r="O37" t="s">
        <v>31</v>
      </c>
      <c r="P37" cm="1">
        <f t="array" ref="P37">INDEX($G$1:$G$100, MATCH(1, ($A$1:$A$100=P$25)*($B$1:$B$100=$K14), 0))</f>
        <v>2.0761000000000002E-2</v>
      </c>
      <c r="Q37" cm="1">
        <f t="array" ref="Q37">INDEX($G$1:$G$100, MATCH(1, ($A$1:$A$100=Q$25)*($B$1:$B$100=$K14), 0))</f>
        <v>8.5748000000000005E-2</v>
      </c>
      <c r="R37" t="e" cm="1">
        <f t="array" ref="R37">INDEX($G$1:$G$100, MATCH(1, ($A$1:$A$100=R$25)*($B$1:$B$100=$K14), 0))</f>
        <v>#N/A</v>
      </c>
      <c r="S37" cm="1">
        <f t="array" ref="S37">INDEX($G$1:$G$100, MATCH(1, ($A$1:$A$100=S$25)*($B$1:$B$100=$K14), 0))</f>
        <v>1.8630000000000001E-2</v>
      </c>
      <c r="T37" t="b">
        <f>IF(ISNA(N14), TRUE, ABS($M14-N14) &gt; MAX($P37, Q37))</f>
        <v>1</v>
      </c>
      <c r="U37" t="b">
        <f>IF(ISNA(O14), TRUE, ABS($M14-O14) &gt; MAX($P37, R37))</f>
        <v>1</v>
      </c>
      <c r="V37" t="b">
        <f>IF(ISNA(P14), TRUE, ABS($M14-P14) &gt; MAX($P37, S37))</f>
        <v>0</v>
      </c>
      <c r="X37" t="b">
        <f>IF(ISNA(N14), TRUE, ABS($P14-N14) &gt; MAX($S37, Q37))</f>
        <v>1</v>
      </c>
      <c r="Y37" t="b">
        <f>IF(ISNA(O14), TRUE, ABS($P14-O14) &gt; MAX($S37, R37))</f>
        <v>1</v>
      </c>
      <c r="Z37" t="b">
        <f>IF(ISNA(M14), TRUE, ABS($P14-M14) &gt; MAX($S37, P37))</f>
        <v>0</v>
      </c>
    </row>
    <row r="38" spans="1:26" x14ac:dyDescent="0.2">
      <c r="A38" t="s">
        <v>3</v>
      </c>
      <c r="B38" t="s">
        <v>32</v>
      </c>
      <c r="C38" t="s">
        <v>56</v>
      </c>
      <c r="D38">
        <v>1</v>
      </c>
      <c r="E38">
        <v>5</v>
      </c>
      <c r="F38">
        <v>0.85997400000000002</v>
      </c>
      <c r="G38">
        <v>4.0948999999999999E-2</v>
      </c>
      <c r="H38" t="s">
        <v>57</v>
      </c>
      <c r="J38" t="s">
        <v>31</v>
      </c>
      <c r="K38" t="str" cm="1">
        <f t="array" ref="K38">IFERROR(INDEX($Q$3:$Q$18, MATCH(1, ($J38=$L$3:$L$18) * (K$25=$J$3:$J$18), 0)), "")</f>
        <v/>
      </c>
      <c r="L38" cm="1">
        <f t="array" ref="L38">IFERROR(INDEX($Q$3:$Q$18, MATCH(1, ($J38=$L$3:$L$18) * (L$25=$J$3:$J$18), 0)), "")</f>
        <v>7.1658105337419258</v>
      </c>
      <c r="M38" t="str" cm="1">
        <f t="array" ref="M38">IFERROR(INDEX($Q$3:$Q$18, MATCH(1, ($J38=$L$3:$L$18) * (M$25=$J$3:$J$18), 0)), "")</f>
        <v/>
      </c>
      <c r="O38" t="s">
        <v>33</v>
      </c>
      <c r="P38" cm="1">
        <f t="array" ref="P38">INDEX($G$1:$G$100, MATCH(1, ($A$1:$A$100=P$25)*($B$1:$B$100=$K15), 0))</f>
        <v>1.4962E-2</v>
      </c>
      <c r="Q38" cm="1">
        <f t="array" ref="Q38">INDEX($G$1:$G$100, MATCH(1, ($A$1:$A$100=Q$25)*($B$1:$B$100=$K15), 0))</f>
        <v>4.0948999999999999E-2</v>
      </c>
      <c r="R38" t="e" cm="1">
        <f t="array" ref="R38">INDEX($G$1:$G$100, MATCH(1, ($A$1:$A$100=R$25)*($B$1:$B$100=$K15), 0))</f>
        <v>#N/A</v>
      </c>
      <c r="S38" cm="1">
        <f t="array" ref="S38">INDEX($G$1:$G$100, MATCH(1, ($A$1:$A$100=S$25)*($B$1:$B$100=$K15), 0))</f>
        <v>1.0980999999999999E-2</v>
      </c>
      <c r="T38" t="b">
        <f>IF(ISNA(N15), TRUE, ABS($M15-N15) &gt; MAX($P38, Q38))</f>
        <v>1</v>
      </c>
      <c r="U38" t="b">
        <f>IF(ISNA(O15), TRUE, ABS($M15-O15) &gt; MAX($P38, R38))</f>
        <v>1</v>
      </c>
      <c r="V38" t="b">
        <f>IF(ISNA(P15), TRUE, ABS($M15-P15) &gt; MAX($P38, S38))</f>
        <v>0</v>
      </c>
      <c r="X38" t="b">
        <f>IF(ISNA(N15), TRUE, ABS($P15-N15) &gt; MAX($S38, Q38))</f>
        <v>1</v>
      </c>
      <c r="Y38" t="b">
        <f>IF(ISNA(O15), TRUE, ABS($P15-O15) &gt; MAX($S38, R38))</f>
        <v>1</v>
      </c>
      <c r="Z38" t="b">
        <f>IF(ISNA(M15), TRUE, ABS($P15-M15) &gt; MAX($S38, P38))</f>
        <v>0</v>
      </c>
    </row>
    <row r="39" spans="1:26" x14ac:dyDescent="0.2">
      <c r="A39" t="s">
        <v>3</v>
      </c>
      <c r="B39" t="s">
        <v>34</v>
      </c>
      <c r="C39" t="s">
        <v>56</v>
      </c>
      <c r="D39">
        <v>1</v>
      </c>
      <c r="E39">
        <v>5</v>
      </c>
      <c r="F39">
        <v>0.16139899999999999</v>
      </c>
      <c r="G39">
        <v>9.5270000000000007E-3</v>
      </c>
      <c r="H39" t="s">
        <v>57</v>
      </c>
      <c r="J39" t="s">
        <v>8</v>
      </c>
      <c r="K39" cm="1">
        <f t="array" ref="K39">IFERROR(INDEX($Q$3:$Q$18, MATCH(1, ($J39=$L$3:$L$18) * (K$25=$J$3:$J$18), 0)), "")</f>
        <v>1.9824899884148401</v>
      </c>
      <c r="L39" t="str" cm="1">
        <f t="array" ref="L39">IFERROR(INDEX($Q$3:$Q$18, MATCH(1, ($J39=$L$3:$L$18) * (L$25=$J$3:$J$18), 0)), "")</f>
        <v/>
      </c>
      <c r="M39" t="str" cm="1">
        <f t="array" ref="M39">IFERROR(INDEX($Q$3:$Q$18, MATCH(1, ($J39=$L$3:$L$18) * (M$25=$J$3:$J$18), 0)), "")</f>
        <v/>
      </c>
      <c r="O39" t="s">
        <v>35</v>
      </c>
      <c r="P39" cm="1">
        <f t="array" ref="P39">INDEX($G$1:$G$100, MATCH(1, ($A$1:$A$100=P$25)*($B$1:$B$100=$K16), 0))</f>
        <v>5.1019999999999998E-3</v>
      </c>
      <c r="Q39" cm="1">
        <f t="array" ref="Q39">INDEX($G$1:$G$100, MATCH(1, ($A$1:$A$100=Q$25)*($B$1:$B$100=$K16), 0))</f>
        <v>9.5270000000000007E-3</v>
      </c>
      <c r="R39" cm="1">
        <f t="array" ref="R39">INDEX($G$1:$G$100, MATCH(1, ($A$1:$A$100=R$25)*($B$1:$B$100=$K16), 0))</f>
        <v>0.14718300000000001</v>
      </c>
      <c r="S39" cm="1">
        <f t="array" ref="S39">INDEX($G$1:$G$100, MATCH(1, ($A$1:$A$100=S$25)*($B$1:$B$100=$K16), 0))</f>
        <v>6.5839999999999996E-3</v>
      </c>
      <c r="T39" t="b">
        <f>IF(ISNA(N16), TRUE, ABS($M16-N16) &gt; MAX($P39, Q39))</f>
        <v>1</v>
      </c>
      <c r="U39" t="b">
        <f>IF(ISNA(O16), TRUE, ABS($M16-O16) &gt; MAX($P39, R39))</f>
        <v>1</v>
      </c>
      <c r="V39" t="b">
        <f>IF(ISNA(P16), TRUE, ABS($M16-P16) &gt; MAX($P39, S39))</f>
        <v>0</v>
      </c>
      <c r="X39" t="b">
        <f>IF(ISNA(N16), TRUE, ABS($P16-N16) &gt; MAX($S39, Q39))</f>
        <v>1</v>
      </c>
      <c r="Y39" t="b">
        <f>IF(ISNA(O16), TRUE, ABS($P16-O16) &gt; MAX($S39, R39))</f>
        <v>1</v>
      </c>
      <c r="Z39" t="b">
        <f>IF(ISNA(M16), TRUE, ABS($P16-M16) &gt; MAX($S39, P39))</f>
        <v>0</v>
      </c>
    </row>
    <row r="40" spans="1:26" x14ac:dyDescent="0.2">
      <c r="A40" t="s">
        <v>3</v>
      </c>
      <c r="B40" t="s">
        <v>36</v>
      </c>
      <c r="C40" t="s">
        <v>56</v>
      </c>
      <c r="D40">
        <v>1</v>
      </c>
      <c r="E40">
        <v>5</v>
      </c>
      <c r="F40">
        <v>7.6234999999999997E-2</v>
      </c>
      <c r="G40">
        <v>6.4770000000000001E-3</v>
      </c>
      <c r="H40" t="s">
        <v>57</v>
      </c>
      <c r="J40" t="s">
        <v>35</v>
      </c>
      <c r="K40" cm="1">
        <f t="array" ref="K40">IFERROR(INDEX($Q$3:$Q$18, MATCH(1, ($J40=$L$3:$L$18) * (K$25=$J$3:$J$18), 0)), "")</f>
        <v>5.4918166660995613</v>
      </c>
      <c r="L40" t="str" cm="1">
        <f t="array" ref="L40">IFERROR(INDEX($Q$3:$Q$18, MATCH(1, ($J40=$L$3:$L$18) * (L$25=$J$3:$J$18), 0)), "")</f>
        <v/>
      </c>
      <c r="M40" t="str" cm="1">
        <f t="array" ref="M40">IFERROR(INDEX($Q$3:$Q$18, MATCH(1, ($J40=$L$3:$L$18) * (M$25=$J$3:$J$18), 0)), "")</f>
        <v/>
      </c>
      <c r="O40" t="s">
        <v>37</v>
      </c>
      <c r="P40" cm="1">
        <f t="array" ref="P40">INDEX($G$1:$G$100, MATCH(1, ($A$1:$A$100=P$25)*($B$1:$B$100=$K17), 0))</f>
        <v>8.2489999999999994E-3</v>
      </c>
      <c r="Q40" cm="1">
        <f t="array" ref="Q40">INDEX($G$1:$G$100, MATCH(1, ($A$1:$A$100=Q$25)*($B$1:$B$100=$K17), 0))</f>
        <v>6.4770000000000001E-3</v>
      </c>
      <c r="R40" cm="1">
        <f t="array" ref="R40">INDEX($G$1:$G$100, MATCH(1, ($A$1:$A$100=R$25)*($B$1:$B$100=$K17), 0))</f>
        <v>2.0931999999999999E-2</v>
      </c>
      <c r="S40" cm="1">
        <f t="array" ref="S40">INDEX($G$1:$G$100, MATCH(1, ($A$1:$A$100=S$25)*($B$1:$B$100=$K17), 0))</f>
        <v>5.1799999999999997E-3</v>
      </c>
      <c r="T40" t="b">
        <f>IF(ISNA(N17), TRUE, ABS($M17-N17) &gt; MAX($P40, Q40))</f>
        <v>1</v>
      </c>
      <c r="U40" t="b">
        <f>IF(ISNA(O17), TRUE, ABS($M17-O17) &gt; MAX($P40, R40))</f>
        <v>1</v>
      </c>
      <c r="V40" t="b">
        <f>IF(ISNA(P17), TRUE, ABS($M17-P17) &gt; MAX($P40, S40))</f>
        <v>0</v>
      </c>
      <c r="X40" t="b">
        <f>IF(ISNA(N17), TRUE, ABS($P17-N17) &gt; MAX($S40, Q40))</f>
        <v>1</v>
      </c>
      <c r="Y40" t="b">
        <f>IF(ISNA(O17), TRUE, ABS($P17-O17) &gt; MAX($S40, R40))</f>
        <v>1</v>
      </c>
      <c r="Z40" t="b">
        <f>IF(ISNA(M17), TRUE, ABS($P17-M17) &gt; MAX($S40, P40))</f>
        <v>0</v>
      </c>
    </row>
    <row r="41" spans="1:26" x14ac:dyDescent="0.2">
      <c r="A41" t="s">
        <v>3</v>
      </c>
      <c r="B41" t="s">
        <v>38</v>
      </c>
      <c r="C41" t="s">
        <v>56</v>
      </c>
      <c r="D41">
        <v>1</v>
      </c>
      <c r="E41">
        <v>5</v>
      </c>
      <c r="F41">
        <v>2.6444559999999999</v>
      </c>
      <c r="G41">
        <v>0.26166</v>
      </c>
      <c r="H41" t="s">
        <v>57</v>
      </c>
      <c r="J41" t="s">
        <v>37</v>
      </c>
      <c r="K41" cm="1">
        <f t="array" ref="K41">IFERROR(INDEX($Q$3:$Q$18, MATCH(1, ($J41=$L$3:$L$18) * (K$25=$J$3:$J$18), 0)), "")</f>
        <v>3.5535822495688247</v>
      </c>
      <c r="L41" t="str" cm="1">
        <f t="array" ref="L41">IFERROR(INDEX($Q$3:$Q$18, MATCH(1, ($J41=$L$3:$L$18) * (L$25=$J$3:$J$18), 0)), "")</f>
        <v/>
      </c>
      <c r="M41" t="str" cm="1">
        <f t="array" ref="M41">IFERROR(INDEX($Q$3:$Q$18, MATCH(1, ($J41=$L$3:$L$18) * (M$25=$J$3:$J$18), 0)), "")</f>
        <v/>
      </c>
      <c r="O41" t="s">
        <v>39</v>
      </c>
      <c r="P41" cm="1">
        <f t="array" ref="P41">INDEX($G$1:$G$100, MATCH(1, ($A$1:$A$100=P$25)*($B$1:$B$100=$K18), 0))</f>
        <v>2.8669E-2</v>
      </c>
      <c r="Q41" cm="1">
        <f t="array" ref="Q41">INDEX($G$1:$G$100, MATCH(1, ($A$1:$A$100=Q$25)*($B$1:$B$100=$K18), 0))</f>
        <v>0.26166</v>
      </c>
      <c r="R41" t="e" cm="1">
        <f t="array" ref="R41">INDEX($G$1:$G$100, MATCH(1, ($A$1:$A$100=R$25)*($B$1:$B$100=$K18), 0))</f>
        <v>#N/A</v>
      </c>
      <c r="S41" cm="1">
        <f t="array" ref="S41">INDEX($G$1:$G$100, MATCH(1, ($A$1:$A$100=S$25)*($B$1:$B$100=$K18), 0))</f>
        <v>4.9313000000000003E-2</v>
      </c>
      <c r="T41" t="b">
        <f>IF(ISNA(N18), TRUE, ABS($M18-N18) &gt; MAX($P41, Q41))</f>
        <v>1</v>
      </c>
      <c r="U41" t="b">
        <f>IF(ISNA(O18), TRUE, ABS($M18-O18) &gt; MAX($P41, R41))</f>
        <v>1</v>
      </c>
      <c r="V41" t="b">
        <f>IF(ISNA(P18), TRUE, ABS($M18-P18) &gt; MAX($P41, S41))</f>
        <v>0</v>
      </c>
      <c r="X41" t="b">
        <f>IF(ISNA(N18), TRUE, ABS($P18-N18) &gt; MAX($S41, Q41))</f>
        <v>1</v>
      </c>
      <c r="Y41" t="b">
        <f>IF(ISNA(O18), TRUE, ABS($P18-O18) &gt; MAX($S41, R41))</f>
        <v>1</v>
      </c>
      <c r="Z41" t="b">
        <f>IF(ISNA(M18), TRUE, ABS($P18-M18) &gt; MAX($S41, P41))</f>
        <v>0</v>
      </c>
    </row>
    <row r="42" spans="1:26" x14ac:dyDescent="0.2">
      <c r="A42" t="s">
        <v>2</v>
      </c>
      <c r="B42" t="s">
        <v>7</v>
      </c>
      <c r="C42" t="s">
        <v>56</v>
      </c>
      <c r="D42">
        <v>1</v>
      </c>
      <c r="E42">
        <v>5</v>
      </c>
      <c r="F42">
        <v>0.219246</v>
      </c>
      <c r="G42">
        <v>6.4810000000000006E-2</v>
      </c>
      <c r="H42" t="s">
        <v>57</v>
      </c>
    </row>
    <row r="43" spans="1:26" x14ac:dyDescent="0.2">
      <c r="A43" t="s">
        <v>2</v>
      </c>
      <c r="B43" t="s">
        <v>10</v>
      </c>
      <c r="C43" t="s">
        <v>56</v>
      </c>
      <c r="D43">
        <v>1</v>
      </c>
      <c r="E43">
        <v>5</v>
      </c>
      <c r="F43">
        <v>1.9036999999999998E-2</v>
      </c>
      <c r="G43">
        <v>6.8100000000000001E-3</v>
      </c>
      <c r="H43" t="s">
        <v>57</v>
      </c>
      <c r="J43" t="s">
        <v>41</v>
      </c>
    </row>
    <row r="44" spans="1:26" x14ac:dyDescent="0.2">
      <c r="A44" t="s">
        <v>2</v>
      </c>
      <c r="B44" t="s">
        <v>13</v>
      </c>
      <c r="C44" t="s">
        <v>56</v>
      </c>
      <c r="D44">
        <v>1</v>
      </c>
      <c r="E44">
        <v>5</v>
      </c>
      <c r="F44">
        <v>4.8621999999999999E-2</v>
      </c>
      <c r="G44">
        <v>1.2522999999999999E-2</v>
      </c>
      <c r="H44" t="s">
        <v>57</v>
      </c>
      <c r="J44" t="s">
        <v>1</v>
      </c>
      <c r="K44" t="s">
        <v>6</v>
      </c>
      <c r="L44" t="s">
        <v>12</v>
      </c>
      <c r="M44" t="s">
        <v>9</v>
      </c>
    </row>
    <row r="45" spans="1:26" x14ac:dyDescent="0.2">
      <c r="A45" t="s">
        <v>2</v>
      </c>
      <c r="B45" t="s">
        <v>15</v>
      </c>
      <c r="C45" t="s">
        <v>56</v>
      </c>
      <c r="D45">
        <v>1</v>
      </c>
      <c r="E45">
        <v>5</v>
      </c>
      <c r="F45">
        <v>8.8409000000000001E-2</v>
      </c>
      <c r="G45">
        <v>2.0789999999999999E-2</v>
      </c>
      <c r="H45" t="s">
        <v>57</v>
      </c>
      <c r="J45" t="s">
        <v>11</v>
      </c>
      <c r="K45" t="str" cm="1">
        <f t="array" ref="K45">IFERROR(INDEX($R$3:$R$18, MATCH(1, ($J45=$L$3:$L$18) * (K$44=$J$3:$J$18), 0)), "")</f>
        <v/>
      </c>
      <c r="L45" t="str" cm="1">
        <f t="array" ref="L45">IFERROR(INDEX($R$3:$R$18, MATCH(1, ($J45=$L$3:$L$18) * (L$44=$J$3:$J$18), 0)), "")</f>
        <v/>
      </c>
      <c r="M45" cm="1">
        <f t="array" ref="M45">IFERROR(INDEX($R$3:$R$18, MATCH(1, ($J45=$L$3:$L$18) * (M$44=$J$3:$J$18), 0)), "")</f>
        <v>183.61995062247203</v>
      </c>
    </row>
    <row r="46" spans="1:26" x14ac:dyDescent="0.2">
      <c r="A46" t="s">
        <v>2</v>
      </c>
      <c r="B46" t="s">
        <v>17</v>
      </c>
      <c r="C46" t="s">
        <v>56</v>
      </c>
      <c r="D46">
        <v>1</v>
      </c>
      <c r="E46">
        <v>5</v>
      </c>
      <c r="F46">
        <v>2.3695000000000001E-2</v>
      </c>
      <c r="G46">
        <v>5.4920000000000004E-3</v>
      </c>
      <c r="H46" t="s">
        <v>57</v>
      </c>
      <c r="J46" t="s">
        <v>18</v>
      </c>
      <c r="K46" t="str" cm="1">
        <f t="array" ref="K46">IFERROR(INDEX($R$3:$R$18, MATCH(1, ($J46=$L$3:$L$18) * (K$44=$J$3:$J$18), 0)), "")</f>
        <v/>
      </c>
      <c r="L46" t="str" cm="1">
        <f t="array" ref="L46">IFERROR(INDEX($R$3:$R$18, MATCH(1, ($J46=$L$3:$L$18) * (L$44=$J$3:$J$18), 0)), "")</f>
        <v/>
      </c>
      <c r="M46" t="str" cm="1">
        <f t="array" ref="M46">IFERROR(INDEX($R$3:$R$18, MATCH(1, ($J46=$L$3:$L$18) * (M$44=$J$3:$J$18), 0)), "")</f>
        <v>DNF</v>
      </c>
    </row>
    <row r="47" spans="1:26" x14ac:dyDescent="0.2">
      <c r="A47" t="s">
        <v>2</v>
      </c>
      <c r="B47" t="s">
        <v>19</v>
      </c>
      <c r="C47" t="s">
        <v>56</v>
      </c>
      <c r="D47">
        <v>1</v>
      </c>
      <c r="E47">
        <v>5</v>
      </c>
      <c r="F47">
        <v>0.30250899999999997</v>
      </c>
      <c r="G47">
        <v>5.8703999999999999E-2</v>
      </c>
      <c r="H47" t="s">
        <v>57</v>
      </c>
      <c r="J47" t="s">
        <v>58</v>
      </c>
      <c r="K47" t="str" cm="1">
        <f t="array" ref="K47">IFERROR(INDEX($R$3:$R$18, MATCH(1, ($J47=$L$3:$L$18) * (K$44=$J$3:$J$18), 0)), "")</f>
        <v/>
      </c>
      <c r="L47" t="str" cm="1">
        <f t="array" ref="L47">IFERROR(INDEX($R$3:$R$18, MATCH(1, ($J47=$L$3:$L$18) * (L$44=$J$3:$J$18), 0)), "")</f>
        <v/>
      </c>
      <c r="M47" cm="1">
        <f t="array" ref="M47">IFERROR(INDEX($R$3:$R$18, MATCH(1, ($J47=$L$3:$L$18) * (M$44=$J$3:$J$18), 0)), "")</f>
        <v>2380.075250618409</v>
      </c>
    </row>
    <row r="48" spans="1:26" x14ac:dyDescent="0.2">
      <c r="A48" t="s">
        <v>2</v>
      </c>
      <c r="B48" t="s">
        <v>21</v>
      </c>
      <c r="C48" t="s">
        <v>56</v>
      </c>
      <c r="D48">
        <v>1</v>
      </c>
      <c r="E48">
        <v>5</v>
      </c>
      <c r="F48">
        <v>1.110039</v>
      </c>
      <c r="G48">
        <v>0.15834999999999999</v>
      </c>
      <c r="H48" t="s">
        <v>57</v>
      </c>
      <c r="J48" t="s">
        <v>27</v>
      </c>
      <c r="K48" t="str" cm="1">
        <f t="array" ref="K48">IFERROR(INDEX($R$3:$R$18, MATCH(1, ($J48=$L$3:$L$18) * (K$44=$J$3:$J$18), 0)), "")</f>
        <v/>
      </c>
      <c r="L48" t="str" cm="1">
        <f t="array" ref="L48">IFERROR(INDEX($R$3:$R$18, MATCH(1, ($J48=$L$3:$L$18) * (L$44=$J$3:$J$18), 0)), "")</f>
        <v/>
      </c>
      <c r="M48" t="str" cm="1">
        <f t="array" ref="M48">IFERROR(INDEX($R$3:$R$18, MATCH(1, ($J48=$L$3:$L$18) * (M$44=$J$3:$J$18), 0)), "")</f>
        <v>DNF</v>
      </c>
    </row>
    <row r="49" spans="1:13" x14ac:dyDescent="0.2">
      <c r="A49" t="s">
        <v>2</v>
      </c>
      <c r="B49" t="s">
        <v>23</v>
      </c>
      <c r="C49" t="s">
        <v>56</v>
      </c>
      <c r="D49">
        <v>1</v>
      </c>
      <c r="E49">
        <v>5</v>
      </c>
      <c r="F49">
        <v>7.6810000000000003E-3</v>
      </c>
      <c r="G49">
        <v>1.8860000000000001E-3</v>
      </c>
      <c r="H49" t="s">
        <v>57</v>
      </c>
      <c r="J49" t="s">
        <v>33</v>
      </c>
      <c r="K49" t="str" cm="1">
        <f t="array" ref="K49">IFERROR(INDEX($R$3:$R$18, MATCH(1, ($J49=$L$3:$L$18) * (K$44=$J$3:$J$18), 0)), "")</f>
        <v/>
      </c>
      <c r="L49" t="str" cm="1">
        <f t="array" ref="L49">IFERROR(INDEX($R$3:$R$18, MATCH(1, ($J49=$L$3:$L$18) * (L$44=$J$3:$J$18), 0)), "")</f>
        <v/>
      </c>
      <c r="M49" t="str" cm="1">
        <f t="array" ref="M49">IFERROR(INDEX($R$3:$R$18, MATCH(1, ($J49=$L$3:$L$18) * (M$44=$J$3:$J$18), 0)), "")</f>
        <v>DNF</v>
      </c>
    </row>
    <row r="50" spans="1:13" x14ac:dyDescent="0.2">
      <c r="A50" t="s">
        <v>2</v>
      </c>
      <c r="B50" t="s">
        <v>24</v>
      </c>
      <c r="C50" t="s">
        <v>56</v>
      </c>
      <c r="D50">
        <v>1</v>
      </c>
      <c r="E50">
        <v>5</v>
      </c>
      <c r="F50">
        <v>182.74462199999999</v>
      </c>
      <c r="G50">
        <v>12.219408</v>
      </c>
      <c r="H50" t="s">
        <v>57</v>
      </c>
      <c r="J50" t="s">
        <v>14</v>
      </c>
      <c r="K50" t="str" cm="1">
        <f t="array" ref="K50">IFERROR(INDEX($R$3:$R$18, MATCH(1, ($J50=$L$3:$L$18) * (K$44=$J$3:$J$18), 0)), "")</f>
        <v/>
      </c>
      <c r="L50" cm="1">
        <f t="array" ref="L50">IFERROR(INDEX($R$3:$R$18, MATCH(1, ($J50=$L$3:$L$18) * (L$44=$J$3:$J$18), 0)), "")</f>
        <v>408.16506931018881</v>
      </c>
      <c r="M50" t="str" cm="1">
        <f t="array" ref="M50">IFERROR(INDEX($R$3:$R$18, MATCH(1, ($J50=$L$3:$L$18) * (M$44=$J$3:$J$18), 0)), "")</f>
        <v/>
      </c>
    </row>
    <row r="51" spans="1:13" x14ac:dyDescent="0.2">
      <c r="A51" t="s">
        <v>2</v>
      </c>
      <c r="B51" t="s">
        <v>26</v>
      </c>
      <c r="C51" t="s">
        <v>56</v>
      </c>
      <c r="D51">
        <v>1</v>
      </c>
      <c r="E51">
        <v>5</v>
      </c>
      <c r="F51">
        <v>5.5432000000000002E-2</v>
      </c>
      <c r="G51">
        <v>9.2160000000000002E-3</v>
      </c>
      <c r="H51" t="s">
        <v>57</v>
      </c>
      <c r="J51" t="s">
        <v>16</v>
      </c>
      <c r="K51" t="str" cm="1">
        <f t="array" ref="K51">IFERROR(INDEX($R$3:$R$18, MATCH(1, ($J51=$L$3:$L$18) * (K$44=$J$3:$J$18), 0)), "")</f>
        <v/>
      </c>
      <c r="L51" cm="1">
        <f t="array" ref="L51">IFERROR(INDEX($R$3:$R$18, MATCH(1, ($J51=$L$3:$L$18) * (L$44=$J$3:$J$18), 0)), "")</f>
        <v>1541.1704351366941</v>
      </c>
      <c r="M51" t="str" cm="1">
        <f t="array" ref="M51">IFERROR(INDEX($R$3:$R$18, MATCH(1, ($J51=$L$3:$L$18) * (M$44=$J$3:$J$18), 0)), "")</f>
        <v/>
      </c>
    </row>
    <row r="52" spans="1:13" x14ac:dyDescent="0.2">
      <c r="A52" t="s">
        <v>2</v>
      </c>
      <c r="B52" t="s">
        <v>28</v>
      </c>
      <c r="C52" t="s">
        <v>56</v>
      </c>
      <c r="D52">
        <v>1</v>
      </c>
      <c r="E52">
        <v>5</v>
      </c>
      <c r="F52">
        <v>6.6562999999999997E-2</v>
      </c>
      <c r="G52">
        <v>2.6242999999999999E-2</v>
      </c>
      <c r="H52" t="s">
        <v>57</v>
      </c>
      <c r="J52" t="s">
        <v>20</v>
      </c>
      <c r="K52" t="str" cm="1">
        <f t="array" ref="K52">IFERROR(INDEX($R$3:$R$18, MATCH(1, ($J52=$L$3:$L$18) * (K$44=$J$3:$J$18), 0)), "")</f>
        <v/>
      </c>
      <c r="L52" cm="1">
        <f t="array" ref="L52">IFERROR(INDEX($R$3:$R$18, MATCH(1, ($J52=$L$3:$L$18) * (L$44=$J$3:$J$18), 0)), "")</f>
        <v>48.818683080503398</v>
      </c>
      <c r="M52" t="str" cm="1">
        <f t="array" ref="M52">IFERROR(INDEX($R$3:$R$18, MATCH(1, ($J52=$L$3:$L$18) * (M$44=$J$3:$J$18), 0)), "")</f>
        <v/>
      </c>
    </row>
    <row r="53" spans="1:13" x14ac:dyDescent="0.2">
      <c r="A53" t="s">
        <v>2</v>
      </c>
      <c r="B53" t="s">
        <v>30</v>
      </c>
      <c r="C53" t="s">
        <v>56</v>
      </c>
      <c r="D53">
        <v>1</v>
      </c>
      <c r="E53">
        <v>5</v>
      </c>
      <c r="F53">
        <v>9.0717999999999993E-2</v>
      </c>
      <c r="G53">
        <v>2.0761000000000002E-2</v>
      </c>
      <c r="H53" t="s">
        <v>57</v>
      </c>
      <c r="J53" t="s">
        <v>39</v>
      </c>
      <c r="K53" t="str" cm="1">
        <f t="array" ref="K53">IFERROR(INDEX($R$3:$R$18, MATCH(1, ($J53=$L$3:$L$18) * (K$44=$J$3:$J$18), 0)), "")</f>
        <v/>
      </c>
      <c r="L53" t="str" cm="1">
        <f t="array" ref="L53">IFERROR(INDEX($R$3:$R$18, MATCH(1, ($J53=$L$3:$L$18) * (L$44=$J$3:$J$18), 0)), "")</f>
        <v>DNF</v>
      </c>
      <c r="M53" t="str" cm="1">
        <f t="array" ref="M53">IFERROR(INDEX($R$3:$R$18, MATCH(1, ($J53=$L$3:$L$18) * (M$44=$J$3:$J$18), 0)), "")</f>
        <v/>
      </c>
    </row>
    <row r="54" spans="1:13" x14ac:dyDescent="0.2">
      <c r="A54" t="s">
        <v>2</v>
      </c>
      <c r="B54" t="s">
        <v>32</v>
      </c>
      <c r="C54" t="s">
        <v>56</v>
      </c>
      <c r="D54">
        <v>1</v>
      </c>
      <c r="E54">
        <v>5</v>
      </c>
      <c r="F54">
        <v>5.3682000000000001E-2</v>
      </c>
      <c r="G54">
        <v>1.4962E-2</v>
      </c>
      <c r="H54" t="s">
        <v>57</v>
      </c>
      <c r="J54" t="s">
        <v>22</v>
      </c>
      <c r="K54" t="str" cm="1">
        <f t="array" ref="K54">IFERROR(INDEX($R$3:$R$18, MATCH(1, ($J54=$L$3:$L$18) * (K$44=$J$3:$J$18), 0)), "")</f>
        <v/>
      </c>
      <c r="L54" t="str" cm="1">
        <f t="array" ref="L54">IFERROR(INDEX($R$3:$R$18, MATCH(1, ($J54=$L$3:$L$18) * (L$44=$J$3:$J$18), 0)), "")</f>
        <v>DNF</v>
      </c>
      <c r="M54" t="str" cm="1">
        <f t="array" ref="M54">IFERROR(INDEX($R$3:$R$18, MATCH(1, ($J54=$L$3:$L$18) * (M$44=$J$3:$J$18), 0)), "")</f>
        <v/>
      </c>
    </row>
    <row r="55" spans="1:13" x14ac:dyDescent="0.2">
      <c r="A55" t="s">
        <v>2</v>
      </c>
      <c r="B55" t="s">
        <v>34</v>
      </c>
      <c r="C55" t="s">
        <v>56</v>
      </c>
      <c r="D55">
        <v>1</v>
      </c>
      <c r="E55">
        <v>5</v>
      </c>
      <c r="F55">
        <v>2.9388999999999998E-2</v>
      </c>
      <c r="G55">
        <v>5.1019999999999998E-3</v>
      </c>
      <c r="H55" t="s">
        <v>57</v>
      </c>
      <c r="J55" t="s">
        <v>25</v>
      </c>
      <c r="K55" t="str" cm="1">
        <f t="array" ref="K55">IFERROR(INDEX($R$3:$R$18, MATCH(1, ($J55=$L$3:$L$18) * (K$44=$J$3:$J$18), 0)), "")</f>
        <v/>
      </c>
      <c r="L55" t="str" cm="1">
        <f t="array" ref="L55">IFERROR(INDEX($R$3:$R$18, MATCH(1, ($J55=$L$3:$L$18) * (L$44=$J$3:$J$18), 0)), "")</f>
        <v>DNF</v>
      </c>
      <c r="M55" t="str" cm="1">
        <f t="array" ref="M55">IFERROR(INDEX($R$3:$R$18, MATCH(1, ($J55=$L$3:$L$18) * (M$44=$J$3:$J$18), 0)), "")</f>
        <v/>
      </c>
    </row>
    <row r="56" spans="1:13" x14ac:dyDescent="0.2">
      <c r="A56" t="s">
        <v>2</v>
      </c>
      <c r="B56" t="s">
        <v>36</v>
      </c>
      <c r="C56" t="s">
        <v>56</v>
      </c>
      <c r="D56">
        <v>1</v>
      </c>
      <c r="E56">
        <v>5</v>
      </c>
      <c r="F56">
        <v>2.1453E-2</v>
      </c>
      <c r="G56">
        <v>8.2489999999999994E-3</v>
      </c>
      <c r="H56" t="s">
        <v>57</v>
      </c>
      <c r="J56" t="s">
        <v>29</v>
      </c>
      <c r="K56" t="str" cm="1">
        <f t="array" ref="K56">IFERROR(INDEX($R$3:$R$18, MATCH(1, ($J56=$L$3:$L$18) * (K$44=$J$3:$J$18), 0)), "")</f>
        <v/>
      </c>
      <c r="L56" t="str" cm="1">
        <f t="array" ref="L56">IFERROR(INDEX($R$3:$R$18, MATCH(1, ($J56=$L$3:$L$18) * (L$44=$J$3:$J$18), 0)), "")</f>
        <v>DNF</v>
      </c>
      <c r="M56" t="str" cm="1">
        <f t="array" ref="M56">IFERROR(INDEX($R$3:$R$18, MATCH(1, ($J56=$L$3:$L$18) * (M$44=$J$3:$J$18), 0)), "")</f>
        <v/>
      </c>
    </row>
    <row r="57" spans="1:13" x14ac:dyDescent="0.2">
      <c r="A57" t="s">
        <v>2</v>
      </c>
      <c r="B57" t="s">
        <v>38</v>
      </c>
      <c r="C57" t="s">
        <v>56</v>
      </c>
      <c r="D57">
        <v>1</v>
      </c>
      <c r="E57">
        <v>5</v>
      </c>
      <c r="F57">
        <v>0.12890499999999999</v>
      </c>
      <c r="G57">
        <v>2.8669E-2</v>
      </c>
      <c r="H57" t="s">
        <v>57</v>
      </c>
      <c r="J57" t="s">
        <v>31</v>
      </c>
      <c r="K57" t="str" cm="1">
        <f t="array" ref="K57">IFERROR(INDEX($R$3:$R$18, MATCH(1, ($J57=$L$3:$L$18) * (K$44=$J$3:$J$18), 0)), "")</f>
        <v/>
      </c>
      <c r="L57" t="str" cm="1">
        <f t="array" ref="L57">IFERROR(INDEX($R$3:$R$18, MATCH(1, ($J57=$L$3:$L$18) * (L$44=$J$3:$J$18), 0)), "")</f>
        <v>DNF</v>
      </c>
      <c r="M57" t="str" cm="1">
        <f t="array" ref="M57">IFERROR(INDEX($R$3:$R$18, MATCH(1, ($J57=$L$3:$L$18) * (M$44=$J$3:$J$18), 0)), "")</f>
        <v/>
      </c>
    </row>
    <row r="58" spans="1:13" x14ac:dyDescent="0.2">
      <c r="J58" t="s">
        <v>8</v>
      </c>
      <c r="K58" cm="1">
        <f t="array" ref="K58">IFERROR(INDEX($R$3:$R$18, MATCH(1, ($J58=$L$3:$L$18) * (K$44=$J$3:$J$18), 0)), "")</f>
        <v>15.690817620389881</v>
      </c>
      <c r="L58" t="str" cm="1">
        <f t="array" ref="L58">IFERROR(INDEX($R$3:$R$18, MATCH(1, ($J58=$L$3:$L$18) * (L$44=$J$3:$J$18), 0)), "")</f>
        <v/>
      </c>
      <c r="M58" t="str" cm="1">
        <f t="array" ref="M58">IFERROR(INDEX($R$3:$R$18, MATCH(1, ($J58=$L$3:$L$18) * (M$44=$J$3:$J$18), 0)), "")</f>
        <v/>
      </c>
    </row>
    <row r="59" spans="1:13" x14ac:dyDescent="0.2">
      <c r="J59" t="s">
        <v>35</v>
      </c>
      <c r="K59" cm="1">
        <f t="array" ref="K59">IFERROR(INDEX($R$3:$R$18, MATCH(1, ($J59=$L$3:$L$18) * (K$44=$J$3:$J$18), 0)), "")</f>
        <v>17.443499268433769</v>
      </c>
      <c r="L59" t="str" cm="1">
        <f t="array" ref="L59">IFERROR(INDEX($R$3:$R$18, MATCH(1, ($J59=$L$3:$L$18) * (L$44=$J$3:$J$18), 0)), "")</f>
        <v/>
      </c>
      <c r="M59" t="str" cm="1">
        <f t="array" ref="M59">IFERROR(INDEX($R$3:$R$18, MATCH(1, ($J59=$L$3:$L$18) * (M$44=$J$3:$J$18), 0)), "")</f>
        <v/>
      </c>
    </row>
    <row r="60" spans="1:13" x14ac:dyDescent="0.2">
      <c r="J60" t="s">
        <v>37</v>
      </c>
      <c r="K60" cm="1">
        <f t="array" ref="K60">IFERROR(INDEX($R$3:$R$18, MATCH(1, ($J60=$L$3:$L$18) * (K$44=$J$3:$J$18), 0)), "")</f>
        <v>17.006758961450615</v>
      </c>
      <c r="L60" t="str" cm="1">
        <f t="array" ref="L60">IFERROR(INDEX($R$3:$R$18, MATCH(1, ($J60=$L$3:$L$18) * (L$44=$J$3:$J$18), 0)), "")</f>
        <v/>
      </c>
      <c r="M60" t="str" cm="1">
        <f t="array" ref="M60">IFERROR(INDEX($R$3:$R$18, MATCH(1, ($J60=$L$3:$L$18) * (M$44=$J$3:$J$18), 0)), "")</f>
        <v/>
      </c>
    </row>
    <row r="62" spans="1:13" x14ac:dyDescent="0.2">
      <c r="J62" t="s">
        <v>5</v>
      </c>
    </row>
    <row r="63" spans="1:13" x14ac:dyDescent="0.2">
      <c r="J63" t="s">
        <v>1</v>
      </c>
      <c r="K63" t="s">
        <v>6</v>
      </c>
      <c r="L63" t="s">
        <v>12</v>
      </c>
      <c r="M63" t="s">
        <v>9</v>
      </c>
    </row>
    <row r="64" spans="1:13" x14ac:dyDescent="0.2">
      <c r="J64" t="s">
        <v>11</v>
      </c>
      <c r="K64" t="str" cm="1">
        <f t="array" ref="K64">IFERROR(INDEX($S$3:$S$18, MATCH(1, ($J45=$L$3:$L$18) * (K$44=$J$3:$J$18), 0)), "")</f>
        <v/>
      </c>
      <c r="L64" t="str" cm="1">
        <f t="array" ref="L64">IFERROR(INDEX($S$3:$S$18, MATCH(1, ($J45=$L$3:$L$18) * (L$44=$J$3:$J$18), 0)), "")</f>
        <v/>
      </c>
      <c r="M64" cm="1">
        <f t="array" ref="M64">IFERROR(INDEX($S$3:$S$18, MATCH(1, ($J45=$L$3:$L$18) * (M$44=$J$3:$J$18), 0)), "")</f>
        <v>0.96112832904344181</v>
      </c>
    </row>
    <row r="65" spans="10:13" x14ac:dyDescent="0.2">
      <c r="J65" t="s">
        <v>18</v>
      </c>
      <c r="K65" t="str" cm="1">
        <f t="array" ref="K65">IFERROR(INDEX($S$3:$S$18, MATCH(1, ($J46=$L$3:$L$18) * (K$44=$J$3:$J$18), 0)), "")</f>
        <v/>
      </c>
      <c r="L65" t="str" cm="1">
        <f t="array" ref="L65">IFERROR(INDEX($S$3:$S$18, MATCH(1, ($J46=$L$3:$L$18) * (L$44=$J$3:$J$18), 0)), "")</f>
        <v/>
      </c>
      <c r="M65" cm="1">
        <f t="array" ref="M65">IFERROR(INDEX($S$3:$S$18, MATCH(1, ($J46=$L$3:$L$18) * (M$44=$J$3:$J$18), 0)), "")</f>
        <v>0.76117324330027425</v>
      </c>
    </row>
    <row r="66" spans="10:13" x14ac:dyDescent="0.2">
      <c r="J66" t="s">
        <v>58</v>
      </c>
      <c r="K66" t="str" cm="1">
        <f t="array" ref="K66">IFERROR(INDEX($S$3:$S$18, MATCH(1, ($J47=$L$3:$L$18) * (K$44=$J$3:$J$18), 0)), "")</f>
        <v/>
      </c>
      <c r="L66" t="str" cm="1">
        <f t="array" ref="L66">IFERROR(INDEX($S$3:$S$18, MATCH(1, ($J47=$L$3:$L$18) * (L$44=$J$3:$J$18), 0)), "")</f>
        <v/>
      </c>
      <c r="M66" cm="1">
        <f t="array" ref="M66">IFERROR(INDEX($S$3:$S$18, MATCH(1, ($J47=$L$3:$L$18) * (M$44=$J$3:$J$18), 0)), "")</f>
        <v>1.0634032027079807</v>
      </c>
    </row>
    <row r="67" spans="10:13" x14ac:dyDescent="0.2">
      <c r="J67" t="s">
        <v>27</v>
      </c>
      <c r="K67" t="str" cm="1">
        <f t="array" ref="K67">IFERROR(INDEX($S$3:$S$18, MATCH(1, ($J48=$L$3:$L$18) * (K$44=$J$3:$J$18), 0)), "")</f>
        <v/>
      </c>
      <c r="L67" t="str" cm="1">
        <f t="array" ref="L67">IFERROR(INDEX($S$3:$S$18, MATCH(1, ($J48=$L$3:$L$18) * (L$44=$J$3:$J$18), 0)), "")</f>
        <v/>
      </c>
      <c r="M67" cm="1">
        <f t="array" ref="M67">IFERROR(INDEX($S$3:$S$18, MATCH(1, ($J48=$L$3:$L$18) * (M$44=$J$3:$J$18), 0)), "")</f>
        <v>0.95663154856400634</v>
      </c>
    </row>
    <row r="68" spans="10:13" x14ac:dyDescent="0.2">
      <c r="J68" t="s">
        <v>33</v>
      </c>
      <c r="K68" t="str" cm="1">
        <f t="array" ref="K68">IFERROR(INDEX($S$3:$S$18, MATCH(1, ($J49=$L$3:$L$18) * (K$44=$J$3:$J$18), 0)), "")</f>
        <v/>
      </c>
      <c r="L68" t="str" cm="1">
        <f t="array" ref="L68">IFERROR(INDEX($S$3:$S$18, MATCH(1, ($J49=$L$3:$L$18) * (L$44=$J$3:$J$18), 0)), "")</f>
        <v/>
      </c>
      <c r="M68" cm="1">
        <f t="array" ref="M68">IFERROR(INDEX($S$3:$S$18, MATCH(1, ($J49=$L$3:$L$18) * (M$44=$J$3:$J$18), 0)), "")</f>
        <v>0.96663686151782724</v>
      </c>
    </row>
    <row r="69" spans="10:13" x14ac:dyDescent="0.2">
      <c r="J69" t="s">
        <v>14</v>
      </c>
      <c r="K69" t="str" cm="1">
        <f t="array" ref="K69">IFERROR(INDEX($S$3:$S$18, MATCH(1, ($J50=$L$3:$L$18) * (K$44=$J$3:$J$18), 0)), "")</f>
        <v/>
      </c>
      <c r="L69" cm="1">
        <f t="array" ref="L69">IFERROR(INDEX($S$3:$S$18, MATCH(1, ($J50=$L$3:$L$18) * (L$44=$J$3:$J$18), 0)), "")</f>
        <v>0.92731685245362194</v>
      </c>
      <c r="M69" t="str" cm="1">
        <f t="array" ref="M69">IFERROR(INDEX($S$3:$S$18, MATCH(1, ($J50=$L$3:$L$18) * (M$44=$J$3:$J$18), 0)), "")</f>
        <v/>
      </c>
    </row>
    <row r="70" spans="10:13" x14ac:dyDescent="0.2">
      <c r="J70" t="s">
        <v>16</v>
      </c>
      <c r="K70" t="str" cm="1">
        <f t="array" ref="K70">IFERROR(INDEX($S$3:$S$18, MATCH(1, ($J51=$L$3:$L$18) * (K$44=$J$3:$J$18), 0)), "")</f>
        <v/>
      </c>
      <c r="L70" cm="1">
        <f t="array" ref="L70">IFERROR(INDEX($S$3:$S$18, MATCH(1, ($J51=$L$3:$L$18) * (L$44=$J$3:$J$18), 0)), "")</f>
        <v>1.0152020721872208</v>
      </c>
      <c r="M70" t="str" cm="1">
        <f t="array" ref="M70">IFERROR(INDEX($S$3:$S$18, MATCH(1, ($J51=$L$3:$L$18) * (M$44=$J$3:$J$18), 0)), "")</f>
        <v/>
      </c>
    </row>
    <row r="71" spans="10:13" x14ac:dyDescent="0.2">
      <c r="J71" t="s">
        <v>20</v>
      </c>
      <c r="K71" t="str" cm="1">
        <f t="array" ref="K71">IFERROR(INDEX($S$3:$S$18, MATCH(1, ($J52=$L$3:$L$18) * (K$44=$J$3:$J$18), 0)), "")</f>
        <v/>
      </c>
      <c r="L71" cm="1">
        <f t="array" ref="L71">IFERROR(INDEX($S$3:$S$18, MATCH(1, ($J52=$L$3:$L$18) * (L$44=$J$3:$J$18), 0)), "")</f>
        <v>0.9636110000033058</v>
      </c>
      <c r="M71" t="str" cm="1">
        <f t="array" ref="M71">IFERROR(INDEX($S$3:$S$18, MATCH(1, ($J52=$L$3:$L$18) * (M$44=$J$3:$J$18), 0)), "")</f>
        <v/>
      </c>
    </row>
    <row r="72" spans="10:13" x14ac:dyDescent="0.2">
      <c r="J72" t="s">
        <v>39</v>
      </c>
      <c r="K72" t="str" cm="1">
        <f t="array" ref="K72">IFERROR(INDEX($S$3:$S$18, MATCH(1, ($J53=$L$3:$L$18) * (K$44=$J$3:$J$18), 0)), "")</f>
        <v/>
      </c>
      <c r="L72" cm="1">
        <f t="array" ref="L72">IFERROR(INDEX($S$3:$S$18, MATCH(1, ($J53=$L$3:$L$18) * (L$44=$J$3:$J$18), 0)), "")</f>
        <v>1.0183158139715294</v>
      </c>
      <c r="M72" t="str" cm="1">
        <f t="array" ref="M72">IFERROR(INDEX($S$3:$S$18, MATCH(1, ($J53=$L$3:$L$18) * (M$44=$J$3:$J$18), 0)), "")</f>
        <v/>
      </c>
    </row>
    <row r="73" spans="10:13" x14ac:dyDescent="0.2">
      <c r="J73" t="s">
        <v>22</v>
      </c>
      <c r="K73" t="str" cm="1">
        <f t="array" ref="K73">IFERROR(INDEX($S$3:$S$18, MATCH(1, ($J54=$L$3:$L$18) * (K$44=$J$3:$J$18), 0)), "")</f>
        <v/>
      </c>
      <c r="L73" cm="1">
        <f t="array" ref="L73">IFERROR(INDEX($S$3:$S$18, MATCH(1, ($J54=$L$3:$L$18) * (L$44=$J$3:$J$18), 0)), "")</f>
        <v>0.95371694147683095</v>
      </c>
      <c r="M73" t="str" cm="1">
        <f t="array" ref="M73">IFERROR(INDEX($S$3:$S$18, MATCH(1, ($J54=$L$3:$L$18) * (M$44=$J$3:$J$18), 0)), "")</f>
        <v/>
      </c>
    </row>
    <row r="74" spans="10:13" x14ac:dyDescent="0.2">
      <c r="J74" t="s">
        <v>25</v>
      </c>
      <c r="K74" t="str" cm="1">
        <f t="array" ref="K74">IFERROR(INDEX($S$3:$S$18, MATCH(1, ($J55=$L$3:$L$18) * (K$44=$J$3:$J$18), 0)), "")</f>
        <v/>
      </c>
      <c r="L74" cm="1">
        <f t="array" ref="L74">IFERROR(INDEX($S$3:$S$18, MATCH(1, ($J55=$L$3:$L$18) * (L$44=$J$3:$J$18), 0)), "")</f>
        <v>1.0066491204321186</v>
      </c>
      <c r="M74" t="str" cm="1">
        <f t="array" ref="M74">IFERROR(INDEX($S$3:$S$18, MATCH(1, ($J55=$L$3:$L$18) * (M$44=$J$3:$J$18), 0)), "")</f>
        <v/>
      </c>
    </row>
    <row r="75" spans="10:13" x14ac:dyDescent="0.2">
      <c r="J75" t="s">
        <v>29</v>
      </c>
      <c r="K75" t="str" cm="1">
        <f t="array" ref="K75">IFERROR(INDEX($S$3:$S$18, MATCH(1, ($J56=$L$3:$L$18) * (K$44=$J$3:$J$18), 0)), "")</f>
        <v/>
      </c>
      <c r="L75" cm="1">
        <f t="array" ref="L75">IFERROR(INDEX($S$3:$S$18, MATCH(1, ($J56=$L$3:$L$18) * (L$44=$J$3:$J$18), 0)), "")</f>
        <v>1.0383846881901357</v>
      </c>
      <c r="M75" t="str" cm="1">
        <f t="array" ref="M75">IFERROR(INDEX($S$3:$S$18, MATCH(1, ($J56=$L$3:$L$18) * (M$44=$J$3:$J$18), 0)), "")</f>
        <v/>
      </c>
    </row>
    <row r="76" spans="10:13" x14ac:dyDescent="0.2">
      <c r="J76" t="s">
        <v>31</v>
      </c>
      <c r="K76" t="str" cm="1">
        <f t="array" ref="K76">IFERROR(INDEX($S$3:$S$18, MATCH(1, ($J57=$L$3:$L$18) * (K$44=$J$3:$J$18), 0)), "")</f>
        <v/>
      </c>
      <c r="L76" cm="1">
        <f t="array" ref="L76">IFERROR(INDEX($S$3:$S$18, MATCH(1, ($J57=$L$3:$L$18) * (L$44=$J$3:$J$18), 0)), "")</f>
        <v>0.9622125708238719</v>
      </c>
      <c r="M76" t="str" cm="1">
        <f t="array" ref="M76">IFERROR(INDEX($S$3:$S$18, MATCH(1, ($J57=$L$3:$L$18) * (M$44=$J$3:$J$18), 0)), "")</f>
        <v/>
      </c>
    </row>
    <row r="77" spans="10:13" x14ac:dyDescent="0.2">
      <c r="J77" t="s">
        <v>8</v>
      </c>
      <c r="K77" cm="1">
        <f t="array" ref="K77">IFERROR(INDEX($S$3:$S$18, MATCH(1, ($J58=$L$3:$L$18) * (K$44=$J$3:$J$18), 0)), "")</f>
        <v>1.0645302536876384</v>
      </c>
      <c r="L77" t="str" cm="1">
        <f t="array" ref="L77">IFERROR(INDEX($S$3:$S$18, MATCH(1, ($J58=$L$3:$L$18) * (L$44=$J$3:$J$18), 0)), "")</f>
        <v/>
      </c>
      <c r="M77" t="str" cm="1">
        <f t="array" ref="M77">IFERROR(INDEX($S$3:$S$18, MATCH(1, ($J58=$L$3:$L$18) * (M$44=$J$3:$J$18), 0)), "")</f>
        <v/>
      </c>
    </row>
    <row r="78" spans="10:13" x14ac:dyDescent="0.2">
      <c r="J78" t="s">
        <v>35</v>
      </c>
      <c r="K78" cm="1">
        <f t="array" ref="K78">IFERROR(INDEX($S$3:$S$18, MATCH(1, ($J59=$L$3:$L$18) * (K$44=$J$3:$J$18), 0)), "")</f>
        <v>0.93436319711456661</v>
      </c>
      <c r="L78" t="str" cm="1">
        <f t="array" ref="L78">IFERROR(INDEX($S$3:$S$18, MATCH(1, ($J59=$L$3:$L$18) * (L$44=$J$3:$J$18), 0)), "")</f>
        <v/>
      </c>
      <c r="M78" t="str" cm="1">
        <f t="array" ref="M78">IFERROR(INDEX($S$3:$S$18, MATCH(1, ($J59=$L$3:$L$18) * (M$44=$J$3:$J$18), 0)), "")</f>
        <v/>
      </c>
    </row>
    <row r="79" spans="10:13" x14ac:dyDescent="0.2">
      <c r="J79" t="s">
        <v>37</v>
      </c>
      <c r="K79" cm="1">
        <f t="array" ref="K79">IFERROR(INDEX($S$3:$S$18, MATCH(1, ($J60=$L$3:$L$18) * (K$44=$J$3:$J$18), 0)), "")</f>
        <v>0.86342236517037252</v>
      </c>
      <c r="L79" t="str" cm="1">
        <f t="array" ref="L79">IFERROR(INDEX($S$3:$S$18, MATCH(1, ($J60=$L$3:$L$18) * (L$44=$J$3:$J$18), 0)), "")</f>
        <v/>
      </c>
      <c r="M79" t="str" cm="1">
        <f t="array" ref="M79">IFERROR(INDEX($S$3:$S$18, MATCH(1, ($J60=$L$3:$L$18) * (M$44=$J$3:$J$18), 0)), 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7BF9-7F76-6C42-B70E-CD32AC6FB2DE}">
  <dimension ref="A1:Z79"/>
  <sheetViews>
    <sheetView zoomScale="90" workbookViewId="0">
      <selection activeCell="F6" sqref="F6"/>
    </sheetView>
  </sheetViews>
  <sheetFormatPr baseColWidth="10" defaultRowHeight="16" x14ac:dyDescent="0.2"/>
  <cols>
    <col min="2" max="2" width="12.5" bestFit="1" customWidth="1"/>
    <col min="3" max="3" width="7.5" bestFit="1" customWidth="1"/>
    <col min="4" max="4" width="8" bestFit="1" customWidth="1"/>
    <col min="5" max="5" width="5.83203125" bestFit="1" customWidth="1"/>
    <col min="6" max="6" width="17" bestFit="1" customWidth="1"/>
    <col min="7" max="7" width="10.1640625" bestFit="1" customWidth="1"/>
    <col min="8" max="8" width="4.6640625" bestFit="1" customWidth="1"/>
    <col min="10" max="10" width="12.83203125" bestFit="1" customWidth="1"/>
    <col min="11" max="11" width="12.5" bestFit="1" customWidth="1"/>
    <col min="12" max="13" width="12.1640625" bestFit="1" customWidth="1"/>
    <col min="14" max="14" width="11.1640625" bestFit="1" customWidth="1"/>
    <col min="15" max="15" width="12" bestFit="1" customWidth="1"/>
    <col min="16" max="16" width="13.33203125" bestFit="1" customWidth="1"/>
    <col min="17" max="17" width="28.33203125" bestFit="1" customWidth="1"/>
    <col min="18" max="18" width="22" bestFit="1" customWidth="1"/>
    <col min="19" max="19" width="22.33203125" bestFit="1" customWidth="1"/>
    <col min="20" max="20" width="31" bestFit="1" customWidth="1"/>
    <col min="21" max="21" width="28.33203125" bestFit="1" customWidth="1"/>
    <col min="22" max="22" width="22" bestFit="1" customWidth="1"/>
    <col min="23" max="23" width="16.33203125" bestFit="1" customWidth="1"/>
    <col min="24" max="24" width="37" bestFit="1" customWidth="1"/>
    <col min="25" max="25" width="12.83203125" bestFit="1" customWidth="1"/>
    <col min="26" max="26" width="6" bestFit="1" customWidth="1"/>
  </cols>
  <sheetData>
    <row r="1" spans="1:23" ht="65" x14ac:dyDescent="0.75">
      <c r="A1" s="14" t="s">
        <v>137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Q1" t="s">
        <v>42</v>
      </c>
      <c r="T1" t="s">
        <v>43</v>
      </c>
    </row>
    <row r="2" spans="1:23" x14ac:dyDescent="0.2">
      <c r="A2" t="s">
        <v>63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J2" t="s">
        <v>0</v>
      </c>
      <c r="K2" t="s">
        <v>1</v>
      </c>
      <c r="L2" t="s">
        <v>51</v>
      </c>
      <c r="M2" t="s">
        <v>2</v>
      </c>
      <c r="N2" t="s">
        <v>3</v>
      </c>
      <c r="O2" t="s">
        <v>4</v>
      </c>
      <c r="P2" t="s">
        <v>5</v>
      </c>
      <c r="Q2" t="s">
        <v>52</v>
      </c>
      <c r="R2" t="s">
        <v>53</v>
      </c>
      <c r="S2" t="s">
        <v>54</v>
      </c>
      <c r="U2" t="s">
        <v>52</v>
      </c>
      <c r="V2" t="s">
        <v>53</v>
      </c>
      <c r="W2" t="s">
        <v>55</v>
      </c>
    </row>
    <row r="3" spans="1:23" x14ac:dyDescent="0.2">
      <c r="A3" t="s">
        <v>4</v>
      </c>
      <c r="B3" t="s">
        <v>10</v>
      </c>
      <c r="C3" t="s">
        <v>56</v>
      </c>
      <c r="D3">
        <v>1</v>
      </c>
      <c r="E3">
        <v>5</v>
      </c>
      <c r="F3">
        <v>31.093031</v>
      </c>
      <c r="G3">
        <v>0.35842099999999999</v>
      </c>
      <c r="H3" t="s">
        <v>57</v>
      </c>
      <c r="J3" t="s">
        <v>6</v>
      </c>
      <c r="K3" t="s">
        <v>7</v>
      </c>
      <c r="L3" t="s">
        <v>8</v>
      </c>
      <c r="M3" cm="1">
        <f t="array" ref="M3">INDEX($F$1:$F$100, MATCH(1, (A$1:A$100=M$2)*(B$1:B$100=$K3), 0))</f>
        <v>39.964737</v>
      </c>
      <c r="N3" t="e" cm="1">
        <f t="array" ref="N3">INDEX($F$1:$F$100, MATCH(1, (A$1:A$100=N$2)*(B$1:B$100=$K3), 0))</f>
        <v>#N/A</v>
      </c>
      <c r="O3" t="e" cm="1">
        <f t="array" ref="O3">INDEX($F$1:$F$100, MATCH(1, (A$1:A$100=O$2)*(B$1:B$100=$K3), 0))</f>
        <v>#N/A</v>
      </c>
      <c r="P3" cm="1">
        <f t="array" ref="P3">INDEX($F$1:$F$100, MATCH(1, (A$1:A$100=P$2)*(B$1:B$100=$K3), 0))</f>
        <v>39.820056000000001</v>
      </c>
      <c r="Q3" t="str">
        <f>IF(ISNA($N3), "DNF", $N3/$M3)</f>
        <v>DNF</v>
      </c>
      <c r="R3" t="str">
        <f>IF(ISNA(O3), "DNF", O3/$M3)</f>
        <v>DNF</v>
      </c>
      <c r="S3">
        <f>IF(ISNA($P3), "DNF", $P3/$M3)</f>
        <v>0.99637978350764578</v>
      </c>
      <c r="U3" t="str">
        <f>IF(ISNA($N3), "DNF", $N3/$P3)</f>
        <v>DNF</v>
      </c>
      <c r="V3" t="str">
        <f>IF(ISNA($O3), "DNF", $O3/$P3)</f>
        <v>DNF</v>
      </c>
      <c r="W3">
        <f>IF(ISNA($M3), "DNF", $M3/$P3)</f>
        <v>1.0036333700786357</v>
      </c>
    </row>
    <row r="4" spans="1:23" x14ac:dyDescent="0.2">
      <c r="A4" t="s">
        <v>4</v>
      </c>
      <c r="B4" t="s">
        <v>19</v>
      </c>
      <c r="C4" t="s">
        <v>56</v>
      </c>
      <c r="D4">
        <v>1</v>
      </c>
      <c r="E4">
        <v>5</v>
      </c>
      <c r="F4">
        <v>33.901957000000003</v>
      </c>
      <c r="G4">
        <v>13.349441000000001</v>
      </c>
      <c r="H4" t="s">
        <v>57</v>
      </c>
      <c r="J4" t="s">
        <v>9</v>
      </c>
      <c r="K4" t="s">
        <v>10</v>
      </c>
      <c r="L4" t="s">
        <v>11</v>
      </c>
      <c r="M4" cm="1">
        <f t="array" ref="M4">INDEX($F$1:$F$100, MATCH(1, (A$1:A$100=M$2)*(B$1:B$100=$K4), 0))</f>
        <v>4.0210999999999997E-2</v>
      </c>
      <c r="N4" cm="1">
        <f t="array" ref="N4">INDEX($F$1:$F$100, MATCH(1, (A$1:A$100=N$2)*(B$1:B$100=$K4), 0))</f>
        <v>0.21196699999999999</v>
      </c>
      <c r="O4" cm="1">
        <f t="array" ref="O4">INDEX($F$1:$F$100, MATCH(1, (A$1:A$100=O$2)*(B$1:B$100=$K4), 0))</f>
        <v>31.093031</v>
      </c>
      <c r="P4" cm="1">
        <f t="array" ref="P4">INDEX($F$1:$F$100, MATCH(1, (A$1:A$100=P$2)*(B$1:B$100=$K4), 0))</f>
        <v>3.9167E-2</v>
      </c>
      <c r="Q4">
        <f>IF(ISNA($N4), "DNF", $N4/$M4)</f>
        <v>5.2713685309989806</v>
      </c>
      <c r="R4">
        <f>IF(ISNA(O4), "DNF", O4/$M4)</f>
        <v>773.24689761508046</v>
      </c>
      <c r="S4">
        <f>IF(ISNA($P4), "DNF", $P4/$M4)</f>
        <v>0.97403695506204779</v>
      </c>
      <c r="U4">
        <f>IF(ISNA($N4), "DNF", $N4/$P4)</f>
        <v>5.4118773457247169</v>
      </c>
      <c r="V4">
        <f>IF(ISNA($O4), "DNF", $O4/$P4)</f>
        <v>793.85786503944644</v>
      </c>
      <c r="W4">
        <f>IF(ISNA($M4), "DNF", $M4/$P4)</f>
        <v>1.0266550922970867</v>
      </c>
    </row>
    <row r="5" spans="1:23" x14ac:dyDescent="0.2">
      <c r="A5" t="s">
        <v>4</v>
      </c>
      <c r="B5" t="s">
        <v>23</v>
      </c>
      <c r="C5" t="s">
        <v>56</v>
      </c>
      <c r="D5">
        <v>1</v>
      </c>
      <c r="E5">
        <v>5</v>
      </c>
      <c r="F5">
        <v>210.90549999999999</v>
      </c>
      <c r="G5">
        <v>3.8568999999999999E-2</v>
      </c>
      <c r="H5" t="s">
        <v>57</v>
      </c>
      <c r="J5" t="s">
        <v>12</v>
      </c>
      <c r="K5" t="s">
        <v>13</v>
      </c>
      <c r="L5" t="s">
        <v>14</v>
      </c>
      <c r="M5" cm="1">
        <f t="array" ref="M5">INDEX($F$1:$F$100, MATCH(1, (A$1:A$100=M$2)*(B$1:B$100=$K5), 0))</f>
        <v>0.173898</v>
      </c>
      <c r="N5" cm="1">
        <f t="array" ref="N5">INDEX($F$1:$F$100, MATCH(1, (A$1:A$100=N$2)*(B$1:B$100=$K5), 0))</f>
        <v>0.66326399999999996</v>
      </c>
      <c r="O5" t="e" cm="1">
        <f t="array" ref="O5">INDEX($F$1:$F$100, MATCH(1, (A$1:A$100=O$2)*(B$1:B$100=$K5), 0))</f>
        <v>#N/A</v>
      </c>
      <c r="P5" cm="1">
        <f t="array" ref="P5">INDEX($F$1:$F$100, MATCH(1, (A$1:A$100=P$2)*(B$1:B$100=$K5), 0))</f>
        <v>0.178314</v>
      </c>
      <c r="Q5">
        <f>IF(ISNA($N5), "DNF", $N5/$M5)</f>
        <v>3.8140979194700342</v>
      </c>
      <c r="R5" t="str">
        <f>IF(ISNA(O5), "DNF", O5/$M5)</f>
        <v>DNF</v>
      </c>
      <c r="S5">
        <f>IF(ISNA($P5), "DNF", $P5/$M5)</f>
        <v>1.0253941965980058</v>
      </c>
      <c r="U5">
        <f>IF(ISNA($N5), "DNF", $N5/$P5)</f>
        <v>3.7196406339378845</v>
      </c>
      <c r="V5" t="str">
        <f>IF(ISNA($O5), "DNF", $O5/$P5)</f>
        <v>DNF</v>
      </c>
      <c r="W5">
        <f>IF(ISNA($M5), "DNF", $M5/$P5)</f>
        <v>0.97523469834112853</v>
      </c>
    </row>
    <row r="6" spans="1:23" x14ac:dyDescent="0.2">
      <c r="A6" t="s">
        <v>4</v>
      </c>
      <c r="B6" t="s">
        <v>34</v>
      </c>
      <c r="C6" t="s">
        <v>56</v>
      </c>
      <c r="D6">
        <v>1</v>
      </c>
      <c r="E6">
        <v>5</v>
      </c>
      <c r="F6">
        <v>160.057196</v>
      </c>
      <c r="G6">
        <v>3.6728489999999998</v>
      </c>
      <c r="H6" t="s">
        <v>57</v>
      </c>
      <c r="J6" t="s">
        <v>12</v>
      </c>
      <c r="K6" t="s">
        <v>15</v>
      </c>
      <c r="L6" t="s">
        <v>16</v>
      </c>
      <c r="M6" cm="1">
        <f t="array" ref="M6">INDEX($F$1:$F$100, MATCH(1, (A$1:A$100=M$2)*(B$1:B$100=$K6), 0))</f>
        <v>2.044222</v>
      </c>
      <c r="N6" cm="1">
        <f t="array" ref="N6">INDEX($F$1:$F$100, MATCH(1, (A$1:A$100=N$2)*(B$1:B$100=$K6), 0))</f>
        <v>13.981866</v>
      </c>
      <c r="O6" t="e" cm="1">
        <f t="array" ref="O6">INDEX($F$1:$F$100, MATCH(1, (A$1:A$100=O$2)*(B$1:B$100=$K6), 0))</f>
        <v>#N/A</v>
      </c>
      <c r="P6" cm="1">
        <f t="array" ref="P6">INDEX($F$1:$F$100, MATCH(1, (A$1:A$100=P$2)*(B$1:B$100=$K6), 0))</f>
        <v>2.0521919999999998</v>
      </c>
      <c r="Q6">
        <f>IF(ISNA($N6), "DNF", $N6/$M6)</f>
        <v>6.8397003847918674</v>
      </c>
      <c r="R6" t="str">
        <f>IF(ISNA(O6), "DNF", O6/$M6)</f>
        <v>DNF</v>
      </c>
      <c r="S6">
        <f>IF(ISNA($P6), "DNF", $P6/$M6)</f>
        <v>1.0038987937709309</v>
      </c>
      <c r="U6">
        <f>IF(ISNA($N6), "DNF", $N6/$P6)</f>
        <v>6.8131373672638826</v>
      </c>
      <c r="V6" t="str">
        <f>IF(ISNA($O6), "DNF", $O6/$P6)</f>
        <v>DNF</v>
      </c>
      <c r="W6">
        <f>IF(ISNA($M6), "DNF", $M6/$P6)</f>
        <v>0.9961163477881213</v>
      </c>
    </row>
    <row r="7" spans="1:23" x14ac:dyDescent="0.2">
      <c r="A7" t="s">
        <v>4</v>
      </c>
      <c r="B7" t="s">
        <v>36</v>
      </c>
      <c r="C7" t="s">
        <v>56</v>
      </c>
      <c r="D7">
        <v>1</v>
      </c>
      <c r="E7">
        <v>5</v>
      </c>
      <c r="F7">
        <v>6.182118</v>
      </c>
      <c r="G7">
        <v>0.16306999999999999</v>
      </c>
      <c r="H7" t="s">
        <v>57</v>
      </c>
      <c r="J7" t="s">
        <v>9</v>
      </c>
      <c r="K7" t="s">
        <v>17</v>
      </c>
      <c r="L7" t="s">
        <v>18</v>
      </c>
      <c r="M7" cm="1">
        <f t="array" ref="M7">INDEX($F$1:$F$100, MATCH(1, (A$1:A$100=M$2)*(B$1:B$100=$K7), 0))</f>
        <v>2.5248E-2</v>
      </c>
      <c r="N7" cm="1">
        <f t="array" ref="N7">INDEX($F$1:$F$100, MATCH(1, (A$1:A$100=N$2)*(B$1:B$100=$K7), 0))</f>
        <v>6.2295000000000003E-2</v>
      </c>
      <c r="O7" t="e" cm="1">
        <f t="array" ref="O7">INDEX($F$1:$F$100, MATCH(1, (A$1:A$100=O$2)*(B$1:B$100=$K7), 0))</f>
        <v>#N/A</v>
      </c>
      <c r="P7" cm="1">
        <f t="array" ref="P7">INDEX($F$1:$F$100, MATCH(1, (A$1:A$100=P$2)*(B$1:B$100=$K7), 0))</f>
        <v>1.9688000000000001E-2</v>
      </c>
      <c r="Q7">
        <f>IF(ISNA($N7), "DNF", $N7/$M7)</f>
        <v>2.467324144486692</v>
      </c>
      <c r="R7" t="str">
        <f>IF(ISNA(O7), "DNF", O7/$M7)</f>
        <v>DNF</v>
      </c>
      <c r="S7">
        <f>IF(ISNA($P7), "DNF", $P7/$M7)</f>
        <v>0.77978453738910014</v>
      </c>
      <c r="U7">
        <f>IF(ISNA($N7), "DNF", $N7/$P7)</f>
        <v>3.1641101178382773</v>
      </c>
      <c r="V7" t="str">
        <f>IF(ISNA($O7), "DNF", $O7/$P7)</f>
        <v>DNF</v>
      </c>
      <c r="W7">
        <f>IF(ISNA($M7), "DNF", $M7/$P7)</f>
        <v>1.2824055262088581</v>
      </c>
    </row>
    <row r="8" spans="1:23" x14ac:dyDescent="0.2">
      <c r="A8" t="s">
        <v>5</v>
      </c>
      <c r="B8" t="s">
        <v>7</v>
      </c>
      <c r="C8" t="s">
        <v>56</v>
      </c>
      <c r="D8">
        <v>1</v>
      </c>
      <c r="E8">
        <v>5</v>
      </c>
      <c r="F8">
        <v>39.820056000000001</v>
      </c>
      <c r="G8">
        <v>1.4252830000000001</v>
      </c>
      <c r="H8" t="s">
        <v>57</v>
      </c>
      <c r="J8" t="s">
        <v>12</v>
      </c>
      <c r="K8" t="s">
        <v>19</v>
      </c>
      <c r="L8" t="s">
        <v>20</v>
      </c>
      <c r="M8" cm="1">
        <f t="array" ref="M8">INDEX($F$1:$F$100, MATCH(1, (A$1:A$100=M$2)*(B$1:B$100=$K8), 0))</f>
        <v>0.73938199999999998</v>
      </c>
      <c r="N8" cm="1">
        <f t="array" ref="N8">INDEX($F$1:$F$100, MATCH(1, (A$1:A$100=N$2)*(B$1:B$100=$K8), 0))</f>
        <v>0.91816200000000003</v>
      </c>
      <c r="O8" cm="1">
        <f t="array" ref="O8">INDEX($F$1:$F$100, MATCH(1, (A$1:A$100=O$2)*(B$1:B$100=$K8), 0))</f>
        <v>33.901957000000003</v>
      </c>
      <c r="P8" cm="1">
        <f t="array" ref="P8">INDEX($F$1:$F$100, MATCH(1, (A$1:A$100=P$2)*(B$1:B$100=$K8), 0))</f>
        <v>0.69452899999999995</v>
      </c>
      <c r="Q8">
        <f>IF(ISNA($N8), "DNF", $N8/$M8)</f>
        <v>1.2417965273701552</v>
      </c>
      <c r="R8">
        <f>IF(ISNA(O8), "DNF", O8/$M8)</f>
        <v>45.851747811009737</v>
      </c>
      <c r="S8">
        <f>IF(ISNA($P8), "DNF", $P8/$M8)</f>
        <v>0.93933717618227108</v>
      </c>
      <c r="U8">
        <f>IF(ISNA($N8), "DNF", $N8/$P8)</f>
        <v>1.3219923142158212</v>
      </c>
      <c r="V8">
        <f>IF(ISNA($O8), "DNF", $O8/$P8)</f>
        <v>48.812874624385742</v>
      </c>
      <c r="W8">
        <f>IF(ISNA($M8), "DNF", $M8/$P8)</f>
        <v>1.0645804566835944</v>
      </c>
    </row>
    <row r="9" spans="1:23" x14ac:dyDescent="0.2">
      <c r="A9" t="s">
        <v>5</v>
      </c>
      <c r="B9" t="s">
        <v>10</v>
      </c>
      <c r="C9" t="s">
        <v>56</v>
      </c>
      <c r="D9">
        <v>1</v>
      </c>
      <c r="E9">
        <v>5</v>
      </c>
      <c r="F9">
        <v>3.9167E-2</v>
      </c>
      <c r="G9">
        <v>1.0803999999999999E-2</v>
      </c>
      <c r="H9" t="s">
        <v>57</v>
      </c>
      <c r="J9" t="s">
        <v>12</v>
      </c>
      <c r="K9" t="s">
        <v>21</v>
      </c>
      <c r="L9" t="s">
        <v>22</v>
      </c>
      <c r="M9" cm="1">
        <f t="array" ref="M9">INDEX($F$1:$F$100, MATCH(1, (A$1:A$100=M$2)*(B$1:B$100=$K9), 0))</f>
        <v>28.579007000000001</v>
      </c>
      <c r="N9" cm="1">
        <f t="array" ref="N9">INDEX($F$1:$F$100, MATCH(1, (A$1:A$100=N$2)*(B$1:B$100=$K9), 0))</f>
        <v>280.45619499999998</v>
      </c>
      <c r="O9" t="e" cm="1">
        <f t="array" ref="O9">INDEX($F$1:$F$100, MATCH(1, (A$1:A$100=O$2)*(B$1:B$100=$K9), 0))</f>
        <v>#N/A</v>
      </c>
      <c r="P9" cm="1">
        <f t="array" ref="P9">INDEX($F$1:$F$100, MATCH(1, (A$1:A$100=P$2)*(B$1:B$100=$K9), 0))</f>
        <v>28.561720000000001</v>
      </c>
      <c r="Q9">
        <f>IF(ISNA($N9), "DNF", $N9/$M9)</f>
        <v>9.8133638792978353</v>
      </c>
      <c r="R9" t="str">
        <f>IF(ISNA(O9), "DNF", O9/$M9)</f>
        <v>DNF</v>
      </c>
      <c r="S9">
        <f>IF(ISNA($P9), "DNF", $P9/$M9)</f>
        <v>0.9993951154426044</v>
      </c>
      <c r="U9">
        <f>IF(ISNA($N9), "DNF", $N9/$P9)</f>
        <v>9.8193034243035768</v>
      </c>
      <c r="V9" t="str">
        <f>IF(ISNA($O9), "DNF", $O9/$P9)</f>
        <v>DNF</v>
      </c>
      <c r="W9">
        <f>IF(ISNA($M9), "DNF", $M9/$P9)</f>
        <v>1.0006052506641756</v>
      </c>
    </row>
    <row r="10" spans="1:23" x14ac:dyDescent="0.2">
      <c r="A10" t="s">
        <v>5</v>
      </c>
      <c r="B10" t="s">
        <v>13</v>
      </c>
      <c r="C10" t="s">
        <v>56</v>
      </c>
      <c r="D10">
        <v>1</v>
      </c>
      <c r="E10">
        <v>5</v>
      </c>
      <c r="F10">
        <v>0.178314</v>
      </c>
      <c r="G10">
        <v>3.5706000000000002E-2</v>
      </c>
      <c r="H10" t="s">
        <v>57</v>
      </c>
      <c r="J10" t="s">
        <v>9</v>
      </c>
      <c r="K10" t="s">
        <v>23</v>
      </c>
      <c r="L10" t="s">
        <v>58</v>
      </c>
      <c r="M10" cm="1">
        <f t="array" ref="M10">INDEX($F$1:$F$100, MATCH(1, (A$1:A$100=M$2)*(B$1:B$100=$K10), 0))</f>
        <v>1.1264E-2</v>
      </c>
      <c r="N10" cm="1">
        <f t="array" ref="N10">INDEX($F$1:$F$100, MATCH(1, (A$1:A$100=N$2)*(B$1:B$100=$K10), 0))</f>
        <v>0.120628</v>
      </c>
      <c r="O10" cm="1">
        <f t="array" ref="O10">INDEX($F$1:$F$100, MATCH(1, (A$1:A$100=O$2)*(B$1:B$100=$K10), 0))</f>
        <v>210.90549999999999</v>
      </c>
      <c r="P10" cm="1">
        <f t="array" ref="P10">INDEX($F$1:$F$100, MATCH(1, (A$1:A$100=P$2)*(B$1:B$100=$K10), 0))</f>
        <v>1.0271000000000001E-2</v>
      </c>
      <c r="Q10">
        <f>IF(ISNA($N10), "DNF", $N10/$M10)</f>
        <v>10.709161931818182</v>
      </c>
      <c r="R10">
        <f>IF(ISNA(O10), "DNF", O10/$M10)</f>
        <v>18723.854758522728</v>
      </c>
      <c r="S10">
        <f>IF(ISNA($P10), "DNF", $P10/$M10)</f>
        <v>0.9118430397727274</v>
      </c>
      <c r="U10">
        <f>IF(ISNA($N10), "DNF", $N10/$P10)</f>
        <v>11.744523415441533</v>
      </c>
      <c r="V10">
        <f>IF(ISNA($O10), "DNF", $O10/$P10)</f>
        <v>20534.076526141562</v>
      </c>
      <c r="W10">
        <f>IF(ISNA($M10), "DNF", $M10/$P10)</f>
        <v>1.096679972738779</v>
      </c>
    </row>
    <row r="11" spans="1:23" x14ac:dyDescent="0.2">
      <c r="A11" t="s">
        <v>5</v>
      </c>
      <c r="B11" t="s">
        <v>15</v>
      </c>
      <c r="C11" t="s">
        <v>56</v>
      </c>
      <c r="D11">
        <v>1</v>
      </c>
      <c r="E11">
        <v>5</v>
      </c>
      <c r="F11">
        <v>2.0521919999999998</v>
      </c>
      <c r="G11">
        <v>0.19162999999999999</v>
      </c>
      <c r="H11" t="s">
        <v>57</v>
      </c>
      <c r="J11" t="s">
        <v>12</v>
      </c>
      <c r="K11" t="s">
        <v>24</v>
      </c>
      <c r="L11" t="s">
        <v>25</v>
      </c>
      <c r="M11" cm="1">
        <f t="array" ref="M11">INDEX($F$1:$F$100, MATCH(1, (A$1:A$100=M$2)*(B$1:B$100=$K11), 0))</f>
        <v>447.75497200000001</v>
      </c>
      <c r="N11" t="e" cm="1">
        <f t="array" ref="N11">INDEX($F$1:$F$100, MATCH(1, (A$1:A$100=N$2)*(B$1:B$100=$K11), 0))</f>
        <v>#N/A</v>
      </c>
      <c r="O11" t="e" cm="1">
        <f t="array" ref="O11">INDEX($F$1:$F$100, MATCH(1, (A$1:A$100=O$2)*(B$1:B$100=$K11), 0))</f>
        <v>#N/A</v>
      </c>
      <c r="P11" cm="1">
        <f t="array" ref="P11">INDEX($F$1:$F$100, MATCH(1, (A$1:A$100=P$2)*(B$1:B$100=$K11), 0))</f>
        <v>442.861581</v>
      </c>
      <c r="Q11" t="str">
        <f>IF(ISNA($N11), "DNF", $N11/$M11)</f>
        <v>DNF</v>
      </c>
      <c r="R11" t="str">
        <f>IF(ISNA(O11), "DNF", O11/$M11)</f>
        <v>DNF</v>
      </c>
      <c r="S11">
        <f>IF(ISNA($P11), "DNF", $P11/$M11)</f>
        <v>0.98907127490255986</v>
      </c>
      <c r="U11" t="str">
        <f>IF(ISNA($N11), "DNF", $N11/$P11)</f>
        <v>DNF</v>
      </c>
      <c r="V11" t="str">
        <f>IF(ISNA($O11), "DNF", $O11/$P11)</f>
        <v>DNF</v>
      </c>
      <c r="W11">
        <f>IF(ISNA($M11), "DNF", $M11/$P11)</f>
        <v>1.0110494818470153</v>
      </c>
    </row>
    <row r="12" spans="1:23" x14ac:dyDescent="0.2">
      <c r="A12" t="s">
        <v>5</v>
      </c>
      <c r="B12" t="s">
        <v>17</v>
      </c>
      <c r="C12" t="s">
        <v>56</v>
      </c>
      <c r="D12">
        <v>1</v>
      </c>
      <c r="E12">
        <v>5</v>
      </c>
      <c r="F12">
        <v>1.9688000000000001E-2</v>
      </c>
      <c r="G12">
        <v>2.0199999999999999E-2</v>
      </c>
      <c r="H12" t="s">
        <v>57</v>
      </c>
      <c r="J12" t="s">
        <v>9</v>
      </c>
      <c r="K12" t="s">
        <v>26</v>
      </c>
      <c r="L12" t="s">
        <v>27</v>
      </c>
      <c r="M12" cm="1">
        <f t="array" ref="M12">INDEX($F$1:$F$100, MATCH(1, (A$1:A$100=M$2)*(B$1:B$100=$K12), 0))</f>
        <v>0.47815000000000002</v>
      </c>
      <c r="N12" t="e" cm="1">
        <f t="array" ref="N12">INDEX($F$1:$F$100, MATCH(1, (A$1:A$100=N$2)*(B$1:B$100=$K12), 0))</f>
        <v>#N/A</v>
      </c>
      <c r="O12" t="e" cm="1">
        <f t="array" ref="O12">INDEX($F$1:$F$100, MATCH(1, (A$1:A$100=O$2)*(B$1:B$100=$K12), 0))</f>
        <v>#N/A</v>
      </c>
      <c r="P12" cm="1">
        <f t="array" ref="P12">INDEX($F$1:$F$100, MATCH(1, (A$1:A$100=P$2)*(B$1:B$100=$K12), 0))</f>
        <v>0.477072</v>
      </c>
      <c r="Q12" t="str">
        <f>IF(ISNA($N12), "DNF", $N12/$M12)</f>
        <v>DNF</v>
      </c>
      <c r="R12" t="str">
        <f>IF(ISNA(O12), "DNF", O12/$M12)</f>
        <v>DNF</v>
      </c>
      <c r="S12">
        <f>IF(ISNA($P12), "DNF", $P12/$M12)</f>
        <v>0.99774547736066088</v>
      </c>
      <c r="U12" t="str">
        <f>IF(ISNA($N12), "DNF", $N12/$P12)</f>
        <v>DNF</v>
      </c>
      <c r="V12" t="str">
        <f>IF(ISNA($O12), "DNF", $O12/$P12)</f>
        <v>DNF</v>
      </c>
      <c r="W12">
        <f>IF(ISNA($M12), "DNF", $M12/$P12)</f>
        <v>1.0022596169970153</v>
      </c>
    </row>
    <row r="13" spans="1:23" x14ac:dyDescent="0.2">
      <c r="A13" t="s">
        <v>5</v>
      </c>
      <c r="B13" t="s">
        <v>19</v>
      </c>
      <c r="C13" t="s">
        <v>56</v>
      </c>
      <c r="D13">
        <v>1</v>
      </c>
      <c r="E13">
        <v>5</v>
      </c>
      <c r="F13">
        <v>0.69452899999999995</v>
      </c>
      <c r="G13">
        <v>5.7931999999999997E-2</v>
      </c>
      <c r="H13" t="s">
        <v>57</v>
      </c>
      <c r="J13" t="s">
        <v>12</v>
      </c>
      <c r="K13" t="s">
        <v>28</v>
      </c>
      <c r="L13" t="s">
        <v>29</v>
      </c>
      <c r="M13" cm="1">
        <f t="array" ref="M13">INDEX($F$1:$F$100, MATCH(1, (A$1:A$100=M$2)*(B$1:B$100=$K13), 0))</f>
        <v>0.70641200000000004</v>
      </c>
      <c r="N13" cm="1">
        <f t="array" ref="N13">INDEX($F$1:$F$100, MATCH(1, (A$1:A$100=N$2)*(B$1:B$100=$K13), 0))</f>
        <v>0.71664899999999998</v>
      </c>
      <c r="O13" t="e" cm="1">
        <f t="array" ref="O13">INDEX($F$1:$F$100, MATCH(1, (A$1:A$100=O$2)*(B$1:B$100=$K13), 0))</f>
        <v>#N/A</v>
      </c>
      <c r="P13" cm="1">
        <f t="array" ref="P13">INDEX($F$1:$F$100, MATCH(1, (A$1:A$100=P$2)*(B$1:B$100=$K13), 0))</f>
        <v>0.71308899999999997</v>
      </c>
      <c r="Q13">
        <f>IF(ISNA($N13), "DNF", $N13/$M13)</f>
        <v>1.0144915431787682</v>
      </c>
      <c r="R13" t="str">
        <f>IF(ISNA(O13), "DNF", O13/$M13)</f>
        <v>DNF</v>
      </c>
      <c r="S13">
        <f>IF(ISNA($P13), "DNF", $P13/$M13)</f>
        <v>1.0094519911892776</v>
      </c>
      <c r="U13">
        <f>IF(ISNA($N13), "DNF", $N13/$P13)</f>
        <v>1.0049923642069925</v>
      </c>
      <c r="V13" t="str">
        <f>IF(ISNA($O13), "DNF", $O13/$P13)</f>
        <v>DNF</v>
      </c>
      <c r="W13">
        <f>IF(ISNA($M13), "DNF", $M13/$P13)</f>
        <v>0.99063651241289663</v>
      </c>
    </row>
    <row r="14" spans="1:23" x14ac:dyDescent="0.2">
      <c r="A14" t="s">
        <v>5</v>
      </c>
      <c r="B14" t="s">
        <v>21</v>
      </c>
      <c r="C14" t="s">
        <v>56</v>
      </c>
      <c r="D14">
        <v>1</v>
      </c>
      <c r="E14">
        <v>5</v>
      </c>
      <c r="F14">
        <v>28.561720000000001</v>
      </c>
      <c r="G14">
        <v>0.71328100000000005</v>
      </c>
      <c r="H14" t="s">
        <v>57</v>
      </c>
      <c r="J14" t="s">
        <v>12</v>
      </c>
      <c r="K14" t="s">
        <v>30</v>
      </c>
      <c r="L14" t="s">
        <v>31</v>
      </c>
      <c r="M14" cm="1">
        <f t="array" ref="M14">INDEX($F$1:$F$100, MATCH(1, (A$1:A$100=M$2)*(B$1:B$100=$K14), 0))</f>
        <v>0.87323200000000001</v>
      </c>
      <c r="N14" cm="1">
        <f t="array" ref="N14">INDEX($F$1:$F$100, MATCH(1, (A$1:A$100=N$2)*(B$1:B$100=$K14), 0))</f>
        <v>3.3688129999999998</v>
      </c>
      <c r="O14" t="e" cm="1">
        <f t="array" ref="O14">INDEX($F$1:$F$100, MATCH(1, (A$1:A$100=O$2)*(B$1:B$100=$K14), 0))</f>
        <v>#N/A</v>
      </c>
      <c r="P14" cm="1">
        <f t="array" ref="P14">INDEX($F$1:$F$100, MATCH(1, (A$1:A$100=P$2)*(B$1:B$100=$K14), 0))</f>
        <v>0.86595999999999995</v>
      </c>
      <c r="Q14">
        <f>IF(ISNA($N14), "DNF", $N14/$M14)</f>
        <v>3.8578670960294628</v>
      </c>
      <c r="R14" t="str">
        <f>IF(ISNA(O14), "DNF", O14/$M14)</f>
        <v>DNF</v>
      </c>
      <c r="S14">
        <f>IF(ISNA($P14), "DNF", $P14/$M14)</f>
        <v>0.99167231617714413</v>
      </c>
      <c r="U14">
        <f>IF(ISNA($N14), "DNF", $N14/$P14)</f>
        <v>3.8902639844796525</v>
      </c>
      <c r="V14" t="str">
        <f>IF(ISNA($O14), "DNF", $O14/$P14)</f>
        <v>DNF</v>
      </c>
      <c r="W14">
        <f>IF(ISNA($M14), "DNF", $M14/$P14)</f>
        <v>1.0083976165180841</v>
      </c>
    </row>
    <row r="15" spans="1:23" x14ac:dyDescent="0.2">
      <c r="A15" t="s">
        <v>5</v>
      </c>
      <c r="B15" t="s">
        <v>23</v>
      </c>
      <c r="C15" t="s">
        <v>56</v>
      </c>
      <c r="D15">
        <v>1</v>
      </c>
      <c r="E15">
        <v>5</v>
      </c>
      <c r="F15">
        <v>1.0271000000000001E-2</v>
      </c>
      <c r="G15">
        <v>1.1579000000000001E-2</v>
      </c>
      <c r="H15" t="s">
        <v>57</v>
      </c>
      <c r="J15" t="s">
        <v>9</v>
      </c>
      <c r="K15" t="s">
        <v>32</v>
      </c>
      <c r="L15" t="s">
        <v>33</v>
      </c>
      <c r="M15" cm="1">
        <f t="array" ref="M15">INDEX($F$1:$F$100, MATCH(1, (A$1:A$100=M$2)*(B$1:B$100=$K15), 0))</f>
        <v>2.1882549999999998</v>
      </c>
      <c r="N15" t="e" cm="1">
        <f t="array" ref="N15">INDEX($F$1:$F$100, MATCH(1, (A$1:A$100=N$2)*(B$1:B$100=$K15), 0))</f>
        <v>#N/A</v>
      </c>
      <c r="O15" t="e" cm="1">
        <f t="array" ref="O15">INDEX($F$1:$F$100, MATCH(1, (A$1:A$100=O$2)*(B$1:B$100=$K15), 0))</f>
        <v>#N/A</v>
      </c>
      <c r="P15" cm="1">
        <f t="array" ref="P15">INDEX($F$1:$F$100, MATCH(1, (A$1:A$100=P$2)*(B$1:B$100=$K15), 0))</f>
        <v>2.1123400000000001</v>
      </c>
      <c r="Q15" t="str">
        <f>IF(ISNA($N15), "DNF", $N15/$M15)</f>
        <v>DNF</v>
      </c>
      <c r="R15" t="str">
        <f>IF(ISNA(O15), "DNF", O15/$M15)</f>
        <v>DNF</v>
      </c>
      <c r="S15">
        <f>IF(ISNA($P15), "DNF", $P15/$M15)</f>
        <v>0.96530797370507559</v>
      </c>
      <c r="U15" t="str">
        <f>IF(ISNA($N15), "DNF", $N15/$P15)</f>
        <v>DNF</v>
      </c>
      <c r="V15" t="str">
        <f>IF(ISNA($O15), "DNF", $O15/$P15)</f>
        <v>DNF</v>
      </c>
      <c r="W15">
        <f>IF(ISNA($M15), "DNF", $M15/$P15)</f>
        <v>1.0359388166677712</v>
      </c>
    </row>
    <row r="16" spans="1:23" x14ac:dyDescent="0.2">
      <c r="A16" t="s">
        <v>5</v>
      </c>
      <c r="B16" t="s">
        <v>24</v>
      </c>
      <c r="C16" t="s">
        <v>56</v>
      </c>
      <c r="D16">
        <v>1</v>
      </c>
      <c r="E16">
        <v>5</v>
      </c>
      <c r="F16">
        <v>442.861581</v>
      </c>
      <c r="G16">
        <v>68.783197000000001</v>
      </c>
      <c r="H16" t="s">
        <v>57</v>
      </c>
      <c r="J16" t="s">
        <v>6</v>
      </c>
      <c r="K16" t="s">
        <v>34</v>
      </c>
      <c r="L16" t="s">
        <v>35</v>
      </c>
      <c r="M16" cm="1">
        <f t="array" ref="M16">INDEX($F$1:$F$100, MATCH(1, (A$1:A$100=M$2)*(B$1:B$100=$K16), 0))</f>
        <v>0.173037</v>
      </c>
      <c r="N16" cm="1">
        <f t="array" ref="N16">INDEX($F$1:$F$100, MATCH(1, (A$1:A$100=N$2)*(B$1:B$100=$K16), 0))</f>
        <v>1.7731779999999999</v>
      </c>
      <c r="O16" cm="1">
        <f t="array" ref="O16">INDEX($F$1:$F$100, MATCH(1, (A$1:A$100=O$2)*(B$1:B$100=$K16), 0))</f>
        <v>160.057196</v>
      </c>
      <c r="P16" cm="1">
        <f t="array" ref="P16">INDEX($F$1:$F$100, MATCH(1, (A$1:A$100=P$2)*(B$1:B$100=$K16), 0))</f>
        <v>0.17183200000000001</v>
      </c>
      <c r="Q16">
        <f>IF(ISNA($N16), "DNF", $N16/$M16)</f>
        <v>10.247392176239764</v>
      </c>
      <c r="R16">
        <f>IF(ISNA(O16), "DNF", O16/$M16)</f>
        <v>924.98827418413407</v>
      </c>
      <c r="S16">
        <f>IF(ISNA($P16), "DNF", $P16/$M16)</f>
        <v>0.99303617145466005</v>
      </c>
      <c r="U16">
        <f>IF(ISNA($N16), "DNF", $N16/$P16)</f>
        <v>10.319253689650354</v>
      </c>
      <c r="V16">
        <f>IF(ISNA($O16), "DNF", $O16/$P16)</f>
        <v>931.4749057218678</v>
      </c>
      <c r="W16">
        <f>IF(ISNA($M16), "DNF", $M16/$P16)</f>
        <v>1.0070126635318217</v>
      </c>
    </row>
    <row r="17" spans="1:26" x14ac:dyDescent="0.2">
      <c r="A17" t="s">
        <v>5</v>
      </c>
      <c r="B17" t="s">
        <v>26</v>
      </c>
      <c r="C17" t="s">
        <v>56</v>
      </c>
      <c r="D17">
        <v>1</v>
      </c>
      <c r="E17">
        <v>5</v>
      </c>
      <c r="F17">
        <v>0.477072</v>
      </c>
      <c r="G17">
        <v>3.9455999999999998E-2</v>
      </c>
      <c r="H17" t="s">
        <v>57</v>
      </c>
      <c r="J17" t="s">
        <v>6</v>
      </c>
      <c r="K17" t="s">
        <v>36</v>
      </c>
      <c r="L17" t="s">
        <v>37</v>
      </c>
      <c r="M17" cm="1">
        <f t="array" ref="M17">INDEX($F$1:$F$100, MATCH(1, (A$1:A$100=M$2)*(B$1:B$100=$K17), 0))</f>
        <v>6.8706000000000003E-2</v>
      </c>
      <c r="N17" cm="1">
        <f t="array" ref="N17">INDEX($F$1:$F$100, MATCH(1, (A$1:A$100=N$2)*(B$1:B$100=$K17), 0))</f>
        <v>0.243452</v>
      </c>
      <c r="O17" cm="1">
        <f t="array" ref="O17">INDEX($F$1:$F$100, MATCH(1, (A$1:A$100=O$2)*(B$1:B$100=$K17), 0))</f>
        <v>6.182118</v>
      </c>
      <c r="P17" cm="1">
        <f t="array" ref="P17">INDEX($F$1:$F$100, MATCH(1, (A$1:A$100=P$2)*(B$1:B$100=$K17), 0))</f>
        <v>6.5031000000000005E-2</v>
      </c>
      <c r="Q17">
        <f>IF(ISNA($N17), "DNF", $N17/$M17)</f>
        <v>3.5433877681716299</v>
      </c>
      <c r="R17">
        <f>IF(ISNA(O17), "DNF", O17/$M17)</f>
        <v>89.979303117631645</v>
      </c>
      <c r="S17">
        <f>IF(ISNA($P17), "DNF", $P17/$M17)</f>
        <v>0.94651122172736013</v>
      </c>
      <c r="U17">
        <f>IF(ISNA($N17), "DNF", $N17/$P17)</f>
        <v>3.7436299610954773</v>
      </c>
      <c r="V17">
        <f>IF(ISNA($O17), "DNF", $O17/$P17)</f>
        <v>95.064169396134147</v>
      </c>
      <c r="W17">
        <f>IF(ISNA($M17), "DNF", $M17/$P17)</f>
        <v>1.0565115098952806</v>
      </c>
    </row>
    <row r="18" spans="1:26" x14ac:dyDescent="0.2">
      <c r="A18" t="s">
        <v>5</v>
      </c>
      <c r="B18" t="s">
        <v>28</v>
      </c>
      <c r="C18" t="s">
        <v>56</v>
      </c>
      <c r="D18">
        <v>1</v>
      </c>
      <c r="E18">
        <v>5</v>
      </c>
      <c r="F18">
        <v>0.71308899999999997</v>
      </c>
      <c r="G18">
        <v>6.0470999999999997E-2</v>
      </c>
      <c r="H18" t="s">
        <v>57</v>
      </c>
      <c r="J18" t="s">
        <v>12</v>
      </c>
      <c r="K18" t="s">
        <v>38</v>
      </c>
      <c r="L18" t="s">
        <v>39</v>
      </c>
      <c r="M18" cm="1">
        <f t="array" ref="M18">INDEX($F$1:$F$100, MATCH(1, (A$1:A$100=M$2)*(B$1:B$100=$K18), 0))</f>
        <v>1.344222</v>
      </c>
      <c r="N18" cm="1">
        <f t="array" ref="N18">INDEX($F$1:$F$100, MATCH(1, (A$1:A$100=N$2)*(B$1:B$100=$K18), 0))</f>
        <v>9.3028110000000002</v>
      </c>
      <c r="O18" t="e" cm="1">
        <f t="array" ref="O18">INDEX($F$1:$F$100, MATCH(1, (A$1:A$100=O$2)*(B$1:B$100=$K18), 0))</f>
        <v>#N/A</v>
      </c>
      <c r="P18" cm="1">
        <f t="array" ref="P18">INDEX($F$1:$F$100, MATCH(1, (A$1:A$100=P$2)*(B$1:B$100=$K18), 0))</f>
        <v>1.3505579999999999</v>
      </c>
      <c r="Q18">
        <f>IF(ISNA($N18), "DNF", $N18/$M18)</f>
        <v>6.9205912416252673</v>
      </c>
      <c r="R18" t="str">
        <f>IF(ISNA(O18), "DNF", O18/$M18)</f>
        <v>DNF</v>
      </c>
      <c r="S18">
        <f>IF(ISNA($P18), "DNF", $P18/$M18)</f>
        <v>1.0047135071439093</v>
      </c>
      <c r="U18">
        <f>IF(ISNA($N18), "DNF", $N18/$P18)</f>
        <v>6.8881240198495739</v>
      </c>
      <c r="V18" t="str">
        <f>IF(ISNA($O18), "DNF", $O18/$P18)</f>
        <v>DNF</v>
      </c>
      <c r="W18">
        <f>IF(ISNA($M18), "DNF", $M18/$P18)</f>
        <v>0.99530860577627922</v>
      </c>
    </row>
    <row r="19" spans="1:26" x14ac:dyDescent="0.2">
      <c r="A19" t="s">
        <v>5</v>
      </c>
      <c r="B19" t="s">
        <v>30</v>
      </c>
      <c r="C19" t="s">
        <v>56</v>
      </c>
      <c r="D19">
        <v>1</v>
      </c>
      <c r="E19">
        <v>5</v>
      </c>
      <c r="F19">
        <v>0.86595999999999995</v>
      </c>
      <c r="G19">
        <v>0.12076199999999999</v>
      </c>
      <c r="H19" t="s">
        <v>57</v>
      </c>
    </row>
    <row r="20" spans="1:26" x14ac:dyDescent="0.2">
      <c r="A20" t="s">
        <v>5</v>
      </c>
      <c r="B20" t="s">
        <v>32</v>
      </c>
      <c r="C20" t="s">
        <v>56</v>
      </c>
      <c r="D20">
        <v>1</v>
      </c>
      <c r="E20">
        <v>5</v>
      </c>
      <c r="F20">
        <v>2.1123400000000001</v>
      </c>
      <c r="G20">
        <v>0.55316600000000005</v>
      </c>
      <c r="H20" t="s">
        <v>57</v>
      </c>
    </row>
    <row r="21" spans="1:26" x14ac:dyDescent="0.2">
      <c r="A21" t="s">
        <v>5</v>
      </c>
      <c r="B21" t="s">
        <v>34</v>
      </c>
      <c r="C21" t="s">
        <v>56</v>
      </c>
      <c r="D21">
        <v>1</v>
      </c>
      <c r="E21">
        <v>5</v>
      </c>
      <c r="F21">
        <v>0.17183200000000001</v>
      </c>
      <c r="G21">
        <v>3.6046000000000002E-2</v>
      </c>
      <c r="H21" t="s">
        <v>57</v>
      </c>
    </row>
    <row r="22" spans="1:26" x14ac:dyDescent="0.2">
      <c r="A22" t="s">
        <v>5</v>
      </c>
      <c r="B22" t="s">
        <v>36</v>
      </c>
      <c r="C22" t="s">
        <v>56</v>
      </c>
      <c r="D22">
        <v>1</v>
      </c>
      <c r="E22">
        <v>5</v>
      </c>
      <c r="F22">
        <v>6.5031000000000005E-2</v>
      </c>
      <c r="G22">
        <v>1.9233E-2</v>
      </c>
      <c r="H22" t="s">
        <v>57</v>
      </c>
    </row>
    <row r="23" spans="1:26" x14ac:dyDescent="0.2">
      <c r="A23" t="s">
        <v>5</v>
      </c>
      <c r="B23" t="s">
        <v>38</v>
      </c>
      <c r="C23" t="s">
        <v>56</v>
      </c>
      <c r="D23">
        <v>1</v>
      </c>
      <c r="E23">
        <v>5</v>
      </c>
      <c r="F23">
        <v>1.3505579999999999</v>
      </c>
      <c r="G23">
        <v>9.5783999999999994E-2</v>
      </c>
      <c r="H23" t="s">
        <v>57</v>
      </c>
    </row>
    <row r="24" spans="1:26" x14ac:dyDescent="0.2">
      <c r="A24" t="s">
        <v>3</v>
      </c>
      <c r="B24" t="s">
        <v>10</v>
      </c>
      <c r="C24" t="s">
        <v>56</v>
      </c>
      <c r="D24">
        <v>1</v>
      </c>
      <c r="E24">
        <v>5</v>
      </c>
      <c r="F24">
        <v>0.21196699999999999</v>
      </c>
      <c r="G24">
        <v>3.5362999999999999E-2</v>
      </c>
      <c r="H24" t="s">
        <v>57</v>
      </c>
      <c r="J24" t="s">
        <v>40</v>
      </c>
      <c r="P24" t="s">
        <v>59</v>
      </c>
      <c r="T24" t="s">
        <v>60</v>
      </c>
      <c r="X24" t="s">
        <v>61</v>
      </c>
    </row>
    <row r="25" spans="1:26" x14ac:dyDescent="0.2">
      <c r="A25" t="s">
        <v>3</v>
      </c>
      <c r="B25" t="s">
        <v>13</v>
      </c>
      <c r="C25" t="s">
        <v>56</v>
      </c>
      <c r="D25">
        <v>1</v>
      </c>
      <c r="E25">
        <v>5</v>
      </c>
      <c r="F25">
        <v>0.66326399999999996</v>
      </c>
      <c r="G25">
        <v>0.158831</v>
      </c>
      <c r="H25" t="s">
        <v>57</v>
      </c>
      <c r="J25" t="s">
        <v>1</v>
      </c>
      <c r="K25" t="s">
        <v>6</v>
      </c>
      <c r="L25" t="s">
        <v>12</v>
      </c>
      <c r="M25" t="s">
        <v>9</v>
      </c>
      <c r="O25" t="s">
        <v>51</v>
      </c>
      <c r="P25" t="s">
        <v>2</v>
      </c>
      <c r="Q25" t="s">
        <v>3</v>
      </c>
      <c r="R25" t="s">
        <v>4</v>
      </c>
      <c r="S25" t="s">
        <v>5</v>
      </c>
      <c r="T25" t="s">
        <v>40</v>
      </c>
      <c r="U25" t="s">
        <v>41</v>
      </c>
      <c r="V25" t="s">
        <v>5</v>
      </c>
      <c r="X25" t="s">
        <v>40</v>
      </c>
      <c r="Y25" t="s">
        <v>41</v>
      </c>
      <c r="Z25" t="s">
        <v>2</v>
      </c>
    </row>
    <row r="26" spans="1:26" x14ac:dyDescent="0.2">
      <c r="A26" t="s">
        <v>3</v>
      </c>
      <c r="B26" t="s">
        <v>15</v>
      </c>
      <c r="C26" t="s">
        <v>56</v>
      </c>
      <c r="D26">
        <v>1</v>
      </c>
      <c r="E26">
        <v>5</v>
      </c>
      <c r="F26">
        <v>13.981866</v>
      </c>
      <c r="G26">
        <v>3.5806770000000001</v>
      </c>
      <c r="H26" t="s">
        <v>57</v>
      </c>
      <c r="J26" t="s">
        <v>11</v>
      </c>
      <c r="K26" t="str" cm="1">
        <f t="array" ref="K26">IFERROR(INDEX($Q$3:$Q$18, MATCH(1, ($J26=$L$3:$L$18) * (K$25=$J$3:$J$18), 0)), "")</f>
        <v/>
      </c>
      <c r="L26" t="str" cm="1">
        <f t="array" ref="L26">IFERROR(INDEX($Q$3:$Q$18, MATCH(1, ($J26=$L$3:$L$18) * (L$25=$J$3:$J$18), 0)), "")</f>
        <v/>
      </c>
      <c r="M26" cm="1">
        <f t="array" ref="M26">IFERROR(INDEX($Q$3:$Q$18, MATCH(1, ($J26=$L$3:$L$18) * (M$25=$J$3:$J$18), 0)), "")</f>
        <v>5.2713685309989806</v>
      </c>
      <c r="O26" t="s">
        <v>8</v>
      </c>
      <c r="P26" cm="1">
        <f t="array" ref="P26">INDEX($G$1:$G$100, MATCH(1, ($A$1:$A$100=P$25)*($B$1:$B$100=$K3), 0))</f>
        <v>1.0924320000000001</v>
      </c>
      <c r="Q26" t="e" cm="1">
        <f t="array" ref="Q26">INDEX($G$1:$G$100, MATCH(1, ($A$1:$A$100=Q$25)*($B$1:$B$100=$K3), 0))</f>
        <v>#N/A</v>
      </c>
      <c r="R26" t="e" cm="1">
        <f t="array" ref="R26">INDEX($G$1:$G$100, MATCH(1, ($A$1:$A$100=R$25)*($B$1:$B$100=$K3), 0))</f>
        <v>#N/A</v>
      </c>
      <c r="S26" cm="1">
        <f t="array" ref="S26">INDEX($G$1:$G$100, MATCH(1, ($A$1:$A$100=S$25)*($B$1:$B$100=$K3), 0))</f>
        <v>1.4252830000000001</v>
      </c>
      <c r="T26" t="b">
        <f>IF(ISNA(N3), TRUE, ABS($M3-N3) &gt; MAX($P26, Q26))</f>
        <v>1</v>
      </c>
      <c r="U26" t="b">
        <f>IF(ISNA(O3), TRUE, ABS($M3-O3) &gt; MAX($P26, R26))</f>
        <v>1</v>
      </c>
      <c r="V26" t="b">
        <f>IF(ISNA(P3), TRUE, ABS($M3-P3) &gt; MAX($P26, S26))</f>
        <v>0</v>
      </c>
      <c r="X26" t="b">
        <f>IF(ISNA(N3), TRUE, ABS($P3-N3) &gt; MAX($S26, Q26))</f>
        <v>1</v>
      </c>
      <c r="Y26" t="b">
        <f>IF(ISNA(O3), TRUE, ABS($P3-O3) &gt; MAX($S26, R26))</f>
        <v>1</v>
      </c>
      <c r="Z26" t="b">
        <f>IF(ISNA(M3), TRUE, ABS($P3-M3) &gt; MAX($S26, P26))</f>
        <v>0</v>
      </c>
    </row>
    <row r="27" spans="1:26" x14ac:dyDescent="0.2">
      <c r="A27" t="s">
        <v>3</v>
      </c>
      <c r="B27" t="s">
        <v>17</v>
      </c>
      <c r="C27" t="s">
        <v>56</v>
      </c>
      <c r="D27">
        <v>1</v>
      </c>
      <c r="E27">
        <v>5</v>
      </c>
      <c r="F27">
        <v>6.2295000000000003E-2</v>
      </c>
      <c r="G27">
        <v>1.8681E-2</v>
      </c>
      <c r="H27" t="s">
        <v>57</v>
      </c>
      <c r="J27" t="s">
        <v>18</v>
      </c>
      <c r="K27" t="str" cm="1">
        <f t="array" ref="K27">IFERROR(INDEX($Q$3:$Q$18, MATCH(1, ($J27=$L$3:$L$18) * (K$25=$J$3:$J$18), 0)), "")</f>
        <v/>
      </c>
      <c r="L27" t="str" cm="1">
        <f t="array" ref="L27">IFERROR(INDEX($Q$3:$Q$18, MATCH(1, ($J27=$L$3:$L$18) * (L$25=$J$3:$J$18), 0)), "")</f>
        <v/>
      </c>
      <c r="M27" cm="1">
        <f t="array" ref="M27">IFERROR(INDEX($Q$3:$Q$18, MATCH(1, ($J27=$L$3:$L$18) * (M$25=$J$3:$J$18), 0)), "")</f>
        <v>2.467324144486692</v>
      </c>
      <c r="O27" t="s">
        <v>11</v>
      </c>
      <c r="P27" cm="1">
        <f t="array" ref="P27">INDEX($G$1:$G$100, MATCH(1, ($A$1:$A$100=P$25)*($B$1:$B$100=$K4), 0))</f>
        <v>1.0153000000000001E-2</v>
      </c>
      <c r="Q27" cm="1">
        <f t="array" ref="Q27">INDEX($G$1:$G$100, MATCH(1, ($A$1:$A$100=Q$25)*($B$1:$B$100=$K4), 0))</f>
        <v>3.5362999999999999E-2</v>
      </c>
      <c r="R27" cm="1">
        <f t="array" ref="R27">INDEX($G$1:$G$100, MATCH(1, ($A$1:$A$100=R$25)*($B$1:$B$100=$K4), 0))</f>
        <v>0.35842099999999999</v>
      </c>
      <c r="S27" cm="1">
        <f t="array" ref="S27">INDEX($G$1:$G$100, MATCH(1, ($A$1:$A$100=S$25)*($B$1:$B$100=$K4), 0))</f>
        <v>1.0803999999999999E-2</v>
      </c>
      <c r="T27" t="b">
        <f>IF(ISNA(N4), TRUE, ABS($M4-N4) &gt; MAX($P27, Q27))</f>
        <v>1</v>
      </c>
      <c r="U27" t="b">
        <f>IF(ISNA(O4), TRUE, ABS($M4-O4) &gt; MAX($P27, R27))</f>
        <v>1</v>
      </c>
      <c r="V27" t="b">
        <f>IF(ISNA(P4), TRUE, ABS($M4-P4) &gt; MAX($P27, S27))</f>
        <v>0</v>
      </c>
      <c r="X27" t="b">
        <f>IF(ISNA(N4), TRUE, ABS($P4-N4) &gt; MAX($S27, Q27))</f>
        <v>1</v>
      </c>
      <c r="Y27" t="b">
        <f>IF(ISNA(O4), TRUE, ABS($P4-O4) &gt; MAX($S27, R27))</f>
        <v>1</v>
      </c>
      <c r="Z27" t="b">
        <f>IF(ISNA(M4), TRUE, ABS($P4-M4) &gt; MAX($S27, P27))</f>
        <v>0</v>
      </c>
    </row>
    <row r="28" spans="1:26" x14ac:dyDescent="0.2">
      <c r="A28" t="s">
        <v>3</v>
      </c>
      <c r="B28" t="s">
        <v>19</v>
      </c>
      <c r="C28" t="s">
        <v>56</v>
      </c>
      <c r="D28">
        <v>1</v>
      </c>
      <c r="E28">
        <v>5</v>
      </c>
      <c r="F28">
        <v>0.91816200000000003</v>
      </c>
      <c r="G28">
        <v>0.23685100000000001</v>
      </c>
      <c r="H28" t="s">
        <v>57</v>
      </c>
      <c r="J28" t="s">
        <v>58</v>
      </c>
      <c r="K28" t="str" cm="1">
        <f t="array" ref="K28">IFERROR(INDEX($Q$3:$Q$18, MATCH(1, ($J28=$L$3:$L$18) * (K$25=$J$3:$J$18), 0)), "")</f>
        <v/>
      </c>
      <c r="L28" t="str" cm="1">
        <f t="array" ref="L28">IFERROR(INDEX($Q$3:$Q$18, MATCH(1, ($J28=$L$3:$L$18) * (L$25=$J$3:$J$18), 0)), "")</f>
        <v/>
      </c>
      <c r="M28" cm="1">
        <f t="array" ref="M28">IFERROR(INDEX($Q$3:$Q$18, MATCH(1, ($J28=$L$3:$L$18) * (M$25=$J$3:$J$18), 0)), "")</f>
        <v>10.709161931818182</v>
      </c>
      <c r="O28" t="s">
        <v>14</v>
      </c>
      <c r="P28" cm="1">
        <f t="array" ref="P28">INDEX($G$1:$G$100, MATCH(1, ($A$1:$A$100=P$25)*($B$1:$B$100=$K5), 0))</f>
        <v>3.6644000000000003E-2</v>
      </c>
      <c r="Q28" cm="1">
        <f t="array" ref="Q28">INDEX($G$1:$G$100, MATCH(1, ($A$1:$A$100=Q$25)*($B$1:$B$100=$K5), 0))</f>
        <v>0.158831</v>
      </c>
      <c r="R28" t="e" cm="1">
        <f t="array" ref="R28">INDEX($G$1:$G$100, MATCH(1, ($A$1:$A$100=R$25)*($B$1:$B$100=$K5), 0))</f>
        <v>#N/A</v>
      </c>
      <c r="S28" cm="1">
        <f t="array" ref="S28">INDEX($G$1:$G$100, MATCH(1, ($A$1:$A$100=S$25)*($B$1:$B$100=$K5), 0))</f>
        <v>3.5706000000000002E-2</v>
      </c>
      <c r="T28" t="b">
        <f>IF(ISNA(N5), TRUE, ABS($M5-N5) &gt; MAX($P28, Q28))</f>
        <v>1</v>
      </c>
      <c r="U28" t="b">
        <f>IF(ISNA(O5), TRUE, ABS($M5-O5) &gt; MAX($P28, R28))</f>
        <v>1</v>
      </c>
      <c r="V28" t="b">
        <f>IF(ISNA(P5), TRUE, ABS($M5-P5) &gt; MAX($P28, S28))</f>
        <v>0</v>
      </c>
      <c r="X28" t="b">
        <f>IF(ISNA(N5), TRUE, ABS($P5-N5) &gt; MAX($S28, Q28))</f>
        <v>1</v>
      </c>
      <c r="Y28" t="b">
        <f>IF(ISNA(O5), TRUE, ABS($P5-O5) &gt; MAX($S28, R28))</f>
        <v>1</v>
      </c>
      <c r="Z28" t="b">
        <f>IF(ISNA(M5), TRUE, ABS($P5-M5) &gt; MAX($S28, P28))</f>
        <v>0</v>
      </c>
    </row>
    <row r="29" spans="1:26" x14ac:dyDescent="0.2">
      <c r="A29" t="s">
        <v>3</v>
      </c>
      <c r="B29" t="s">
        <v>21</v>
      </c>
      <c r="C29" t="s">
        <v>56</v>
      </c>
      <c r="D29">
        <v>1</v>
      </c>
      <c r="E29">
        <v>5</v>
      </c>
      <c r="F29">
        <v>280.45619499999998</v>
      </c>
      <c r="G29">
        <v>54.557293000000001</v>
      </c>
      <c r="H29" t="s">
        <v>57</v>
      </c>
      <c r="J29" t="s">
        <v>27</v>
      </c>
      <c r="K29" t="str" cm="1">
        <f t="array" ref="K29">IFERROR(INDEX($Q$3:$Q$18, MATCH(1, ($J29=$L$3:$L$18) * (K$25=$J$3:$J$18), 0)), "")</f>
        <v/>
      </c>
      <c r="L29" t="str" cm="1">
        <f t="array" ref="L29">IFERROR(INDEX($Q$3:$Q$18, MATCH(1, ($J29=$L$3:$L$18) * (L$25=$J$3:$J$18), 0)), "")</f>
        <v/>
      </c>
      <c r="M29" t="str" cm="1">
        <f t="array" ref="M29">IFERROR(INDEX($Q$3:$Q$18, MATCH(1, ($J29=$L$3:$L$18) * (M$25=$J$3:$J$18), 0)), "")</f>
        <v>DNF</v>
      </c>
      <c r="O29" t="s">
        <v>16</v>
      </c>
      <c r="P29" cm="1">
        <f t="array" ref="P29">INDEX($G$1:$G$100, MATCH(1, ($A$1:$A$100=P$25)*($B$1:$B$100=$K6), 0))</f>
        <v>0.26237100000000002</v>
      </c>
      <c r="Q29" cm="1">
        <f t="array" ref="Q29">INDEX($G$1:$G$100, MATCH(1, ($A$1:$A$100=Q$25)*($B$1:$B$100=$K6), 0))</f>
        <v>3.5806770000000001</v>
      </c>
      <c r="R29" t="e" cm="1">
        <f t="array" ref="R29">INDEX($G$1:$G$100, MATCH(1, ($A$1:$A$100=R$25)*($B$1:$B$100=$K6), 0))</f>
        <v>#N/A</v>
      </c>
      <c r="S29" cm="1">
        <f t="array" ref="S29">INDEX($G$1:$G$100, MATCH(1, ($A$1:$A$100=S$25)*($B$1:$B$100=$K6), 0))</f>
        <v>0.19162999999999999</v>
      </c>
      <c r="T29" t="b">
        <f>IF(ISNA(N6), TRUE, ABS($M6-N6) &gt; MAX($P29, Q29))</f>
        <v>1</v>
      </c>
      <c r="U29" t="b">
        <f>IF(ISNA(O6), TRUE, ABS($M6-O6) &gt; MAX($P29, R29))</f>
        <v>1</v>
      </c>
      <c r="V29" t="b">
        <f>IF(ISNA(P6), TRUE, ABS($M6-P6) &gt; MAX($P29, S29))</f>
        <v>0</v>
      </c>
      <c r="X29" t="b">
        <f>IF(ISNA(N6), TRUE, ABS($P6-N6) &gt; MAX($S29, Q29))</f>
        <v>1</v>
      </c>
      <c r="Y29" t="b">
        <f>IF(ISNA(O6), TRUE, ABS($P6-O6) &gt; MAX($S29, R29))</f>
        <v>1</v>
      </c>
      <c r="Z29" t="b">
        <f>IF(ISNA(M6), TRUE, ABS($P6-M6) &gt; MAX($S29, P29))</f>
        <v>0</v>
      </c>
    </row>
    <row r="30" spans="1:26" x14ac:dyDescent="0.2">
      <c r="A30" t="s">
        <v>3</v>
      </c>
      <c r="B30" t="s">
        <v>23</v>
      </c>
      <c r="C30" t="s">
        <v>56</v>
      </c>
      <c r="D30">
        <v>1</v>
      </c>
      <c r="E30">
        <v>5</v>
      </c>
      <c r="F30">
        <v>0.120628</v>
      </c>
      <c r="G30">
        <v>1.7652000000000001E-2</v>
      </c>
      <c r="H30" t="s">
        <v>57</v>
      </c>
      <c r="J30" t="s">
        <v>33</v>
      </c>
      <c r="K30" t="str" cm="1">
        <f t="array" ref="K30">IFERROR(INDEX($Q$3:$Q$18, MATCH(1, ($J30=$L$3:$L$18) * (K$25=$J$3:$J$18), 0)), "")</f>
        <v/>
      </c>
      <c r="L30" t="str" cm="1">
        <f t="array" ref="L30">IFERROR(INDEX($Q$3:$Q$18, MATCH(1, ($J30=$L$3:$L$18) * (L$25=$J$3:$J$18), 0)), "")</f>
        <v/>
      </c>
      <c r="M30" t="str" cm="1">
        <f t="array" ref="M30">IFERROR(INDEX($Q$3:$Q$18, MATCH(1, ($J30=$L$3:$L$18) * (M$25=$J$3:$J$18), 0)), "")</f>
        <v>DNF</v>
      </c>
      <c r="O30" t="s">
        <v>18</v>
      </c>
      <c r="P30" cm="1">
        <f t="array" ref="P30">INDEX($G$1:$G$100, MATCH(1, ($A$1:$A$100=P$25)*($B$1:$B$100=$K7), 0))</f>
        <v>1.8675000000000001E-2</v>
      </c>
      <c r="Q30" cm="1">
        <f t="array" ref="Q30">INDEX($G$1:$G$100, MATCH(1, ($A$1:$A$100=Q$25)*($B$1:$B$100=$K7), 0))</f>
        <v>1.8681E-2</v>
      </c>
      <c r="R30" t="e" cm="1">
        <f t="array" ref="R30">INDEX($G$1:$G$100, MATCH(1, ($A$1:$A$100=R$25)*($B$1:$B$100=$K7), 0))</f>
        <v>#N/A</v>
      </c>
      <c r="S30" cm="1">
        <f t="array" ref="S30">INDEX($G$1:$G$100, MATCH(1, ($A$1:$A$100=S$25)*($B$1:$B$100=$K7), 0))</f>
        <v>2.0199999999999999E-2</v>
      </c>
      <c r="T30" t="b">
        <f>IF(ISNA(N7), TRUE, ABS($M7-N7) &gt; MAX($P30, Q30))</f>
        <v>1</v>
      </c>
      <c r="U30" t="b">
        <f>IF(ISNA(O7), TRUE, ABS($M7-O7) &gt; MAX($P30, R30))</f>
        <v>1</v>
      </c>
      <c r="V30" t="b">
        <f>IF(ISNA(P7), TRUE, ABS($M7-P7) &gt; MAX($P30, S30))</f>
        <v>0</v>
      </c>
      <c r="X30" t="b">
        <f>IF(ISNA(N7), TRUE, ABS($P7-N7) &gt; MAX($S30, Q30))</f>
        <v>1</v>
      </c>
      <c r="Y30" t="b">
        <f>IF(ISNA(O7), TRUE, ABS($P7-O7) &gt; MAX($S30, R30))</f>
        <v>1</v>
      </c>
      <c r="Z30" t="b">
        <f>IF(ISNA(M7), TRUE, ABS($P7-M7) &gt; MAX($S30, P30))</f>
        <v>0</v>
      </c>
    </row>
    <row r="31" spans="1:26" x14ac:dyDescent="0.2">
      <c r="A31" t="s">
        <v>3</v>
      </c>
      <c r="B31" t="s">
        <v>28</v>
      </c>
      <c r="C31" t="s">
        <v>56</v>
      </c>
      <c r="D31">
        <v>1</v>
      </c>
      <c r="E31">
        <v>5</v>
      </c>
      <c r="F31">
        <v>0.71664899999999998</v>
      </c>
      <c r="G31">
        <v>0.16839999999999999</v>
      </c>
      <c r="H31" t="s">
        <v>57</v>
      </c>
      <c r="J31" t="s">
        <v>14</v>
      </c>
      <c r="K31" t="str" cm="1">
        <f t="array" ref="K31">IFERROR(INDEX($Q$3:$Q$18, MATCH(1, ($J31=$L$3:$L$18) * (K$25=$J$3:$J$18), 0)), "")</f>
        <v/>
      </c>
      <c r="L31" cm="1">
        <f t="array" ref="L31">IFERROR(INDEX($Q$3:$Q$18, MATCH(1, ($J31=$L$3:$L$18) * (L$25=$J$3:$J$18), 0)), "")</f>
        <v>3.8140979194700342</v>
      </c>
      <c r="M31" t="str" cm="1">
        <f t="array" ref="M31">IFERROR(INDEX($Q$3:$Q$18, MATCH(1, ($J31=$L$3:$L$18) * (M$25=$J$3:$J$18), 0)), "")</f>
        <v/>
      </c>
      <c r="O31" t="s">
        <v>20</v>
      </c>
      <c r="P31" cm="1">
        <f t="array" ref="P31">INDEX($G$1:$G$100, MATCH(1, ($A$1:$A$100=P$25)*($B$1:$B$100=$K8), 0))</f>
        <v>0.21663099999999999</v>
      </c>
      <c r="Q31" cm="1">
        <f t="array" ref="Q31">INDEX($G$1:$G$100, MATCH(1, ($A$1:$A$100=Q$25)*($B$1:$B$100=$K8), 0))</f>
        <v>0.23685100000000001</v>
      </c>
      <c r="R31" cm="1">
        <f t="array" ref="R31">INDEX($G$1:$G$100, MATCH(1, ($A$1:$A$100=R$25)*($B$1:$B$100=$K8), 0))</f>
        <v>13.349441000000001</v>
      </c>
      <c r="S31" cm="1">
        <f t="array" ref="S31">INDEX($G$1:$G$100, MATCH(1, ($A$1:$A$100=S$25)*($B$1:$B$100=$K8), 0))</f>
        <v>5.7931999999999997E-2</v>
      </c>
      <c r="T31" t="b">
        <f>IF(ISNA(N8), TRUE, ABS($M8-N8) &gt; MAX($P31, Q31))</f>
        <v>0</v>
      </c>
      <c r="U31" t="b">
        <f>IF(ISNA(O8), TRUE, ABS($M8-O8) &gt; MAX($P31, R31))</f>
        <v>1</v>
      </c>
      <c r="V31" t="b">
        <f>IF(ISNA(P8), TRUE, ABS($M8-P8) &gt; MAX($P31, S31))</f>
        <v>0</v>
      </c>
      <c r="X31" t="b">
        <f>IF(ISNA(N8), TRUE, ABS($P8-N8) &gt; MAX($S31, Q31))</f>
        <v>0</v>
      </c>
      <c r="Y31" t="b">
        <f>IF(ISNA(O8), TRUE, ABS($P8-O8) &gt; MAX($S31, R31))</f>
        <v>1</v>
      </c>
      <c r="Z31" t="b">
        <f>IF(ISNA(M8), TRUE, ABS($P8-M8) &gt; MAX($S31, P31))</f>
        <v>0</v>
      </c>
    </row>
    <row r="32" spans="1:26" x14ac:dyDescent="0.2">
      <c r="A32" t="s">
        <v>3</v>
      </c>
      <c r="B32" t="s">
        <v>30</v>
      </c>
      <c r="C32" t="s">
        <v>56</v>
      </c>
      <c r="D32">
        <v>1</v>
      </c>
      <c r="E32">
        <v>5</v>
      </c>
      <c r="F32">
        <v>3.3688129999999998</v>
      </c>
      <c r="G32">
        <v>0.90708299999999997</v>
      </c>
      <c r="H32" t="s">
        <v>57</v>
      </c>
      <c r="J32" t="s">
        <v>16</v>
      </c>
      <c r="K32" t="str" cm="1">
        <f t="array" ref="K32">IFERROR(INDEX($Q$3:$Q$18, MATCH(1, ($J32=$L$3:$L$18) * (K$25=$J$3:$J$18), 0)), "")</f>
        <v/>
      </c>
      <c r="L32" cm="1">
        <f t="array" ref="L32">IFERROR(INDEX($Q$3:$Q$18, MATCH(1, ($J32=$L$3:$L$18) * (L$25=$J$3:$J$18), 0)), "")</f>
        <v>6.8397003847918674</v>
      </c>
      <c r="M32" t="str" cm="1">
        <f t="array" ref="M32">IFERROR(INDEX($Q$3:$Q$18, MATCH(1, ($J32=$L$3:$L$18) * (M$25=$J$3:$J$18), 0)), "")</f>
        <v/>
      </c>
      <c r="O32" t="s">
        <v>22</v>
      </c>
      <c r="P32" cm="1">
        <f t="array" ref="P32">INDEX($G$1:$G$100, MATCH(1, ($A$1:$A$100=P$25)*($B$1:$B$100=$K9), 0))</f>
        <v>0.74481699999999995</v>
      </c>
      <c r="Q32" cm="1">
        <f t="array" ref="Q32">INDEX($G$1:$G$100, MATCH(1, ($A$1:$A$100=Q$25)*($B$1:$B$100=$K9), 0))</f>
        <v>54.557293000000001</v>
      </c>
      <c r="R32" t="e" cm="1">
        <f t="array" ref="R32">INDEX($G$1:$G$100, MATCH(1, ($A$1:$A$100=R$25)*($B$1:$B$100=$K9), 0))</f>
        <v>#N/A</v>
      </c>
      <c r="S32" cm="1">
        <f t="array" ref="S32">INDEX($G$1:$G$100, MATCH(1, ($A$1:$A$100=S$25)*($B$1:$B$100=$K9), 0))</f>
        <v>0.71328100000000005</v>
      </c>
      <c r="T32" t="b">
        <f>IF(ISNA(N9), TRUE, ABS($M9-N9) &gt; MAX($P32, Q32))</f>
        <v>1</v>
      </c>
      <c r="U32" t="b">
        <f>IF(ISNA(O9), TRUE, ABS($M9-O9) &gt; MAX($P32, R32))</f>
        <v>1</v>
      </c>
      <c r="V32" t="b">
        <f>IF(ISNA(P9), TRUE, ABS($M9-P9) &gt; MAX($P32, S32))</f>
        <v>0</v>
      </c>
      <c r="X32" t="b">
        <f>IF(ISNA(N9), TRUE, ABS($P9-N9) &gt; MAX($S32, Q32))</f>
        <v>1</v>
      </c>
      <c r="Y32" t="b">
        <f>IF(ISNA(O9), TRUE, ABS($P9-O9) &gt; MAX($S32, R32))</f>
        <v>1</v>
      </c>
      <c r="Z32" t="b">
        <f>IF(ISNA(M9), TRUE, ABS($P9-M9) &gt; MAX($S32, P32))</f>
        <v>0</v>
      </c>
    </row>
    <row r="33" spans="1:26" x14ac:dyDescent="0.2">
      <c r="A33" t="s">
        <v>3</v>
      </c>
      <c r="B33" t="s">
        <v>34</v>
      </c>
      <c r="C33" t="s">
        <v>56</v>
      </c>
      <c r="D33">
        <v>1</v>
      </c>
      <c r="E33">
        <v>5</v>
      </c>
      <c r="F33">
        <v>1.7731779999999999</v>
      </c>
      <c r="G33">
        <v>0.102131</v>
      </c>
      <c r="H33" t="s">
        <v>57</v>
      </c>
      <c r="J33" t="s">
        <v>20</v>
      </c>
      <c r="K33" t="str" cm="1">
        <f t="array" ref="K33">IFERROR(INDEX($Q$3:$Q$18, MATCH(1, ($J33=$L$3:$L$18) * (K$25=$J$3:$J$18), 0)), "")</f>
        <v/>
      </c>
      <c r="L33" cm="1">
        <f t="array" ref="L33">IFERROR(INDEX($Q$3:$Q$18, MATCH(1, ($J33=$L$3:$L$18) * (L$25=$J$3:$J$18), 0)), "")</f>
        <v>1.2417965273701552</v>
      </c>
      <c r="M33" t="str" cm="1">
        <f t="array" ref="M33">IFERROR(INDEX($Q$3:$Q$18, MATCH(1, ($J33=$L$3:$L$18) * (M$25=$J$3:$J$18), 0)), "")</f>
        <v/>
      </c>
      <c r="O33" t="s">
        <v>58</v>
      </c>
      <c r="P33" cm="1">
        <f t="array" ref="P33">INDEX($G$1:$G$100, MATCH(1, ($A$1:$A$100=P$25)*($B$1:$B$100=$K10), 0))</f>
        <v>1.0102E-2</v>
      </c>
      <c r="Q33" cm="1">
        <f t="array" ref="Q33">INDEX($G$1:$G$100, MATCH(1, ($A$1:$A$100=Q$25)*($B$1:$B$100=$K10), 0))</f>
        <v>1.7652000000000001E-2</v>
      </c>
      <c r="R33" cm="1">
        <f t="array" ref="R33">INDEX($G$1:$G$100, MATCH(1, ($A$1:$A$100=R$25)*($B$1:$B$100=$K10), 0))</f>
        <v>3.8568999999999999E-2</v>
      </c>
      <c r="S33" cm="1">
        <f t="array" ref="S33">INDEX($G$1:$G$100, MATCH(1, ($A$1:$A$100=S$25)*($B$1:$B$100=$K10), 0))</f>
        <v>1.1579000000000001E-2</v>
      </c>
      <c r="T33" t="b">
        <f>IF(ISNA(N10), TRUE, ABS($M10-N10) &gt; MAX($P33, Q33))</f>
        <v>1</v>
      </c>
      <c r="U33" t="b">
        <f>IF(ISNA(O10), TRUE, ABS($M10-O10) &gt; MAX($P33, R33))</f>
        <v>1</v>
      </c>
      <c r="V33" t="b">
        <f>IF(ISNA(P10), TRUE, ABS($M10-P10) &gt; MAX($P33, S33))</f>
        <v>0</v>
      </c>
      <c r="X33" t="b">
        <f>IF(ISNA(N10), TRUE, ABS($P10-N10) &gt; MAX($S33, Q33))</f>
        <v>1</v>
      </c>
      <c r="Y33" t="b">
        <f>IF(ISNA(O10), TRUE, ABS($P10-O10) &gt; MAX($S33, R33))</f>
        <v>1</v>
      </c>
      <c r="Z33" t="b">
        <f>IF(ISNA(M10), TRUE, ABS($P10-M10) &gt; MAX($S33, P33))</f>
        <v>0</v>
      </c>
    </row>
    <row r="34" spans="1:26" x14ac:dyDescent="0.2">
      <c r="A34" t="s">
        <v>3</v>
      </c>
      <c r="B34" t="s">
        <v>36</v>
      </c>
      <c r="C34" t="s">
        <v>56</v>
      </c>
      <c r="D34">
        <v>1</v>
      </c>
      <c r="E34">
        <v>5</v>
      </c>
      <c r="F34">
        <v>0.243452</v>
      </c>
      <c r="G34">
        <v>5.3317000000000003E-2</v>
      </c>
      <c r="H34" t="s">
        <v>57</v>
      </c>
      <c r="J34" t="s">
        <v>39</v>
      </c>
      <c r="K34" t="str" cm="1">
        <f t="array" ref="K34">IFERROR(INDEX($Q$3:$Q$18, MATCH(1, ($J34=$L$3:$L$18) * (K$25=$J$3:$J$18), 0)), "")</f>
        <v/>
      </c>
      <c r="L34" cm="1">
        <f t="array" ref="L34">IFERROR(INDEX($Q$3:$Q$18, MATCH(1, ($J34=$L$3:$L$18) * (L$25=$J$3:$J$18), 0)), "")</f>
        <v>6.9205912416252673</v>
      </c>
      <c r="M34" t="str" cm="1">
        <f t="array" ref="M34">IFERROR(INDEX($Q$3:$Q$18, MATCH(1, ($J34=$L$3:$L$18) * (M$25=$J$3:$J$18), 0)), "")</f>
        <v/>
      </c>
      <c r="O34" t="s">
        <v>25</v>
      </c>
      <c r="P34" cm="1">
        <f t="array" ref="P34">INDEX($G$1:$G$100, MATCH(1, ($A$1:$A$100=P$25)*($B$1:$B$100=$K11), 0))</f>
        <v>79.195052000000004</v>
      </c>
      <c r="Q34" t="e" cm="1">
        <f t="array" ref="Q34">INDEX($G$1:$G$100, MATCH(1, ($A$1:$A$100=Q$25)*($B$1:$B$100=$K11), 0))</f>
        <v>#N/A</v>
      </c>
      <c r="R34" t="e" cm="1">
        <f t="array" ref="R34">INDEX($G$1:$G$100, MATCH(1, ($A$1:$A$100=R$25)*($B$1:$B$100=$K11), 0))</f>
        <v>#N/A</v>
      </c>
      <c r="S34" cm="1">
        <f t="array" ref="S34">INDEX($G$1:$G$100, MATCH(1, ($A$1:$A$100=S$25)*($B$1:$B$100=$K11), 0))</f>
        <v>68.783197000000001</v>
      </c>
      <c r="T34" t="b">
        <f>IF(ISNA(N11), TRUE, ABS($M11-N11) &gt; MAX($P34, Q34))</f>
        <v>1</v>
      </c>
      <c r="U34" t="b">
        <f>IF(ISNA(O11), TRUE, ABS($M11-O11) &gt; MAX($P34, R34))</f>
        <v>1</v>
      </c>
      <c r="V34" t="b">
        <f>IF(ISNA(P11), TRUE, ABS($M11-P11) &gt; MAX($P34, S34))</f>
        <v>0</v>
      </c>
      <c r="X34" t="b">
        <f>IF(ISNA(N11), TRUE, ABS($P11-N11) &gt; MAX($S34, Q34))</f>
        <v>1</v>
      </c>
      <c r="Y34" t="b">
        <f>IF(ISNA(O11), TRUE, ABS($P11-O11) &gt; MAX($S34, R34))</f>
        <v>1</v>
      </c>
      <c r="Z34" t="b">
        <f>IF(ISNA(M11), TRUE, ABS($P11-M11) &gt; MAX($S34, P34))</f>
        <v>0</v>
      </c>
    </row>
    <row r="35" spans="1:26" x14ac:dyDescent="0.2">
      <c r="A35" t="s">
        <v>3</v>
      </c>
      <c r="B35" t="s">
        <v>38</v>
      </c>
      <c r="C35" t="s">
        <v>56</v>
      </c>
      <c r="D35">
        <v>1</v>
      </c>
      <c r="E35">
        <v>5</v>
      </c>
      <c r="F35">
        <v>9.3028110000000002</v>
      </c>
      <c r="G35">
        <v>1.837645</v>
      </c>
      <c r="H35" t="s">
        <v>57</v>
      </c>
      <c r="J35" t="s">
        <v>22</v>
      </c>
      <c r="K35" t="str" cm="1">
        <f t="array" ref="K35">IFERROR(INDEX($Q$3:$Q$18, MATCH(1, ($J35=$L$3:$L$18) * (K$25=$J$3:$J$18), 0)), "")</f>
        <v/>
      </c>
      <c r="L35" cm="1">
        <f t="array" ref="L35">IFERROR(INDEX($Q$3:$Q$18, MATCH(1, ($J35=$L$3:$L$18) * (L$25=$J$3:$J$18), 0)), "")</f>
        <v>9.8133638792978353</v>
      </c>
      <c r="M35" t="str" cm="1">
        <f t="array" ref="M35">IFERROR(INDEX($Q$3:$Q$18, MATCH(1, ($J35=$L$3:$L$18) * (M$25=$J$3:$J$18), 0)), "")</f>
        <v/>
      </c>
      <c r="O35" t="s">
        <v>27</v>
      </c>
      <c r="P35" cm="1">
        <f t="array" ref="P35">INDEX($G$1:$G$100, MATCH(1, ($A$1:$A$100=P$25)*($B$1:$B$100=$K12), 0))</f>
        <v>6.9547999999999999E-2</v>
      </c>
      <c r="Q35" t="e" cm="1">
        <f t="array" ref="Q35">INDEX($G$1:$G$100, MATCH(1, ($A$1:$A$100=Q$25)*($B$1:$B$100=$K12), 0))</f>
        <v>#N/A</v>
      </c>
      <c r="R35" t="e" cm="1">
        <f t="array" ref="R35">INDEX($G$1:$G$100, MATCH(1, ($A$1:$A$100=R$25)*($B$1:$B$100=$K12), 0))</f>
        <v>#N/A</v>
      </c>
      <c r="S35" cm="1">
        <f t="array" ref="S35">INDEX($G$1:$G$100, MATCH(1, ($A$1:$A$100=S$25)*($B$1:$B$100=$K12), 0))</f>
        <v>3.9455999999999998E-2</v>
      </c>
      <c r="T35" t="b">
        <f>IF(ISNA(N12), TRUE, ABS($M12-N12) &gt; MAX($P35, Q35))</f>
        <v>1</v>
      </c>
      <c r="U35" t="b">
        <f>IF(ISNA(O12), TRUE, ABS($M12-O12) &gt; MAX($P35, R35))</f>
        <v>1</v>
      </c>
      <c r="V35" t="b">
        <f>IF(ISNA(P12), TRUE, ABS($M12-P12) &gt; MAX($P35, S35))</f>
        <v>0</v>
      </c>
      <c r="X35" t="b">
        <f>IF(ISNA(N12), TRUE, ABS($P12-N12) &gt; MAX($S35, Q35))</f>
        <v>1</v>
      </c>
      <c r="Y35" t="b">
        <f>IF(ISNA(O12), TRUE, ABS($P12-O12) &gt; MAX($S35, R35))</f>
        <v>1</v>
      </c>
      <c r="Z35" t="b">
        <f>IF(ISNA(M12), TRUE, ABS($P12-M12) &gt; MAX($S35, P35))</f>
        <v>0</v>
      </c>
    </row>
    <row r="36" spans="1:26" x14ac:dyDescent="0.2">
      <c r="A36" t="s">
        <v>2</v>
      </c>
      <c r="B36" t="s">
        <v>7</v>
      </c>
      <c r="C36" t="s">
        <v>56</v>
      </c>
      <c r="D36">
        <v>1</v>
      </c>
      <c r="E36">
        <v>5</v>
      </c>
      <c r="F36">
        <v>39.964737</v>
      </c>
      <c r="G36">
        <v>1.0924320000000001</v>
      </c>
      <c r="H36" t="s">
        <v>57</v>
      </c>
      <c r="J36" t="s">
        <v>25</v>
      </c>
      <c r="K36" t="str" cm="1">
        <f t="array" ref="K36">IFERROR(INDEX($Q$3:$Q$18, MATCH(1, ($J36=$L$3:$L$18) * (K$25=$J$3:$J$18), 0)), "")</f>
        <v/>
      </c>
      <c r="L36" t="str" cm="1">
        <f t="array" ref="L36">IFERROR(INDEX($Q$3:$Q$18, MATCH(1, ($J36=$L$3:$L$18) * (L$25=$J$3:$J$18), 0)), "")</f>
        <v>DNF</v>
      </c>
      <c r="M36" t="str" cm="1">
        <f t="array" ref="M36">IFERROR(INDEX($Q$3:$Q$18, MATCH(1, ($J36=$L$3:$L$18) * (M$25=$J$3:$J$18), 0)), "")</f>
        <v/>
      </c>
      <c r="O36" t="s">
        <v>29</v>
      </c>
      <c r="P36" cm="1">
        <f t="array" ref="P36">INDEX($G$1:$G$100, MATCH(1, ($A$1:$A$100=P$25)*($B$1:$B$100=$K13), 0))</f>
        <v>0.114895</v>
      </c>
      <c r="Q36" cm="1">
        <f t="array" ref="Q36">INDEX($G$1:$G$100, MATCH(1, ($A$1:$A$100=Q$25)*($B$1:$B$100=$K13), 0))</f>
        <v>0.16839999999999999</v>
      </c>
      <c r="R36" t="e" cm="1">
        <f t="array" ref="R36">INDEX($G$1:$G$100, MATCH(1, ($A$1:$A$100=R$25)*($B$1:$B$100=$K13), 0))</f>
        <v>#N/A</v>
      </c>
      <c r="S36" cm="1">
        <f t="array" ref="S36">INDEX($G$1:$G$100, MATCH(1, ($A$1:$A$100=S$25)*($B$1:$B$100=$K13), 0))</f>
        <v>6.0470999999999997E-2</v>
      </c>
      <c r="T36" t="b">
        <f>IF(ISNA(N13), TRUE, ABS($M13-N13) &gt; MAX($P36, Q36))</f>
        <v>0</v>
      </c>
      <c r="U36" t="b">
        <f>IF(ISNA(O13), TRUE, ABS($M13-O13) &gt; MAX($P36, R36))</f>
        <v>1</v>
      </c>
      <c r="V36" t="b">
        <f>IF(ISNA(P13), TRUE, ABS($M13-P13) &gt; MAX($P36, S36))</f>
        <v>0</v>
      </c>
      <c r="X36" t="b">
        <f>IF(ISNA(N13), TRUE, ABS($P13-N13) &gt; MAX($S36, Q36))</f>
        <v>0</v>
      </c>
      <c r="Y36" t="b">
        <f>IF(ISNA(O13), TRUE, ABS($P13-O13) &gt; MAX($S36, R36))</f>
        <v>1</v>
      </c>
      <c r="Z36" t="b">
        <f>IF(ISNA(M13), TRUE, ABS($P13-M13) &gt; MAX($S36, P36))</f>
        <v>0</v>
      </c>
    </row>
    <row r="37" spans="1:26" x14ac:dyDescent="0.2">
      <c r="A37" t="s">
        <v>2</v>
      </c>
      <c r="B37" t="s">
        <v>10</v>
      </c>
      <c r="C37" t="s">
        <v>56</v>
      </c>
      <c r="D37">
        <v>1</v>
      </c>
      <c r="E37">
        <v>5</v>
      </c>
      <c r="F37">
        <v>4.0210999999999997E-2</v>
      </c>
      <c r="G37">
        <v>1.0153000000000001E-2</v>
      </c>
      <c r="H37" t="s">
        <v>57</v>
      </c>
      <c r="J37" t="s">
        <v>29</v>
      </c>
      <c r="K37" t="str" cm="1">
        <f t="array" ref="K37">IFERROR(INDEX($Q$3:$Q$18, MATCH(1, ($J37=$L$3:$L$18) * (K$25=$J$3:$J$18), 0)), "")</f>
        <v/>
      </c>
      <c r="L37" cm="1">
        <f t="array" ref="L37">IFERROR(INDEX($Q$3:$Q$18, MATCH(1, ($J37=$L$3:$L$18) * (L$25=$J$3:$J$18), 0)), "")</f>
        <v>1.0144915431787682</v>
      </c>
      <c r="M37" t="str" cm="1">
        <f t="array" ref="M37">IFERROR(INDEX($Q$3:$Q$18, MATCH(1, ($J37=$L$3:$L$18) * (M$25=$J$3:$J$18), 0)), "")</f>
        <v/>
      </c>
      <c r="O37" t="s">
        <v>31</v>
      </c>
      <c r="P37" cm="1">
        <f t="array" ref="P37">INDEX($G$1:$G$100, MATCH(1, ($A$1:$A$100=P$25)*($B$1:$B$100=$K14), 0))</f>
        <v>0.17702899999999999</v>
      </c>
      <c r="Q37" cm="1">
        <f t="array" ref="Q37">INDEX($G$1:$G$100, MATCH(1, ($A$1:$A$100=Q$25)*($B$1:$B$100=$K14), 0))</f>
        <v>0.90708299999999997</v>
      </c>
      <c r="R37" t="e" cm="1">
        <f t="array" ref="R37">INDEX($G$1:$G$100, MATCH(1, ($A$1:$A$100=R$25)*($B$1:$B$100=$K14), 0))</f>
        <v>#N/A</v>
      </c>
      <c r="S37" cm="1">
        <f t="array" ref="S37">INDEX($G$1:$G$100, MATCH(1, ($A$1:$A$100=S$25)*($B$1:$B$100=$K14), 0))</f>
        <v>0.12076199999999999</v>
      </c>
      <c r="T37" t="b">
        <f>IF(ISNA(N14), TRUE, ABS($M14-N14) &gt; MAX($P37, Q37))</f>
        <v>1</v>
      </c>
      <c r="U37" t="b">
        <f>IF(ISNA(O14), TRUE, ABS($M14-O14) &gt; MAX($P37, R37))</f>
        <v>1</v>
      </c>
      <c r="V37" t="b">
        <f>IF(ISNA(P14), TRUE, ABS($M14-P14) &gt; MAX($P37, S37))</f>
        <v>0</v>
      </c>
      <c r="X37" t="b">
        <f>IF(ISNA(N14), TRUE, ABS($P14-N14) &gt; MAX($S37, Q37))</f>
        <v>1</v>
      </c>
      <c r="Y37" t="b">
        <f>IF(ISNA(O14), TRUE, ABS($P14-O14) &gt; MAX($S37, R37))</f>
        <v>1</v>
      </c>
      <c r="Z37" t="b">
        <f>IF(ISNA(M14), TRUE, ABS($P14-M14) &gt; MAX($S37, P37))</f>
        <v>0</v>
      </c>
    </row>
    <row r="38" spans="1:26" x14ac:dyDescent="0.2">
      <c r="A38" t="s">
        <v>2</v>
      </c>
      <c r="B38" t="s">
        <v>13</v>
      </c>
      <c r="C38" t="s">
        <v>56</v>
      </c>
      <c r="D38">
        <v>1</v>
      </c>
      <c r="E38">
        <v>5</v>
      </c>
      <c r="F38">
        <v>0.173898</v>
      </c>
      <c r="G38">
        <v>3.6644000000000003E-2</v>
      </c>
      <c r="H38" t="s">
        <v>57</v>
      </c>
      <c r="J38" t="s">
        <v>31</v>
      </c>
      <c r="K38" t="str" cm="1">
        <f t="array" ref="K38">IFERROR(INDEX($Q$3:$Q$18, MATCH(1, ($J38=$L$3:$L$18) * (K$25=$J$3:$J$18), 0)), "")</f>
        <v/>
      </c>
      <c r="L38" cm="1">
        <f t="array" ref="L38">IFERROR(INDEX($Q$3:$Q$18, MATCH(1, ($J38=$L$3:$L$18) * (L$25=$J$3:$J$18), 0)), "")</f>
        <v>3.8578670960294628</v>
      </c>
      <c r="M38" t="str" cm="1">
        <f t="array" ref="M38">IFERROR(INDEX($Q$3:$Q$18, MATCH(1, ($J38=$L$3:$L$18) * (M$25=$J$3:$J$18), 0)), "")</f>
        <v/>
      </c>
      <c r="O38" t="s">
        <v>33</v>
      </c>
      <c r="P38" cm="1">
        <f t="array" ref="P38">INDEX($G$1:$G$100, MATCH(1, ($A$1:$A$100=P$25)*($B$1:$B$100=$K15), 0))</f>
        <v>0.176589</v>
      </c>
      <c r="Q38" t="e" cm="1">
        <f t="array" ref="Q38">INDEX($G$1:$G$100, MATCH(1, ($A$1:$A$100=Q$25)*($B$1:$B$100=$K15), 0))</f>
        <v>#N/A</v>
      </c>
      <c r="R38" t="e" cm="1">
        <f t="array" ref="R38">INDEX($G$1:$G$100, MATCH(1, ($A$1:$A$100=R$25)*($B$1:$B$100=$K15), 0))</f>
        <v>#N/A</v>
      </c>
      <c r="S38" cm="1">
        <f t="array" ref="S38">INDEX($G$1:$G$100, MATCH(1, ($A$1:$A$100=S$25)*($B$1:$B$100=$K15), 0))</f>
        <v>0.55316600000000005</v>
      </c>
      <c r="T38" t="b">
        <f>IF(ISNA(N15), TRUE, ABS($M15-N15) &gt; MAX($P38, Q38))</f>
        <v>1</v>
      </c>
      <c r="U38" t="b">
        <f>IF(ISNA(O15), TRUE, ABS($M15-O15) &gt; MAX($P38, R38))</f>
        <v>1</v>
      </c>
      <c r="V38" t="b">
        <f>IF(ISNA(P15), TRUE, ABS($M15-P15) &gt; MAX($P38, S38))</f>
        <v>0</v>
      </c>
      <c r="X38" t="b">
        <f>IF(ISNA(N15), TRUE, ABS($P15-N15) &gt; MAX($S38, Q38))</f>
        <v>1</v>
      </c>
      <c r="Y38" t="b">
        <f>IF(ISNA(O15), TRUE, ABS($P15-O15) &gt; MAX($S38, R38))</f>
        <v>1</v>
      </c>
      <c r="Z38" t="b">
        <f>IF(ISNA(M15), TRUE, ABS($P15-M15) &gt; MAX($S38, P38))</f>
        <v>0</v>
      </c>
    </row>
    <row r="39" spans="1:26" x14ac:dyDescent="0.2">
      <c r="A39" t="s">
        <v>2</v>
      </c>
      <c r="B39" t="s">
        <v>15</v>
      </c>
      <c r="C39" t="s">
        <v>56</v>
      </c>
      <c r="D39">
        <v>1</v>
      </c>
      <c r="E39">
        <v>5</v>
      </c>
      <c r="F39">
        <v>2.044222</v>
      </c>
      <c r="G39">
        <v>0.26237100000000002</v>
      </c>
      <c r="H39" t="s">
        <v>57</v>
      </c>
      <c r="J39" t="s">
        <v>8</v>
      </c>
      <c r="K39" t="str" cm="1">
        <f t="array" ref="K39">IFERROR(INDEX($Q$3:$Q$18, MATCH(1, ($J39=$L$3:$L$18) * (K$25=$J$3:$J$18), 0)), "")</f>
        <v>DNF</v>
      </c>
      <c r="L39" t="str" cm="1">
        <f t="array" ref="L39">IFERROR(INDEX($Q$3:$Q$18, MATCH(1, ($J39=$L$3:$L$18) * (L$25=$J$3:$J$18), 0)), "")</f>
        <v/>
      </c>
      <c r="M39" t="str" cm="1">
        <f t="array" ref="M39">IFERROR(INDEX($Q$3:$Q$18, MATCH(1, ($J39=$L$3:$L$18) * (M$25=$J$3:$J$18), 0)), "")</f>
        <v/>
      </c>
      <c r="O39" t="s">
        <v>35</v>
      </c>
      <c r="P39" cm="1">
        <f t="array" ref="P39">INDEX($G$1:$G$100, MATCH(1, ($A$1:$A$100=P$25)*($B$1:$B$100=$K16), 0))</f>
        <v>3.8792E-2</v>
      </c>
      <c r="Q39" cm="1">
        <f t="array" ref="Q39">INDEX($G$1:$G$100, MATCH(1, ($A$1:$A$100=Q$25)*($B$1:$B$100=$K16), 0))</f>
        <v>0.102131</v>
      </c>
      <c r="R39" cm="1">
        <f t="array" ref="R39">INDEX($G$1:$G$100, MATCH(1, ($A$1:$A$100=R$25)*($B$1:$B$100=$K16), 0))</f>
        <v>3.6728489999999998</v>
      </c>
      <c r="S39" cm="1">
        <f t="array" ref="S39">INDEX($G$1:$G$100, MATCH(1, ($A$1:$A$100=S$25)*($B$1:$B$100=$K16), 0))</f>
        <v>3.6046000000000002E-2</v>
      </c>
      <c r="T39" t="b">
        <f>IF(ISNA(N16), TRUE, ABS($M16-N16) &gt; MAX($P39, Q39))</f>
        <v>1</v>
      </c>
      <c r="U39" t="b">
        <f>IF(ISNA(O16), TRUE, ABS($M16-O16) &gt; MAX($P39, R39))</f>
        <v>1</v>
      </c>
      <c r="V39" t="b">
        <f>IF(ISNA(P16), TRUE, ABS($M16-P16) &gt; MAX($P39, S39))</f>
        <v>0</v>
      </c>
      <c r="X39" t="b">
        <f>IF(ISNA(N16), TRUE, ABS($P16-N16) &gt; MAX($S39, Q39))</f>
        <v>1</v>
      </c>
      <c r="Y39" t="b">
        <f>IF(ISNA(O16), TRUE, ABS($P16-O16) &gt; MAX($S39, R39))</f>
        <v>1</v>
      </c>
      <c r="Z39" t="b">
        <f>IF(ISNA(M16), TRUE, ABS($P16-M16) &gt; MAX($S39, P39))</f>
        <v>0</v>
      </c>
    </row>
    <row r="40" spans="1:26" x14ac:dyDescent="0.2">
      <c r="A40" t="s">
        <v>2</v>
      </c>
      <c r="B40" t="s">
        <v>17</v>
      </c>
      <c r="C40" t="s">
        <v>56</v>
      </c>
      <c r="D40">
        <v>1</v>
      </c>
      <c r="E40">
        <v>5</v>
      </c>
      <c r="F40">
        <v>2.5248E-2</v>
      </c>
      <c r="G40">
        <v>1.8675000000000001E-2</v>
      </c>
      <c r="H40" t="s">
        <v>57</v>
      </c>
      <c r="J40" t="s">
        <v>35</v>
      </c>
      <c r="K40" cm="1">
        <f t="array" ref="K40">IFERROR(INDEX($Q$3:$Q$18, MATCH(1, ($J40=$L$3:$L$18) * (K$25=$J$3:$J$18), 0)), "")</f>
        <v>10.247392176239764</v>
      </c>
      <c r="L40" t="str" cm="1">
        <f t="array" ref="L40">IFERROR(INDEX($Q$3:$Q$18, MATCH(1, ($J40=$L$3:$L$18) * (L$25=$J$3:$J$18), 0)), "")</f>
        <v/>
      </c>
      <c r="M40" t="str" cm="1">
        <f t="array" ref="M40">IFERROR(INDEX($Q$3:$Q$18, MATCH(1, ($J40=$L$3:$L$18) * (M$25=$J$3:$J$18), 0)), "")</f>
        <v/>
      </c>
      <c r="O40" t="s">
        <v>37</v>
      </c>
      <c r="P40" cm="1">
        <f t="array" ref="P40">INDEX($G$1:$G$100, MATCH(1, ($A$1:$A$100=P$25)*($B$1:$B$100=$K17), 0))</f>
        <v>1.4451E-2</v>
      </c>
      <c r="Q40" cm="1">
        <f t="array" ref="Q40">INDEX($G$1:$G$100, MATCH(1, ($A$1:$A$100=Q$25)*($B$1:$B$100=$K17), 0))</f>
        <v>5.3317000000000003E-2</v>
      </c>
      <c r="R40" cm="1">
        <f t="array" ref="R40">INDEX($G$1:$G$100, MATCH(1, ($A$1:$A$100=R$25)*($B$1:$B$100=$K17), 0))</f>
        <v>0.16306999999999999</v>
      </c>
      <c r="S40" cm="1">
        <f t="array" ref="S40">INDEX($G$1:$G$100, MATCH(1, ($A$1:$A$100=S$25)*($B$1:$B$100=$K17), 0))</f>
        <v>1.9233E-2</v>
      </c>
      <c r="T40" t="b">
        <f>IF(ISNA(N17), TRUE, ABS($M17-N17) &gt; MAX($P40, Q40))</f>
        <v>1</v>
      </c>
      <c r="U40" t="b">
        <f>IF(ISNA(O17), TRUE, ABS($M17-O17) &gt; MAX($P40, R40))</f>
        <v>1</v>
      </c>
      <c r="V40" t="b">
        <f>IF(ISNA(P17), TRUE, ABS($M17-P17) &gt; MAX($P40, S40))</f>
        <v>0</v>
      </c>
      <c r="X40" t="b">
        <f>IF(ISNA(N17), TRUE, ABS($P17-N17) &gt; MAX($S40, Q40))</f>
        <v>1</v>
      </c>
      <c r="Y40" t="b">
        <f>IF(ISNA(O17), TRUE, ABS($P17-O17) &gt; MAX($S40, R40))</f>
        <v>1</v>
      </c>
      <c r="Z40" t="b">
        <f>IF(ISNA(M17), TRUE, ABS($P17-M17) &gt; MAX($S40, P40))</f>
        <v>0</v>
      </c>
    </row>
    <row r="41" spans="1:26" x14ac:dyDescent="0.2">
      <c r="A41" t="s">
        <v>2</v>
      </c>
      <c r="B41" t="s">
        <v>19</v>
      </c>
      <c r="C41" t="s">
        <v>56</v>
      </c>
      <c r="D41">
        <v>1</v>
      </c>
      <c r="E41">
        <v>5</v>
      </c>
      <c r="F41">
        <v>0.73938199999999998</v>
      </c>
      <c r="G41">
        <v>0.21663099999999999</v>
      </c>
      <c r="H41" t="s">
        <v>57</v>
      </c>
      <c r="J41" t="s">
        <v>37</v>
      </c>
      <c r="K41" cm="1">
        <f t="array" ref="K41">IFERROR(INDEX($Q$3:$Q$18, MATCH(1, ($J41=$L$3:$L$18) * (K$25=$J$3:$J$18), 0)), "")</f>
        <v>3.5433877681716299</v>
      </c>
      <c r="L41" t="str" cm="1">
        <f t="array" ref="L41">IFERROR(INDEX($Q$3:$Q$18, MATCH(1, ($J41=$L$3:$L$18) * (L$25=$J$3:$J$18), 0)), "")</f>
        <v/>
      </c>
      <c r="M41" t="str" cm="1">
        <f t="array" ref="M41">IFERROR(INDEX($Q$3:$Q$18, MATCH(1, ($J41=$L$3:$L$18) * (M$25=$J$3:$J$18), 0)), "")</f>
        <v/>
      </c>
      <c r="O41" t="s">
        <v>39</v>
      </c>
      <c r="P41" cm="1">
        <f t="array" ref="P41">INDEX($G$1:$G$100, MATCH(1, ($A$1:$A$100=P$25)*($B$1:$B$100=$K18), 0))</f>
        <v>0.14649599999999999</v>
      </c>
      <c r="Q41" cm="1">
        <f t="array" ref="Q41">INDEX($G$1:$G$100, MATCH(1, ($A$1:$A$100=Q$25)*($B$1:$B$100=$K18), 0))</f>
        <v>1.837645</v>
      </c>
      <c r="R41" t="e" cm="1">
        <f t="array" ref="R41">INDEX($G$1:$G$100, MATCH(1, ($A$1:$A$100=R$25)*($B$1:$B$100=$K18), 0))</f>
        <v>#N/A</v>
      </c>
      <c r="S41" cm="1">
        <f t="array" ref="S41">INDEX($G$1:$G$100, MATCH(1, ($A$1:$A$100=S$25)*($B$1:$B$100=$K18), 0))</f>
        <v>9.5783999999999994E-2</v>
      </c>
      <c r="T41" t="b">
        <f>IF(ISNA(N18), TRUE, ABS($M18-N18) &gt; MAX($P41, Q41))</f>
        <v>1</v>
      </c>
      <c r="U41" t="b">
        <f>IF(ISNA(O18), TRUE, ABS($M18-O18) &gt; MAX($P41, R41))</f>
        <v>1</v>
      </c>
      <c r="V41" t="b">
        <f>IF(ISNA(P18), TRUE, ABS($M18-P18) &gt; MAX($P41, S41))</f>
        <v>0</v>
      </c>
      <c r="X41" t="b">
        <f>IF(ISNA(N18), TRUE, ABS($P18-N18) &gt; MAX($S41, Q41))</f>
        <v>1</v>
      </c>
      <c r="Y41" t="b">
        <f>IF(ISNA(O18), TRUE, ABS($P18-O18) &gt; MAX($S41, R41))</f>
        <v>1</v>
      </c>
      <c r="Z41" t="b">
        <f>IF(ISNA(M18), TRUE, ABS($P18-M18) &gt; MAX($S41, P41))</f>
        <v>0</v>
      </c>
    </row>
    <row r="42" spans="1:26" x14ac:dyDescent="0.2">
      <c r="A42" t="s">
        <v>2</v>
      </c>
      <c r="B42" t="s">
        <v>21</v>
      </c>
      <c r="C42" t="s">
        <v>56</v>
      </c>
      <c r="D42">
        <v>1</v>
      </c>
      <c r="E42">
        <v>5</v>
      </c>
      <c r="F42">
        <v>28.579007000000001</v>
      </c>
      <c r="G42">
        <v>0.74481699999999995</v>
      </c>
      <c r="H42" t="s">
        <v>57</v>
      </c>
    </row>
    <row r="43" spans="1:26" x14ac:dyDescent="0.2">
      <c r="A43" t="s">
        <v>2</v>
      </c>
      <c r="B43" t="s">
        <v>23</v>
      </c>
      <c r="C43" t="s">
        <v>56</v>
      </c>
      <c r="D43">
        <v>1</v>
      </c>
      <c r="E43">
        <v>5</v>
      </c>
      <c r="F43">
        <v>1.1264E-2</v>
      </c>
      <c r="G43">
        <v>1.0102E-2</v>
      </c>
      <c r="H43" t="s">
        <v>57</v>
      </c>
      <c r="J43" t="s">
        <v>41</v>
      </c>
    </row>
    <row r="44" spans="1:26" x14ac:dyDescent="0.2">
      <c r="A44" t="s">
        <v>2</v>
      </c>
      <c r="B44" t="s">
        <v>24</v>
      </c>
      <c r="C44" t="s">
        <v>56</v>
      </c>
      <c r="D44">
        <v>1</v>
      </c>
      <c r="E44">
        <v>5</v>
      </c>
      <c r="F44">
        <v>447.75497200000001</v>
      </c>
      <c r="G44">
        <v>79.195052000000004</v>
      </c>
      <c r="H44" t="s">
        <v>57</v>
      </c>
      <c r="J44" t="s">
        <v>1</v>
      </c>
      <c r="K44" t="s">
        <v>6</v>
      </c>
      <c r="L44" t="s">
        <v>12</v>
      </c>
      <c r="M44" t="s">
        <v>9</v>
      </c>
    </row>
    <row r="45" spans="1:26" x14ac:dyDescent="0.2">
      <c r="A45" t="s">
        <v>2</v>
      </c>
      <c r="B45" t="s">
        <v>26</v>
      </c>
      <c r="C45" t="s">
        <v>56</v>
      </c>
      <c r="D45">
        <v>1</v>
      </c>
      <c r="E45">
        <v>5</v>
      </c>
      <c r="F45">
        <v>0.47815000000000002</v>
      </c>
      <c r="G45">
        <v>6.9547999999999999E-2</v>
      </c>
      <c r="H45" t="s">
        <v>57</v>
      </c>
      <c r="J45" t="s">
        <v>11</v>
      </c>
      <c r="K45" t="str" cm="1">
        <f t="array" ref="K45">IFERROR(INDEX($R$3:$R$18, MATCH(1, ($J45=$L$3:$L$18) * (K$44=$J$3:$J$18), 0)), "")</f>
        <v/>
      </c>
      <c r="L45" t="str" cm="1">
        <f t="array" ref="L45">IFERROR(INDEX($R$3:$R$18, MATCH(1, ($J45=$L$3:$L$18) * (L$44=$J$3:$J$18), 0)), "")</f>
        <v/>
      </c>
      <c r="M45" cm="1">
        <f t="array" ref="M45">IFERROR(INDEX($R$3:$R$18, MATCH(1, ($J45=$L$3:$L$18) * (M$44=$J$3:$J$18), 0)), "")</f>
        <v>773.24689761508046</v>
      </c>
    </row>
    <row r="46" spans="1:26" x14ac:dyDescent="0.2">
      <c r="A46" t="s">
        <v>2</v>
      </c>
      <c r="B46" t="s">
        <v>28</v>
      </c>
      <c r="C46" t="s">
        <v>56</v>
      </c>
      <c r="D46">
        <v>1</v>
      </c>
      <c r="E46">
        <v>5</v>
      </c>
      <c r="F46">
        <v>0.70641200000000004</v>
      </c>
      <c r="G46">
        <v>0.114895</v>
      </c>
      <c r="H46" t="s">
        <v>57</v>
      </c>
      <c r="J46" t="s">
        <v>18</v>
      </c>
      <c r="K46" t="str" cm="1">
        <f t="array" ref="K46">IFERROR(INDEX($R$3:$R$18, MATCH(1, ($J46=$L$3:$L$18) * (K$44=$J$3:$J$18), 0)), "")</f>
        <v/>
      </c>
      <c r="L46" t="str" cm="1">
        <f t="array" ref="L46">IFERROR(INDEX($R$3:$R$18, MATCH(1, ($J46=$L$3:$L$18) * (L$44=$J$3:$J$18), 0)), "")</f>
        <v/>
      </c>
      <c r="M46" t="str" cm="1">
        <f t="array" ref="M46">IFERROR(INDEX($R$3:$R$18, MATCH(1, ($J46=$L$3:$L$18) * (M$44=$J$3:$J$18), 0)), "")</f>
        <v>DNF</v>
      </c>
    </row>
    <row r="47" spans="1:26" x14ac:dyDescent="0.2">
      <c r="A47" t="s">
        <v>2</v>
      </c>
      <c r="B47" t="s">
        <v>30</v>
      </c>
      <c r="C47" t="s">
        <v>56</v>
      </c>
      <c r="D47">
        <v>1</v>
      </c>
      <c r="E47">
        <v>5</v>
      </c>
      <c r="F47">
        <v>0.87323200000000001</v>
      </c>
      <c r="G47">
        <v>0.17702899999999999</v>
      </c>
      <c r="H47" t="s">
        <v>57</v>
      </c>
      <c r="J47" t="s">
        <v>58</v>
      </c>
      <c r="K47" t="str" cm="1">
        <f t="array" ref="K47">IFERROR(INDEX($R$3:$R$18, MATCH(1, ($J47=$L$3:$L$18) * (K$44=$J$3:$J$18), 0)), "")</f>
        <v/>
      </c>
      <c r="L47" t="str" cm="1">
        <f t="array" ref="L47">IFERROR(INDEX($R$3:$R$18, MATCH(1, ($J47=$L$3:$L$18) * (L$44=$J$3:$J$18), 0)), "")</f>
        <v/>
      </c>
      <c r="M47" cm="1">
        <f t="array" ref="M47">IFERROR(INDEX($R$3:$R$18, MATCH(1, ($J47=$L$3:$L$18) * (M$44=$J$3:$J$18), 0)), "")</f>
        <v>18723.854758522728</v>
      </c>
    </row>
    <row r="48" spans="1:26" x14ac:dyDescent="0.2">
      <c r="A48" t="s">
        <v>2</v>
      </c>
      <c r="B48" t="s">
        <v>32</v>
      </c>
      <c r="C48" t="s">
        <v>56</v>
      </c>
      <c r="D48">
        <v>1</v>
      </c>
      <c r="E48">
        <v>5</v>
      </c>
      <c r="F48">
        <v>2.1882549999999998</v>
      </c>
      <c r="G48">
        <v>0.176589</v>
      </c>
      <c r="H48" t="s">
        <v>57</v>
      </c>
      <c r="J48" t="s">
        <v>27</v>
      </c>
      <c r="K48" t="str" cm="1">
        <f t="array" ref="K48">IFERROR(INDEX($R$3:$R$18, MATCH(1, ($J48=$L$3:$L$18) * (K$44=$J$3:$J$18), 0)), "")</f>
        <v/>
      </c>
      <c r="L48" t="str" cm="1">
        <f t="array" ref="L48">IFERROR(INDEX($R$3:$R$18, MATCH(1, ($J48=$L$3:$L$18) * (L$44=$J$3:$J$18), 0)), "")</f>
        <v/>
      </c>
      <c r="M48" t="str" cm="1">
        <f t="array" ref="M48">IFERROR(INDEX($R$3:$R$18, MATCH(1, ($J48=$L$3:$L$18) * (M$44=$J$3:$J$18), 0)), "")</f>
        <v>DNF</v>
      </c>
    </row>
    <row r="49" spans="1:13" x14ac:dyDescent="0.2">
      <c r="A49" t="s">
        <v>2</v>
      </c>
      <c r="B49" t="s">
        <v>34</v>
      </c>
      <c r="C49" t="s">
        <v>56</v>
      </c>
      <c r="D49">
        <v>1</v>
      </c>
      <c r="E49">
        <v>5</v>
      </c>
      <c r="F49">
        <v>0.173037</v>
      </c>
      <c r="G49">
        <v>3.8792E-2</v>
      </c>
      <c r="H49" t="s">
        <v>57</v>
      </c>
      <c r="J49" t="s">
        <v>33</v>
      </c>
      <c r="K49" t="str" cm="1">
        <f t="array" ref="K49">IFERROR(INDEX($R$3:$R$18, MATCH(1, ($J49=$L$3:$L$18) * (K$44=$J$3:$J$18), 0)), "")</f>
        <v/>
      </c>
      <c r="L49" t="str" cm="1">
        <f t="array" ref="L49">IFERROR(INDEX($R$3:$R$18, MATCH(1, ($J49=$L$3:$L$18) * (L$44=$J$3:$J$18), 0)), "")</f>
        <v/>
      </c>
      <c r="M49" t="str" cm="1">
        <f t="array" ref="M49">IFERROR(INDEX($R$3:$R$18, MATCH(1, ($J49=$L$3:$L$18) * (M$44=$J$3:$J$18), 0)), "")</f>
        <v>DNF</v>
      </c>
    </row>
    <row r="50" spans="1:13" x14ac:dyDescent="0.2">
      <c r="A50" t="s">
        <v>2</v>
      </c>
      <c r="B50" t="s">
        <v>36</v>
      </c>
      <c r="C50" t="s">
        <v>56</v>
      </c>
      <c r="D50">
        <v>1</v>
      </c>
      <c r="E50">
        <v>5</v>
      </c>
      <c r="F50">
        <v>6.8706000000000003E-2</v>
      </c>
      <c r="G50">
        <v>1.4451E-2</v>
      </c>
      <c r="H50" t="s">
        <v>57</v>
      </c>
      <c r="J50" t="s">
        <v>14</v>
      </c>
      <c r="K50" t="str" cm="1">
        <f t="array" ref="K50">IFERROR(INDEX($R$3:$R$18, MATCH(1, ($J50=$L$3:$L$18) * (K$44=$J$3:$J$18), 0)), "")</f>
        <v/>
      </c>
      <c r="L50" t="str" cm="1">
        <f t="array" ref="L50">IFERROR(INDEX($R$3:$R$18, MATCH(1, ($J50=$L$3:$L$18) * (L$44=$J$3:$J$18), 0)), "")</f>
        <v>DNF</v>
      </c>
      <c r="M50" t="str" cm="1">
        <f t="array" ref="M50">IFERROR(INDEX($R$3:$R$18, MATCH(1, ($J50=$L$3:$L$18) * (M$44=$J$3:$J$18), 0)), "")</f>
        <v/>
      </c>
    </row>
    <row r="51" spans="1:13" x14ac:dyDescent="0.2">
      <c r="A51" t="s">
        <v>2</v>
      </c>
      <c r="B51" t="s">
        <v>38</v>
      </c>
      <c r="C51" t="s">
        <v>56</v>
      </c>
      <c r="D51">
        <v>1</v>
      </c>
      <c r="E51">
        <v>5</v>
      </c>
      <c r="F51">
        <v>1.344222</v>
      </c>
      <c r="G51">
        <v>0.14649599999999999</v>
      </c>
      <c r="H51" t="s">
        <v>57</v>
      </c>
      <c r="J51" t="s">
        <v>16</v>
      </c>
      <c r="K51" t="str" cm="1">
        <f t="array" ref="K51">IFERROR(INDEX($R$3:$R$18, MATCH(1, ($J51=$L$3:$L$18) * (K$44=$J$3:$J$18), 0)), "")</f>
        <v/>
      </c>
      <c r="L51" t="str" cm="1">
        <f t="array" ref="L51">IFERROR(INDEX($R$3:$R$18, MATCH(1, ($J51=$L$3:$L$18) * (L$44=$J$3:$J$18), 0)), "")</f>
        <v>DNF</v>
      </c>
      <c r="M51" t="str" cm="1">
        <f t="array" ref="M51">IFERROR(INDEX($R$3:$R$18, MATCH(1, ($J51=$L$3:$L$18) * (M$44=$J$3:$J$18), 0)), "")</f>
        <v/>
      </c>
    </row>
    <row r="52" spans="1:13" x14ac:dyDescent="0.2">
      <c r="J52" t="s">
        <v>20</v>
      </c>
      <c r="K52" t="str" cm="1">
        <f t="array" ref="K52">IFERROR(INDEX($R$3:$R$18, MATCH(1, ($J52=$L$3:$L$18) * (K$44=$J$3:$J$18), 0)), "")</f>
        <v/>
      </c>
      <c r="L52" cm="1">
        <f t="array" ref="L52">IFERROR(INDEX($R$3:$R$18, MATCH(1, ($J52=$L$3:$L$18) * (L$44=$J$3:$J$18), 0)), "")</f>
        <v>45.851747811009737</v>
      </c>
      <c r="M52" t="str" cm="1">
        <f t="array" ref="M52">IFERROR(INDEX($R$3:$R$18, MATCH(1, ($J52=$L$3:$L$18) * (M$44=$J$3:$J$18), 0)), "")</f>
        <v/>
      </c>
    </row>
    <row r="53" spans="1:13" x14ac:dyDescent="0.2">
      <c r="J53" t="s">
        <v>39</v>
      </c>
      <c r="K53" t="str" cm="1">
        <f t="array" ref="K53">IFERROR(INDEX($R$3:$R$18, MATCH(1, ($J53=$L$3:$L$18) * (K$44=$J$3:$J$18), 0)), "")</f>
        <v/>
      </c>
      <c r="L53" t="str" cm="1">
        <f t="array" ref="L53">IFERROR(INDEX($R$3:$R$18, MATCH(1, ($J53=$L$3:$L$18) * (L$44=$J$3:$J$18), 0)), "")</f>
        <v>DNF</v>
      </c>
      <c r="M53" t="str" cm="1">
        <f t="array" ref="M53">IFERROR(INDEX($R$3:$R$18, MATCH(1, ($J53=$L$3:$L$18) * (M$44=$J$3:$J$18), 0)), "")</f>
        <v/>
      </c>
    </row>
    <row r="54" spans="1:13" x14ac:dyDescent="0.2">
      <c r="J54" t="s">
        <v>22</v>
      </c>
      <c r="K54" t="str" cm="1">
        <f t="array" ref="K54">IFERROR(INDEX($R$3:$R$18, MATCH(1, ($J54=$L$3:$L$18) * (K$44=$J$3:$J$18), 0)), "")</f>
        <v/>
      </c>
      <c r="L54" t="str" cm="1">
        <f t="array" ref="L54">IFERROR(INDEX($R$3:$R$18, MATCH(1, ($J54=$L$3:$L$18) * (L$44=$J$3:$J$18), 0)), "")</f>
        <v>DNF</v>
      </c>
      <c r="M54" t="str" cm="1">
        <f t="array" ref="M54">IFERROR(INDEX($R$3:$R$18, MATCH(1, ($J54=$L$3:$L$18) * (M$44=$J$3:$J$18), 0)), "")</f>
        <v/>
      </c>
    </row>
    <row r="55" spans="1:13" x14ac:dyDescent="0.2">
      <c r="J55" t="s">
        <v>25</v>
      </c>
      <c r="K55" t="str" cm="1">
        <f t="array" ref="K55">IFERROR(INDEX($R$3:$R$18, MATCH(1, ($J55=$L$3:$L$18) * (K$44=$J$3:$J$18), 0)), "")</f>
        <v/>
      </c>
      <c r="L55" t="str" cm="1">
        <f t="array" ref="L55">IFERROR(INDEX($R$3:$R$18, MATCH(1, ($J55=$L$3:$L$18) * (L$44=$J$3:$J$18), 0)), "")</f>
        <v>DNF</v>
      </c>
      <c r="M55" t="str" cm="1">
        <f t="array" ref="M55">IFERROR(INDEX($R$3:$R$18, MATCH(1, ($J55=$L$3:$L$18) * (M$44=$J$3:$J$18), 0)), "")</f>
        <v/>
      </c>
    </row>
    <row r="56" spans="1:13" x14ac:dyDescent="0.2">
      <c r="J56" t="s">
        <v>29</v>
      </c>
      <c r="K56" t="str" cm="1">
        <f t="array" ref="K56">IFERROR(INDEX($R$3:$R$18, MATCH(1, ($J56=$L$3:$L$18) * (K$44=$J$3:$J$18), 0)), "")</f>
        <v/>
      </c>
      <c r="L56" t="str" cm="1">
        <f t="array" ref="L56">IFERROR(INDEX($R$3:$R$18, MATCH(1, ($J56=$L$3:$L$18) * (L$44=$J$3:$J$18), 0)), "")</f>
        <v>DNF</v>
      </c>
      <c r="M56" t="str" cm="1">
        <f t="array" ref="M56">IFERROR(INDEX($R$3:$R$18, MATCH(1, ($J56=$L$3:$L$18) * (M$44=$J$3:$J$18), 0)), "")</f>
        <v/>
      </c>
    </row>
    <row r="57" spans="1:13" x14ac:dyDescent="0.2">
      <c r="J57" t="s">
        <v>31</v>
      </c>
      <c r="K57" t="str" cm="1">
        <f t="array" ref="K57">IFERROR(INDEX($R$3:$R$18, MATCH(1, ($J57=$L$3:$L$18) * (K$44=$J$3:$J$18), 0)), "")</f>
        <v/>
      </c>
      <c r="L57" t="str" cm="1">
        <f t="array" ref="L57">IFERROR(INDEX($R$3:$R$18, MATCH(1, ($J57=$L$3:$L$18) * (L$44=$J$3:$J$18), 0)), "")</f>
        <v>DNF</v>
      </c>
      <c r="M57" t="str" cm="1">
        <f t="array" ref="M57">IFERROR(INDEX($R$3:$R$18, MATCH(1, ($J57=$L$3:$L$18) * (M$44=$J$3:$J$18), 0)), "")</f>
        <v/>
      </c>
    </row>
    <row r="58" spans="1:13" x14ac:dyDescent="0.2">
      <c r="J58" t="s">
        <v>8</v>
      </c>
      <c r="K58" t="str" cm="1">
        <f t="array" ref="K58">IFERROR(INDEX($R$3:$R$18, MATCH(1, ($J58=$L$3:$L$18) * (K$44=$J$3:$J$18), 0)), "")</f>
        <v>DNF</v>
      </c>
      <c r="L58" t="str" cm="1">
        <f t="array" ref="L58">IFERROR(INDEX($R$3:$R$18, MATCH(1, ($J58=$L$3:$L$18) * (L$44=$J$3:$J$18), 0)), "")</f>
        <v/>
      </c>
      <c r="M58" t="str" cm="1">
        <f t="array" ref="M58">IFERROR(INDEX($R$3:$R$18, MATCH(1, ($J58=$L$3:$L$18) * (M$44=$J$3:$J$18), 0)), "")</f>
        <v/>
      </c>
    </row>
    <row r="59" spans="1:13" x14ac:dyDescent="0.2">
      <c r="J59" t="s">
        <v>35</v>
      </c>
      <c r="K59" cm="1">
        <f t="array" ref="K59">IFERROR(INDEX($R$3:$R$18, MATCH(1, ($J59=$L$3:$L$18) * (K$44=$J$3:$J$18), 0)), "")</f>
        <v>924.98827418413407</v>
      </c>
      <c r="L59" t="str" cm="1">
        <f t="array" ref="L59">IFERROR(INDEX($R$3:$R$18, MATCH(1, ($J59=$L$3:$L$18) * (L$44=$J$3:$J$18), 0)), "")</f>
        <v/>
      </c>
      <c r="M59" t="str" cm="1">
        <f t="array" ref="M59">IFERROR(INDEX($R$3:$R$18, MATCH(1, ($J59=$L$3:$L$18) * (M$44=$J$3:$J$18), 0)), "")</f>
        <v/>
      </c>
    </row>
    <row r="60" spans="1:13" x14ac:dyDescent="0.2">
      <c r="J60" t="s">
        <v>37</v>
      </c>
      <c r="K60" cm="1">
        <f t="array" ref="K60">IFERROR(INDEX($R$3:$R$18, MATCH(1, ($J60=$L$3:$L$18) * (K$44=$J$3:$J$18), 0)), "")</f>
        <v>89.979303117631645</v>
      </c>
      <c r="L60" t="str" cm="1">
        <f t="array" ref="L60">IFERROR(INDEX($R$3:$R$18, MATCH(1, ($J60=$L$3:$L$18) * (L$44=$J$3:$J$18), 0)), "")</f>
        <v/>
      </c>
      <c r="M60" t="str" cm="1">
        <f t="array" ref="M60">IFERROR(INDEX($R$3:$R$18, MATCH(1, ($J60=$L$3:$L$18) * (M$44=$J$3:$J$18), 0)), "")</f>
        <v/>
      </c>
    </row>
    <row r="62" spans="1:13" x14ac:dyDescent="0.2">
      <c r="J62" t="s">
        <v>5</v>
      </c>
    </row>
    <row r="63" spans="1:13" x14ac:dyDescent="0.2">
      <c r="J63" t="s">
        <v>1</v>
      </c>
      <c r="K63" t="s">
        <v>6</v>
      </c>
      <c r="L63" t="s">
        <v>12</v>
      </c>
      <c r="M63" t="s">
        <v>9</v>
      </c>
    </row>
    <row r="64" spans="1:13" x14ac:dyDescent="0.2">
      <c r="J64" t="s">
        <v>11</v>
      </c>
      <c r="K64" t="str" cm="1">
        <f t="array" ref="K64">IFERROR(INDEX($S$3:$S$18, MATCH(1, ($J45=$L$3:$L$18) * (K$44=$J$3:$J$18), 0)), "")</f>
        <v/>
      </c>
      <c r="L64" t="str" cm="1">
        <f t="array" ref="L64">IFERROR(INDEX($S$3:$S$18, MATCH(1, ($J45=$L$3:$L$18) * (L$44=$J$3:$J$18), 0)), "")</f>
        <v/>
      </c>
      <c r="M64" cm="1">
        <f t="array" ref="M64">IFERROR(INDEX($S$3:$S$18, MATCH(1, ($J45=$L$3:$L$18) * (M$44=$J$3:$J$18), 0)), "")</f>
        <v>0.97403695506204779</v>
      </c>
    </row>
    <row r="65" spans="10:13" x14ac:dyDescent="0.2">
      <c r="J65" t="s">
        <v>18</v>
      </c>
      <c r="K65" t="str" cm="1">
        <f t="array" ref="K65">IFERROR(INDEX($S$3:$S$18, MATCH(1, ($J46=$L$3:$L$18) * (K$44=$J$3:$J$18), 0)), "")</f>
        <v/>
      </c>
      <c r="L65" t="str" cm="1">
        <f t="array" ref="L65">IFERROR(INDEX($S$3:$S$18, MATCH(1, ($J46=$L$3:$L$18) * (L$44=$J$3:$J$18), 0)), "")</f>
        <v/>
      </c>
      <c r="M65" cm="1">
        <f t="array" ref="M65">IFERROR(INDEX($S$3:$S$18, MATCH(1, ($J46=$L$3:$L$18) * (M$44=$J$3:$J$18), 0)), "")</f>
        <v>0.77978453738910014</v>
      </c>
    </row>
    <row r="66" spans="10:13" x14ac:dyDescent="0.2">
      <c r="J66" t="s">
        <v>58</v>
      </c>
      <c r="K66" t="str" cm="1">
        <f t="array" ref="K66">IFERROR(INDEX($S$3:$S$18, MATCH(1, ($J47=$L$3:$L$18) * (K$44=$J$3:$J$18), 0)), "")</f>
        <v/>
      </c>
      <c r="L66" t="str" cm="1">
        <f t="array" ref="L66">IFERROR(INDEX($S$3:$S$18, MATCH(1, ($J47=$L$3:$L$18) * (L$44=$J$3:$J$18), 0)), "")</f>
        <v/>
      </c>
      <c r="M66" cm="1">
        <f t="array" ref="M66">IFERROR(INDEX($S$3:$S$18, MATCH(1, ($J47=$L$3:$L$18) * (M$44=$J$3:$J$18), 0)), "")</f>
        <v>0.9118430397727274</v>
      </c>
    </row>
    <row r="67" spans="10:13" x14ac:dyDescent="0.2">
      <c r="J67" t="s">
        <v>27</v>
      </c>
      <c r="K67" t="str" cm="1">
        <f t="array" ref="K67">IFERROR(INDEX($S$3:$S$18, MATCH(1, ($J48=$L$3:$L$18) * (K$44=$J$3:$J$18), 0)), "")</f>
        <v/>
      </c>
      <c r="L67" t="str" cm="1">
        <f t="array" ref="L67">IFERROR(INDEX($S$3:$S$18, MATCH(1, ($J48=$L$3:$L$18) * (L$44=$J$3:$J$18), 0)), "")</f>
        <v/>
      </c>
      <c r="M67" cm="1">
        <f t="array" ref="M67">IFERROR(INDEX($S$3:$S$18, MATCH(1, ($J48=$L$3:$L$18) * (M$44=$J$3:$J$18), 0)), "")</f>
        <v>0.99774547736066088</v>
      </c>
    </row>
    <row r="68" spans="10:13" x14ac:dyDescent="0.2">
      <c r="J68" t="s">
        <v>33</v>
      </c>
      <c r="K68" t="str" cm="1">
        <f t="array" ref="K68">IFERROR(INDEX($S$3:$S$18, MATCH(1, ($J49=$L$3:$L$18) * (K$44=$J$3:$J$18), 0)), "")</f>
        <v/>
      </c>
      <c r="L68" t="str" cm="1">
        <f t="array" ref="L68">IFERROR(INDEX($S$3:$S$18, MATCH(1, ($J49=$L$3:$L$18) * (L$44=$J$3:$J$18), 0)), "")</f>
        <v/>
      </c>
      <c r="M68" cm="1">
        <f t="array" ref="M68">IFERROR(INDEX($S$3:$S$18, MATCH(1, ($J49=$L$3:$L$18) * (M$44=$J$3:$J$18), 0)), "")</f>
        <v>0.96530797370507559</v>
      </c>
    </row>
    <row r="69" spans="10:13" x14ac:dyDescent="0.2">
      <c r="J69" t="s">
        <v>14</v>
      </c>
      <c r="K69" t="str" cm="1">
        <f t="array" ref="K69">IFERROR(INDEX($S$3:$S$18, MATCH(1, ($J50=$L$3:$L$18) * (K$44=$J$3:$J$18), 0)), "")</f>
        <v/>
      </c>
      <c r="L69" cm="1">
        <f t="array" ref="L69">IFERROR(INDEX($S$3:$S$18, MATCH(1, ($J50=$L$3:$L$18) * (L$44=$J$3:$J$18), 0)), "")</f>
        <v>1.0253941965980058</v>
      </c>
      <c r="M69" t="str" cm="1">
        <f t="array" ref="M69">IFERROR(INDEX($S$3:$S$18, MATCH(1, ($J50=$L$3:$L$18) * (M$44=$J$3:$J$18), 0)), "")</f>
        <v/>
      </c>
    </row>
    <row r="70" spans="10:13" x14ac:dyDescent="0.2">
      <c r="J70" t="s">
        <v>16</v>
      </c>
      <c r="K70" t="str" cm="1">
        <f t="array" ref="K70">IFERROR(INDEX($S$3:$S$18, MATCH(1, ($J51=$L$3:$L$18) * (K$44=$J$3:$J$18), 0)), "")</f>
        <v/>
      </c>
      <c r="L70" cm="1">
        <f t="array" ref="L70">IFERROR(INDEX($S$3:$S$18, MATCH(1, ($J51=$L$3:$L$18) * (L$44=$J$3:$J$18), 0)), "")</f>
        <v>1.0038987937709309</v>
      </c>
      <c r="M70" t="str" cm="1">
        <f t="array" ref="M70">IFERROR(INDEX($S$3:$S$18, MATCH(1, ($J51=$L$3:$L$18) * (M$44=$J$3:$J$18), 0)), "")</f>
        <v/>
      </c>
    </row>
    <row r="71" spans="10:13" x14ac:dyDescent="0.2">
      <c r="J71" t="s">
        <v>20</v>
      </c>
      <c r="K71" t="str" cm="1">
        <f t="array" ref="K71">IFERROR(INDEX($S$3:$S$18, MATCH(1, ($J52=$L$3:$L$18) * (K$44=$J$3:$J$18), 0)), "")</f>
        <v/>
      </c>
      <c r="L71" cm="1">
        <f t="array" ref="L71">IFERROR(INDEX($S$3:$S$18, MATCH(1, ($J52=$L$3:$L$18) * (L$44=$J$3:$J$18), 0)), "")</f>
        <v>0.93933717618227108</v>
      </c>
      <c r="M71" t="str" cm="1">
        <f t="array" ref="M71">IFERROR(INDEX($S$3:$S$18, MATCH(1, ($J52=$L$3:$L$18) * (M$44=$J$3:$J$18), 0)), "")</f>
        <v/>
      </c>
    </row>
    <row r="72" spans="10:13" x14ac:dyDescent="0.2">
      <c r="J72" t="s">
        <v>39</v>
      </c>
      <c r="K72" t="str" cm="1">
        <f t="array" ref="K72">IFERROR(INDEX($S$3:$S$18, MATCH(1, ($J53=$L$3:$L$18) * (K$44=$J$3:$J$18), 0)), "")</f>
        <v/>
      </c>
      <c r="L72" cm="1">
        <f t="array" ref="L72">IFERROR(INDEX($S$3:$S$18, MATCH(1, ($J53=$L$3:$L$18) * (L$44=$J$3:$J$18), 0)), "")</f>
        <v>1.0047135071439093</v>
      </c>
      <c r="M72" t="str" cm="1">
        <f t="array" ref="M72">IFERROR(INDEX($S$3:$S$18, MATCH(1, ($J53=$L$3:$L$18) * (M$44=$J$3:$J$18), 0)), "")</f>
        <v/>
      </c>
    </row>
    <row r="73" spans="10:13" x14ac:dyDescent="0.2">
      <c r="J73" t="s">
        <v>22</v>
      </c>
      <c r="K73" t="str" cm="1">
        <f t="array" ref="K73">IFERROR(INDEX($S$3:$S$18, MATCH(1, ($J54=$L$3:$L$18) * (K$44=$J$3:$J$18), 0)), "")</f>
        <v/>
      </c>
      <c r="L73" cm="1">
        <f t="array" ref="L73">IFERROR(INDEX($S$3:$S$18, MATCH(1, ($J54=$L$3:$L$18) * (L$44=$J$3:$J$18), 0)), "")</f>
        <v>0.9993951154426044</v>
      </c>
      <c r="M73" t="str" cm="1">
        <f t="array" ref="M73">IFERROR(INDEX($S$3:$S$18, MATCH(1, ($J54=$L$3:$L$18) * (M$44=$J$3:$J$18), 0)), "")</f>
        <v/>
      </c>
    </row>
    <row r="74" spans="10:13" x14ac:dyDescent="0.2">
      <c r="J74" t="s">
        <v>25</v>
      </c>
      <c r="K74" t="str" cm="1">
        <f t="array" ref="K74">IFERROR(INDEX($S$3:$S$18, MATCH(1, ($J55=$L$3:$L$18) * (K$44=$J$3:$J$18), 0)), "")</f>
        <v/>
      </c>
      <c r="L74" cm="1">
        <f t="array" ref="L74">IFERROR(INDEX($S$3:$S$18, MATCH(1, ($J55=$L$3:$L$18) * (L$44=$J$3:$J$18), 0)), "")</f>
        <v>0.98907127490255986</v>
      </c>
      <c r="M74" t="str" cm="1">
        <f t="array" ref="M74">IFERROR(INDEX($S$3:$S$18, MATCH(1, ($J55=$L$3:$L$18) * (M$44=$J$3:$J$18), 0)), "")</f>
        <v/>
      </c>
    </row>
    <row r="75" spans="10:13" x14ac:dyDescent="0.2">
      <c r="J75" t="s">
        <v>29</v>
      </c>
      <c r="K75" t="str" cm="1">
        <f t="array" ref="K75">IFERROR(INDEX($S$3:$S$18, MATCH(1, ($J56=$L$3:$L$18) * (K$44=$J$3:$J$18), 0)), "")</f>
        <v/>
      </c>
      <c r="L75" cm="1">
        <f t="array" ref="L75">IFERROR(INDEX($S$3:$S$18, MATCH(1, ($J56=$L$3:$L$18) * (L$44=$J$3:$J$18), 0)), "")</f>
        <v>1.0094519911892776</v>
      </c>
      <c r="M75" t="str" cm="1">
        <f t="array" ref="M75">IFERROR(INDEX($S$3:$S$18, MATCH(1, ($J56=$L$3:$L$18) * (M$44=$J$3:$J$18), 0)), "")</f>
        <v/>
      </c>
    </row>
    <row r="76" spans="10:13" x14ac:dyDescent="0.2">
      <c r="J76" t="s">
        <v>31</v>
      </c>
      <c r="K76" t="str" cm="1">
        <f t="array" ref="K76">IFERROR(INDEX($S$3:$S$18, MATCH(1, ($J57=$L$3:$L$18) * (K$44=$J$3:$J$18), 0)), "")</f>
        <v/>
      </c>
      <c r="L76" cm="1">
        <f t="array" ref="L76">IFERROR(INDEX($S$3:$S$18, MATCH(1, ($J57=$L$3:$L$18) * (L$44=$J$3:$J$18), 0)), "")</f>
        <v>0.99167231617714413</v>
      </c>
      <c r="M76" t="str" cm="1">
        <f t="array" ref="M76">IFERROR(INDEX($S$3:$S$18, MATCH(1, ($J57=$L$3:$L$18) * (M$44=$J$3:$J$18), 0)), "")</f>
        <v/>
      </c>
    </row>
    <row r="77" spans="10:13" x14ac:dyDescent="0.2">
      <c r="J77" t="s">
        <v>8</v>
      </c>
      <c r="K77" cm="1">
        <f t="array" ref="K77">IFERROR(INDEX($S$3:$S$18, MATCH(1, ($J58=$L$3:$L$18) * (K$44=$J$3:$J$18), 0)), "")</f>
        <v>0.99637978350764578</v>
      </c>
      <c r="L77" t="str" cm="1">
        <f t="array" ref="L77">IFERROR(INDEX($S$3:$S$18, MATCH(1, ($J58=$L$3:$L$18) * (L$44=$J$3:$J$18), 0)), "")</f>
        <v/>
      </c>
      <c r="M77" t="str" cm="1">
        <f t="array" ref="M77">IFERROR(INDEX($S$3:$S$18, MATCH(1, ($J58=$L$3:$L$18) * (M$44=$J$3:$J$18), 0)), "")</f>
        <v/>
      </c>
    </row>
    <row r="78" spans="10:13" x14ac:dyDescent="0.2">
      <c r="J78" t="s">
        <v>35</v>
      </c>
      <c r="K78" cm="1">
        <f t="array" ref="K78">IFERROR(INDEX($S$3:$S$18, MATCH(1, ($J59=$L$3:$L$18) * (K$44=$J$3:$J$18), 0)), "")</f>
        <v>0.99303617145466005</v>
      </c>
      <c r="L78" t="str" cm="1">
        <f t="array" ref="L78">IFERROR(INDEX($S$3:$S$18, MATCH(1, ($J59=$L$3:$L$18) * (L$44=$J$3:$J$18), 0)), "")</f>
        <v/>
      </c>
      <c r="M78" t="str" cm="1">
        <f t="array" ref="M78">IFERROR(INDEX($S$3:$S$18, MATCH(1, ($J59=$L$3:$L$18) * (M$44=$J$3:$J$18), 0)), "")</f>
        <v/>
      </c>
    </row>
    <row r="79" spans="10:13" x14ac:dyDescent="0.2">
      <c r="J79" t="s">
        <v>37</v>
      </c>
      <c r="K79" cm="1">
        <f t="array" ref="K79">IFERROR(INDEX($S$3:$S$18, MATCH(1, ($J60=$L$3:$L$18) * (K$44=$J$3:$J$18), 0)), "")</f>
        <v>0.94651122172736013</v>
      </c>
      <c r="L79" t="str" cm="1">
        <f t="array" ref="L79">IFERROR(INDEX($S$3:$S$18, MATCH(1, ($J60=$L$3:$L$18) * (L$44=$J$3:$J$18), 0)), "")</f>
        <v/>
      </c>
      <c r="M79" t="str" cm="1">
        <f t="array" ref="M79">IFERROR(INDEX($S$3:$S$18, MATCH(1, ($J60=$L$3:$L$18) * (M$44=$J$3:$J$18), 0)), 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7E9E-4236-464B-83C1-B773C6DC950E}">
  <dimension ref="A1:AC105"/>
  <sheetViews>
    <sheetView topLeftCell="A47" zoomScale="57" workbookViewId="0">
      <selection activeCell="A56" sqref="A56:J105"/>
    </sheetView>
  </sheetViews>
  <sheetFormatPr baseColWidth="10" defaultRowHeight="16" x14ac:dyDescent="0.2"/>
  <cols>
    <col min="1" max="1" width="11" bestFit="1" customWidth="1"/>
    <col min="2" max="2" width="9.33203125" bestFit="1" customWidth="1"/>
    <col min="3" max="3" width="9" bestFit="1" customWidth="1"/>
    <col min="4" max="4" width="10.5" bestFit="1" customWidth="1"/>
    <col min="5" max="5" width="16.83203125" bestFit="1" customWidth="1"/>
    <col min="6" max="6" width="12.83203125" bestFit="1" customWidth="1"/>
    <col min="7" max="7" width="11.1640625" bestFit="1" customWidth="1"/>
    <col min="8" max="8" width="18" bestFit="1" customWidth="1"/>
    <col min="9" max="9" width="28.33203125" bestFit="1" customWidth="1"/>
    <col min="10" max="10" width="22" bestFit="1" customWidth="1"/>
    <col min="11" max="11" width="61.1640625" bestFit="1" customWidth="1"/>
    <col min="12" max="12" width="21.1640625" bestFit="1" customWidth="1"/>
    <col min="13" max="13" width="80.6640625" bestFit="1" customWidth="1"/>
    <col min="14" max="14" width="15.1640625" bestFit="1" customWidth="1"/>
    <col min="16" max="16" width="7.6640625" bestFit="1" customWidth="1"/>
    <col min="17" max="17" width="12" bestFit="1" customWidth="1"/>
    <col min="18" max="21" width="11.1640625" bestFit="1" customWidth="1"/>
    <col min="22" max="22" width="28.33203125" bestFit="1" customWidth="1"/>
    <col min="23" max="23" width="22" bestFit="1" customWidth="1"/>
    <col min="24" max="24" width="22.33203125" bestFit="1" customWidth="1"/>
    <col min="25" max="25" width="9" bestFit="1" customWidth="1"/>
    <col min="27" max="27" width="28.33203125" bestFit="1" customWidth="1"/>
    <col min="28" max="28" width="22" bestFit="1" customWidth="1"/>
    <col min="29" max="29" width="22.33203125" bestFit="1" customWidth="1"/>
  </cols>
  <sheetData>
    <row r="1" spans="1:29" x14ac:dyDescent="0.2">
      <c r="A1" t="s">
        <v>65</v>
      </c>
      <c r="B1">
        <v>600</v>
      </c>
      <c r="C1" t="s">
        <v>66</v>
      </c>
      <c r="D1" t="s">
        <v>67</v>
      </c>
      <c r="Q1" t="s">
        <v>51</v>
      </c>
      <c r="R1" t="s">
        <v>2</v>
      </c>
      <c r="S1" t="s">
        <v>3</v>
      </c>
      <c r="T1" t="s">
        <v>4</v>
      </c>
      <c r="U1" t="s">
        <v>5</v>
      </c>
      <c r="V1" t="s">
        <v>52</v>
      </c>
      <c r="W1" t="s">
        <v>53</v>
      </c>
      <c r="X1" t="s">
        <v>54</v>
      </c>
      <c r="Y1" t="s">
        <v>68</v>
      </c>
      <c r="AA1" t="s">
        <v>52</v>
      </c>
      <c r="AB1" t="s">
        <v>53</v>
      </c>
      <c r="AC1" t="s">
        <v>54</v>
      </c>
    </row>
    <row r="3" spans="1:29" x14ac:dyDescent="0.2">
      <c r="B3" t="s">
        <v>1</v>
      </c>
      <c r="C3" t="s">
        <v>69</v>
      </c>
      <c r="D3" t="s">
        <v>68</v>
      </c>
      <c r="E3" t="s">
        <v>4</v>
      </c>
      <c r="F3" t="s">
        <v>3</v>
      </c>
      <c r="G3" t="s">
        <v>2</v>
      </c>
      <c r="H3" t="s">
        <v>5</v>
      </c>
      <c r="I3" t="s">
        <v>52</v>
      </c>
      <c r="J3" t="s">
        <v>53</v>
      </c>
      <c r="K3" t="s">
        <v>54</v>
      </c>
      <c r="L3" t="s">
        <v>70</v>
      </c>
      <c r="M3" t="s">
        <v>71</v>
      </c>
      <c r="N3" t="s">
        <v>72</v>
      </c>
      <c r="P3" t="s">
        <v>9</v>
      </c>
    </row>
    <row r="4" spans="1:29" x14ac:dyDescent="0.2">
      <c r="A4" t="s">
        <v>73</v>
      </c>
      <c r="B4" t="s">
        <v>8</v>
      </c>
      <c r="C4" t="s">
        <v>74</v>
      </c>
      <c r="D4" cm="1">
        <f t="array" ref="D4">IF(ISBLANK(INDEX($P$2:$Y$60, MATCH(1, ($P$2:$P$60=$A4) * ($Q$2:$Q$60=$B4), 0), MATCH(D$3, $P$1:$Y$1, 0))), "", INDEX($P$2:$Y$60, MATCH(1, ($P$2:$P$60=$A4) * ($Q$2:$Q$60=$B4), 0), MATCH(D$3, $P$1:$Y$1, 0)))</f>
        <v>3</v>
      </c>
      <c r="E4" cm="1">
        <f t="array" ref="E4">INDEX($P$2:$X$60, MATCH(1, ($P$2:$P$60=$A4) * ($Q$2:$Q$60=$B4), 0), MATCH(E$3, $P$1:$X$1, 0))</f>
        <v>1.3849999999999999E-3</v>
      </c>
      <c r="F4" cm="1">
        <f t="array" ref="F4">INDEX($P$2:$X$60, MATCH(1, ($P$2:$P$60=$A4) * ($Q$2:$Q$60=$B4), 0), MATCH(F$3, $P$1:$X$1, 0))</f>
        <v>4.4766E-2</v>
      </c>
      <c r="G4" cm="1">
        <f t="array" ref="G4">INDEX($P$2:$X$60, MATCH(1, ($P$2:$P$60=$A4) * ($Q$2:$Q$60=$B4), 0), MATCH(G$3, $P$1:$X$1, 0))</f>
        <v>7.273E-3</v>
      </c>
      <c r="H4" cm="1">
        <f t="array" ref="H4">INDEX($P$2:$X$60, MATCH(1, ($P$2:$P$60=$A4) * ($Q$2:$Q$60=$B4), 0), MATCH(H$3, $P$1:$X$1, 0))</f>
        <v>5.7429999999999998E-3</v>
      </c>
      <c r="I4" cm="1">
        <f t="array" ref="I4">INDEX($P$2:$X$60, MATCH(1, ($P$2:$P$60=$A4) * ($Q$2:$Q$60=$B4), 0), MATCH(I$3, $P$1:$X$1, 0))</f>
        <v>6.1550941839681013</v>
      </c>
      <c r="J4" cm="1">
        <f t="array" ref="J4">INDEX($P$2:$X$60, MATCH(1, ($P$2:$P$60=$A4) * ($Q$2:$Q$60=$B4), 0), MATCH(J$3, $P$1:$X$1, 0))</f>
        <v>0.19043035886154269</v>
      </c>
      <c r="K4" cm="1">
        <f t="array" ref="K4">INDEX($P$2:$X$60, MATCH(1, ($P$2:$P$60=$A4) * ($Q$2:$Q$60=$B4), 0), MATCH(K$3, $P$1:$X$1, 0))</f>
        <v>0.78963288876667126</v>
      </c>
      <c r="L4" t="b" cm="1">
        <f t="array" ref="L4">INDEX($AA$2:$AC$60, MATCH(1, ($P$2:$P$60=$A4) * ($Q$2:$Q$60=$B4), 0), MATCH(I$3, $AA$1:$AC$1, 0))</f>
        <v>1</v>
      </c>
      <c r="M4" t="b" cm="1">
        <f t="array" ref="M4">INDEX($AA$2:$AC$60, MATCH(1, ($P$2:$P$60=$A4) * ($Q$2:$Q$60=$B4), 0), MATCH(J$3, $AA$1:$AC$1, 0))</f>
        <v>0</v>
      </c>
      <c r="N4" t="b" cm="1">
        <f t="array" ref="N4">INDEX($AA$2:$AC$60, MATCH(1, ($P$2:$P$60=$A4) * ($Q$2:$Q$60=$B4), 0), MATCH(K$3, $AA$1:$AC$1, 0))</f>
        <v>0</v>
      </c>
      <c r="P4" t="s">
        <v>73</v>
      </c>
      <c r="Q4" t="s">
        <v>8</v>
      </c>
      <c r="R4">
        <f>small!M3</f>
        <v>7.273E-3</v>
      </c>
      <c r="S4">
        <f>small!N3</f>
        <v>4.4766E-2</v>
      </c>
      <c r="T4">
        <f>small!O3</f>
        <v>1.3849999999999999E-3</v>
      </c>
      <c r="U4">
        <f>small!P3</f>
        <v>5.7429999999999998E-3</v>
      </c>
      <c r="V4">
        <f>small!Q3</f>
        <v>6.1550941839681013</v>
      </c>
      <c r="W4">
        <f>small!R3</f>
        <v>0.19043035886154269</v>
      </c>
      <c r="X4">
        <f>small!S3</f>
        <v>0.78963288876667126</v>
      </c>
      <c r="Y4">
        <v>3</v>
      </c>
      <c r="AA4" t="b">
        <f>small!T26</f>
        <v>1</v>
      </c>
      <c r="AB4" t="b">
        <f>small!U26</f>
        <v>0</v>
      </c>
      <c r="AC4" t="b">
        <f>small!V26</f>
        <v>0</v>
      </c>
    </row>
    <row r="5" spans="1:29" x14ac:dyDescent="0.2">
      <c r="A5" t="s">
        <v>75</v>
      </c>
      <c r="B5" t="s">
        <v>8</v>
      </c>
      <c r="C5" t="s">
        <v>76</v>
      </c>
      <c r="D5" cm="1">
        <f t="array" ref="D5">IF(ISBLANK(INDEX($P$2:$Y$60, MATCH(1, ($P$2:$P$60=$A5) * ($Q$2:$Q$60=$B5), 0), MATCH(D$3, $P$1:$Y$1, 0))), "-", INDEX($P$2:$Y$60, MATCH(1, ($P$2:$P$60=$A5) * ($Q$2:$Q$60=$B5), 0), MATCH(D$3, $P$1:$Y$1, 0)))</f>
        <v>15</v>
      </c>
      <c r="E5" cm="1">
        <f t="array" ref="E5">INDEX($P$2:$X$60, MATCH(1, ($P$2:$P$60=$A5) * ($Q$2:$Q$60=$B5), 0), MATCH(E$3, $P$1:$X$1, 0))</f>
        <v>3.4401489999999999</v>
      </c>
      <c r="F5" cm="1">
        <f t="array" ref="F5">INDEX($P$2:$X$60, MATCH(1, ($P$2:$P$60=$A5) * ($Q$2:$Q$60=$B5), 0), MATCH(F$3, $P$1:$X$1, 0))</f>
        <v>0.43465300000000001</v>
      </c>
      <c r="G5" cm="1">
        <f t="array" ref="G5">INDEX($P$2:$X$60, MATCH(1, ($P$2:$P$60=$A5) * ($Q$2:$Q$60=$B5), 0), MATCH(G$3, $P$1:$X$1, 0))</f>
        <v>0.219246</v>
      </c>
      <c r="H5" cm="1">
        <f t="array" ref="H5">INDEX($P$2:$X$60, MATCH(1, ($P$2:$P$60=$A5) * ($Q$2:$Q$60=$B5), 0), MATCH(H$3, $P$1:$X$1, 0))</f>
        <v>0.23339399999999999</v>
      </c>
      <c r="I5" cm="1">
        <f t="array" ref="I5">INDEX($P$2:$X$60, MATCH(1, ($P$2:$P$60=$A5) * ($Q$2:$Q$60=$B5), 0), MATCH(I$3, $P$1:$X$1, 0))</f>
        <v>1.9824899884148401</v>
      </c>
      <c r="J5" cm="1">
        <f t="array" ref="J5">INDEX($P$2:$X$60, MATCH(1, ($P$2:$P$60=$A5) * ($Q$2:$Q$60=$B5), 0), MATCH(J$3, $P$1:$X$1, 0))</f>
        <v>15.690817620389881</v>
      </c>
      <c r="K5" cm="1">
        <f t="array" ref="K5">INDEX($P$2:$X$60, MATCH(1, ($P$2:$P$60=$A5) * ($Q$2:$Q$60=$B5), 0), MATCH(K$3, $P$1:$X$1, 0))</f>
        <v>1.0645302536876384</v>
      </c>
      <c r="L5" t="b" cm="1">
        <f t="array" ref="L5">INDEX($AA$2:$AC$60, MATCH(1, ($P$2:$P$60=$A5) * ($Q$2:$Q$60=$B5), 0), MATCH(I$3, $AA$1:$AC$1, 0))</f>
        <v>1</v>
      </c>
      <c r="M5" t="b" cm="1">
        <f t="array" ref="M5">INDEX($AA$2:$AC$60, MATCH(1, ($P$2:$P$60=$A5) * ($Q$2:$Q$60=$B5), 0), MATCH(J$3, $AA$1:$AC$1, 0))</f>
        <v>1</v>
      </c>
      <c r="N5" t="b" cm="1">
        <f t="array" ref="N5">INDEX($AA$2:$AC$60, MATCH(1, ($P$2:$P$60=$A5) * ($Q$2:$Q$60=$B5), 0), MATCH(K$3, $AA$1:$AC$1, 0))</f>
        <v>0</v>
      </c>
      <c r="P5" t="s">
        <v>73</v>
      </c>
      <c r="Q5" t="s">
        <v>11</v>
      </c>
      <c r="R5">
        <f>small!M4</f>
        <v>1.4848E-2</v>
      </c>
      <c r="S5">
        <f>small!N4</f>
        <v>5.1443000000000003E-2</v>
      </c>
      <c r="T5">
        <f>small!O4</f>
        <v>1.4400000000000001E-3</v>
      </c>
      <c r="U5">
        <f>small!P4</f>
        <v>1.4127000000000001E-2</v>
      </c>
      <c r="V5">
        <f>small!Q4</f>
        <v>3.4646417025862069</v>
      </c>
      <c r="W5">
        <f>small!R4</f>
        <v>9.6982758620689655E-2</v>
      </c>
      <c r="X5">
        <f>small!S4</f>
        <v>0.9514412715517242</v>
      </c>
      <c r="Y5">
        <v>3</v>
      </c>
      <c r="AA5" t="b">
        <f>small!T27</f>
        <v>1</v>
      </c>
      <c r="AB5" t="b">
        <f>small!U27</f>
        <v>1</v>
      </c>
      <c r="AC5" t="b">
        <f>small!V27</f>
        <v>0</v>
      </c>
    </row>
    <row r="6" spans="1:29" x14ac:dyDescent="0.2">
      <c r="A6" t="s">
        <v>77</v>
      </c>
      <c r="B6" t="s">
        <v>8</v>
      </c>
      <c r="C6" t="s">
        <v>78</v>
      </c>
      <c r="D6" cm="1">
        <f t="array" ref="D6">IF(ISBLANK(INDEX($P$2:$Y$60, MATCH(1, ($P$2:$P$60=$A6) * ($Q$2:$Q$60=$B6), 0), MATCH(D$3, $P$1:$Y$1, 0))), "-", INDEX($P$2:$Y$60, MATCH(1, ($P$2:$P$60=$A6) * ($Q$2:$Q$60=$B6), 0), MATCH(D$3, $P$1:$Y$1, 0)))</f>
        <v>189</v>
      </c>
      <c r="E6" t="e" cm="1">
        <f t="array" ref="E6">INDEX($P$2:$X$60, MATCH(1, ($P$2:$P$60=$A6) * ($Q$2:$Q$60=$B6), 0), MATCH(E$3, $P$1:$X$1, 0))</f>
        <v>#N/A</v>
      </c>
      <c r="F6" t="e" cm="1">
        <f t="array" ref="F6">INDEX($P$2:$X$60, MATCH(1, ($P$2:$P$60=$A6) * ($Q$2:$Q$60=$B6), 0), MATCH(F$3, $P$1:$X$1, 0))</f>
        <v>#N/A</v>
      </c>
      <c r="G6" cm="1">
        <f t="array" ref="G6">INDEX($P$2:$X$60, MATCH(1, ($P$2:$P$60=$A6) * ($Q$2:$Q$60=$B6), 0), MATCH(G$3, $P$1:$X$1, 0))</f>
        <v>39.964737</v>
      </c>
      <c r="H6" cm="1">
        <f t="array" ref="H6">INDEX($P$2:$X$60, MATCH(1, ($P$2:$P$60=$A6) * ($Q$2:$Q$60=$B6), 0), MATCH(H$3, $P$1:$X$1, 0))</f>
        <v>39.820056000000001</v>
      </c>
      <c r="I6" t="str" cm="1">
        <f t="array" ref="I6">INDEX($P$2:$X$60, MATCH(1, ($P$2:$P$60=$A6) * ($Q$2:$Q$60=$B6), 0), MATCH(I$3, $P$1:$X$1, 0))</f>
        <v>DNF</v>
      </c>
      <c r="J6" t="str" cm="1">
        <f t="array" ref="J6">INDEX($P$2:$X$60, MATCH(1, ($P$2:$P$60=$A6) * ($Q$2:$Q$60=$B6), 0), MATCH(J$3, $P$1:$X$1, 0))</f>
        <v>DNF</v>
      </c>
      <c r="K6" cm="1">
        <f t="array" ref="K6">INDEX($P$2:$X$60, MATCH(1, ($P$2:$P$60=$A6) * ($Q$2:$Q$60=$B6), 0), MATCH(K$3, $P$1:$X$1, 0))</f>
        <v>0.99637978350764578</v>
      </c>
      <c r="L6" t="b" cm="1">
        <f t="array" ref="L6">INDEX($AA$2:$AC$60, MATCH(1, ($P$2:$P$60=$A6) * ($Q$2:$Q$60=$B6), 0), MATCH(I$3, $AA$1:$AC$1, 0))</f>
        <v>1</v>
      </c>
      <c r="M6" t="b" cm="1">
        <f t="array" ref="M6">INDEX($AA$2:$AC$60, MATCH(1, ($P$2:$P$60=$A6) * ($Q$2:$Q$60=$B6), 0), MATCH(J$3, $AA$1:$AC$1, 0))</f>
        <v>1</v>
      </c>
      <c r="N6" t="b" cm="1">
        <f t="array" ref="N6">INDEX($AA$2:$AC$60, MATCH(1, ($P$2:$P$60=$A6) * ($Q$2:$Q$60=$B6), 0), MATCH(K$3, $AA$1:$AC$1, 0))</f>
        <v>0</v>
      </c>
      <c r="P6" t="s">
        <v>73</v>
      </c>
      <c r="Q6" t="s">
        <v>14</v>
      </c>
      <c r="R6">
        <f>small!M5</f>
        <v>1.3015000000000001E-2</v>
      </c>
      <c r="S6">
        <f>small!N5</f>
        <v>4.1396000000000002E-2</v>
      </c>
      <c r="T6">
        <f>small!O5</f>
        <v>3.532E-3</v>
      </c>
      <c r="U6">
        <f>small!P5</f>
        <v>9.861E-3</v>
      </c>
      <c r="V6">
        <f>small!Q5</f>
        <v>3.1806377257011142</v>
      </c>
      <c r="W6">
        <f>small!R5</f>
        <v>0.27137917787168653</v>
      </c>
      <c r="X6">
        <f>small!S5</f>
        <v>0.75766423357664225</v>
      </c>
      <c r="Y6">
        <v>3</v>
      </c>
      <c r="AA6" t="b">
        <f>small!T28</f>
        <v>1</v>
      </c>
      <c r="AB6" t="b">
        <f>small!U28</f>
        <v>1</v>
      </c>
      <c r="AC6" t="b">
        <f>small!V28</f>
        <v>0</v>
      </c>
    </row>
    <row r="7" spans="1:29" x14ac:dyDescent="0.2">
      <c r="A7" t="s">
        <v>73</v>
      </c>
      <c r="B7" t="s">
        <v>11</v>
      </c>
      <c r="C7" t="s">
        <v>74</v>
      </c>
      <c r="D7" cm="1">
        <f t="array" ref="D7">IF(ISBLANK(INDEX($P$2:$Y$60, MATCH(1, ($P$2:$P$60=$A7) * ($Q$2:$Q$60=$B7), 0), MATCH(D$3, $P$1:$Y$1, 0))), "", INDEX($P$2:$Y$60, MATCH(1, ($P$2:$P$60=$A7) * ($Q$2:$Q$60=$B7), 0), MATCH(D$3, $P$1:$Y$1, 0)))</f>
        <v>3</v>
      </c>
      <c r="E7" cm="1">
        <f t="array" ref="E7">INDEX($P$2:$X$60, MATCH(1, ($P$2:$P$60=$A7) * ($Q$2:$Q$60=$B7), 0), MATCH(E$3, $P$1:$X$1, 0))</f>
        <v>1.4400000000000001E-3</v>
      </c>
      <c r="F7" cm="1">
        <f t="array" ref="F7">INDEX($P$2:$X$60, MATCH(1, ($P$2:$P$60=$A7) * ($Q$2:$Q$60=$B7), 0), MATCH(F$3, $P$1:$X$1, 0))</f>
        <v>5.1443000000000003E-2</v>
      </c>
      <c r="G7" cm="1">
        <f t="array" ref="G7">INDEX($P$2:$X$60, MATCH(1, ($P$2:$P$60=$A7) * ($Q$2:$Q$60=$B7), 0), MATCH(G$3, $P$1:$X$1, 0))</f>
        <v>1.4848E-2</v>
      </c>
      <c r="H7" cm="1">
        <f t="array" ref="H7">INDEX($P$2:$X$60, MATCH(1, ($P$2:$P$60=$A7) * ($Q$2:$Q$60=$B7), 0), MATCH(H$3, $P$1:$X$1, 0))</f>
        <v>1.4127000000000001E-2</v>
      </c>
      <c r="I7" cm="1">
        <f t="array" ref="I7">INDEX($P$2:$X$60, MATCH(1, ($P$2:$P$60=$A7) * ($Q$2:$Q$60=$B7), 0), MATCH(I$3, $P$1:$X$1, 0))</f>
        <v>3.4646417025862069</v>
      </c>
      <c r="J7" cm="1">
        <f t="array" ref="J7">INDEX($P$2:$X$60, MATCH(1, ($P$2:$P$60=$A7) * ($Q$2:$Q$60=$B7), 0), MATCH(J$3, $P$1:$X$1, 0))</f>
        <v>9.6982758620689655E-2</v>
      </c>
      <c r="K7" cm="1">
        <f t="array" ref="K7">INDEX($P$2:$X$60, MATCH(1, ($P$2:$P$60=$A7) * ($Q$2:$Q$60=$B7), 0), MATCH(K$3, $P$1:$X$1, 0))</f>
        <v>0.9514412715517242</v>
      </c>
      <c r="L7" t="b" cm="1">
        <f t="array" ref="L7">INDEX($AA$2:$AC$60, MATCH(1, ($P$2:$P$60=$A7) * ($Q$2:$Q$60=$B7), 0), MATCH(I$3, $AA$1:$AC$1, 0))</f>
        <v>1</v>
      </c>
      <c r="M7" t="b" cm="1">
        <f t="array" ref="M7">INDEX($AA$2:$AC$60, MATCH(1, ($P$2:$P$60=$A7) * ($Q$2:$Q$60=$B7), 0), MATCH(J$3, $AA$1:$AC$1, 0))</f>
        <v>1</v>
      </c>
      <c r="N7" t="b" cm="1">
        <f t="array" ref="N7">INDEX($AA$2:$AC$60, MATCH(1, ($P$2:$P$60=$A7) * ($Q$2:$Q$60=$B7), 0), MATCH(K$3, $AA$1:$AC$1, 0))</f>
        <v>0</v>
      </c>
      <c r="P7" t="s">
        <v>73</v>
      </c>
      <c r="Q7" t="s">
        <v>16</v>
      </c>
      <c r="R7">
        <f>small!M6</f>
        <v>8.6029999999999995E-3</v>
      </c>
      <c r="S7">
        <f>small!N6</f>
        <v>3.7509000000000001E-2</v>
      </c>
      <c r="T7">
        <f>small!O6</f>
        <v>1.8079999999999999E-3</v>
      </c>
      <c r="U7">
        <f>small!P6</f>
        <v>8.5369999999999994E-3</v>
      </c>
      <c r="V7">
        <f>small!Q6</f>
        <v>4.359990700918285</v>
      </c>
      <c r="W7">
        <f>small!R6</f>
        <v>0.21015924677438103</v>
      </c>
      <c r="X7">
        <f>small!S6</f>
        <v>0.99232825758456356</v>
      </c>
      <c r="Y7">
        <v>2</v>
      </c>
      <c r="AA7" t="b">
        <f>small!T29</f>
        <v>1</v>
      </c>
      <c r="AB7" t="b">
        <f>small!U29</f>
        <v>0</v>
      </c>
      <c r="AC7" t="b">
        <f>small!V29</f>
        <v>0</v>
      </c>
    </row>
    <row r="8" spans="1:29" x14ac:dyDescent="0.2">
      <c r="A8" t="s">
        <v>75</v>
      </c>
      <c r="B8" t="s">
        <v>11</v>
      </c>
      <c r="C8" t="s">
        <v>79</v>
      </c>
      <c r="D8" cm="1">
        <f t="array" ref="D8">IF(ISBLANK(INDEX($P$2:$Y$60, MATCH(1, ($P$2:$P$60=$A8) * ($Q$2:$Q$60=$B8), 0), MATCH(D$3, $P$1:$Y$1, 0))), "-", INDEX($P$2:$Y$60, MATCH(1, ($P$2:$P$60=$A8) * ($Q$2:$Q$60=$B8), 0), MATCH(D$3, $P$1:$Y$1, 0)))</f>
        <v>4</v>
      </c>
      <c r="E8" cm="1">
        <f t="array" ref="E8">INDEX($P$2:$X$60, MATCH(1, ($P$2:$P$60=$A8) * ($Q$2:$Q$60=$B8), 0), MATCH(E$3, $P$1:$X$1, 0))</f>
        <v>3.4955729999999998</v>
      </c>
      <c r="F8" cm="1">
        <f t="array" ref="F8">INDEX($P$2:$X$60, MATCH(1, ($P$2:$P$60=$A8) * ($Q$2:$Q$60=$B8), 0), MATCH(F$3, $P$1:$X$1, 0))</f>
        <v>9.0839000000000003E-2</v>
      </c>
      <c r="G8" cm="1">
        <f t="array" ref="G8">INDEX($P$2:$X$60, MATCH(1, ($P$2:$P$60=$A8) * ($Q$2:$Q$60=$B8), 0), MATCH(G$3, $P$1:$X$1, 0))</f>
        <v>1.9036999999999998E-2</v>
      </c>
      <c r="H8" cm="1">
        <f t="array" ref="H8">INDEX($P$2:$X$60, MATCH(1, ($P$2:$P$60=$A8) * ($Q$2:$Q$60=$B8), 0), MATCH(H$3, $P$1:$X$1, 0))</f>
        <v>1.8297000000000001E-2</v>
      </c>
      <c r="I8" cm="1">
        <f t="array" ref="I8">INDEX($P$2:$X$60, MATCH(1, ($P$2:$P$60=$A8) * ($Q$2:$Q$60=$B8), 0), MATCH(I$3, $P$1:$X$1, 0))</f>
        <v>4.7717077270578354</v>
      </c>
      <c r="J8" cm="1">
        <f t="array" ref="J8">INDEX($P$2:$X$60, MATCH(1, ($P$2:$P$60=$A8) * ($Q$2:$Q$60=$B8), 0), MATCH(J$3, $P$1:$X$1, 0))</f>
        <v>183.61995062247203</v>
      </c>
      <c r="K8" cm="1">
        <f t="array" ref="K8">INDEX($P$2:$X$60, MATCH(1, ($P$2:$P$60=$A8) * ($Q$2:$Q$60=$B8), 0), MATCH(K$3, $P$1:$X$1, 0))</f>
        <v>0.96112832904344181</v>
      </c>
      <c r="L8" t="b" cm="1">
        <f t="array" ref="L8">INDEX($AA$2:$AC$60, MATCH(1, ($P$2:$P$60=$A8) * ($Q$2:$Q$60=$B8), 0), MATCH(I$3, $AA$1:$AC$1, 0))</f>
        <v>1</v>
      </c>
      <c r="M8" t="b" cm="1">
        <f t="array" ref="M8">INDEX($AA$2:$AC$60, MATCH(1, ($P$2:$P$60=$A8) * ($Q$2:$Q$60=$B8), 0), MATCH(J$3, $AA$1:$AC$1, 0))</f>
        <v>1</v>
      </c>
      <c r="N8" t="b" cm="1">
        <f t="array" ref="N8">INDEX($AA$2:$AC$60, MATCH(1, ($P$2:$P$60=$A8) * ($Q$2:$Q$60=$B8), 0), MATCH(K$3, $AA$1:$AC$1, 0))</f>
        <v>0</v>
      </c>
      <c r="P8" t="s">
        <v>73</v>
      </c>
      <c r="Q8" t="s">
        <v>18</v>
      </c>
      <c r="R8">
        <f>small!M7</f>
        <v>3.0929000000000002E-2</v>
      </c>
      <c r="S8">
        <f>small!N7</f>
        <v>0.36768899999999999</v>
      </c>
      <c r="T8">
        <f>small!O7</f>
        <v>5.9589999999999999E-3</v>
      </c>
      <c r="U8">
        <f>small!P7</f>
        <v>2.8028000000000001E-2</v>
      </c>
      <c r="V8">
        <f>small!Q7</f>
        <v>11.888163212518995</v>
      </c>
      <c r="W8">
        <f>small!R7</f>
        <v>0.19266707620679618</v>
      </c>
      <c r="X8">
        <f>small!S7</f>
        <v>0.90620453296259174</v>
      </c>
      <c r="Y8">
        <v>9</v>
      </c>
      <c r="AA8" t="b">
        <f>small!T30</f>
        <v>1</v>
      </c>
      <c r="AB8" t="b">
        <f>small!U30</f>
        <v>1</v>
      </c>
      <c r="AC8" t="b">
        <f>small!V30</f>
        <v>0</v>
      </c>
    </row>
    <row r="9" spans="1:29" x14ac:dyDescent="0.2">
      <c r="A9" t="s">
        <v>77</v>
      </c>
      <c r="B9" t="s">
        <v>11</v>
      </c>
      <c r="C9" t="s">
        <v>80</v>
      </c>
      <c r="D9" cm="1">
        <f t="array" ref="D9">IF(ISBLANK(INDEX($P$2:$Y$60, MATCH(1, ($P$2:$P$60=$A9) * ($Q$2:$Q$60=$B9), 0), MATCH(D$3, $P$1:$Y$1, 0))), "-", INDEX($P$2:$Y$60, MATCH(1, ($P$2:$P$60=$A9) * ($Q$2:$Q$60=$B9), 0), MATCH(D$3, $P$1:$Y$1, 0)))</f>
        <v>9</v>
      </c>
      <c r="E9" cm="1">
        <f t="array" ref="E9">INDEX($P$2:$X$60, MATCH(1, ($P$2:$P$60=$A9) * ($Q$2:$Q$60=$B9), 0), MATCH(E$3, $P$1:$X$1, 0))</f>
        <v>31.093031</v>
      </c>
      <c r="F9" cm="1">
        <f t="array" ref="F9">INDEX($P$2:$X$60, MATCH(1, ($P$2:$P$60=$A9) * ($Q$2:$Q$60=$B9), 0), MATCH(F$3, $P$1:$X$1, 0))</f>
        <v>0.21196699999999999</v>
      </c>
      <c r="G9" cm="1">
        <f t="array" ref="G9">INDEX($P$2:$X$60, MATCH(1, ($P$2:$P$60=$A9) * ($Q$2:$Q$60=$B9), 0), MATCH(G$3, $P$1:$X$1, 0))</f>
        <v>4.0210999999999997E-2</v>
      </c>
      <c r="H9" cm="1">
        <f t="array" ref="H9">INDEX($P$2:$X$60, MATCH(1, ($P$2:$P$60=$A9) * ($Q$2:$Q$60=$B9), 0), MATCH(H$3, $P$1:$X$1, 0))</f>
        <v>3.9167E-2</v>
      </c>
      <c r="I9" cm="1">
        <f t="array" ref="I9">INDEX($P$2:$X$60, MATCH(1, ($P$2:$P$60=$A9) * ($Q$2:$Q$60=$B9), 0), MATCH(I$3, $P$1:$X$1, 0))</f>
        <v>5.2713685309989806</v>
      </c>
      <c r="J9" cm="1">
        <f t="array" ref="J9">INDEX($P$2:$X$60, MATCH(1, ($P$2:$P$60=$A9) * ($Q$2:$Q$60=$B9), 0), MATCH(J$3, $P$1:$X$1, 0))</f>
        <v>773.24689761508046</v>
      </c>
      <c r="K9" cm="1">
        <f t="array" ref="K9">INDEX($P$2:$X$60, MATCH(1, ($P$2:$P$60=$A9) * ($Q$2:$Q$60=$B9), 0), MATCH(K$3, $P$1:$X$1, 0))</f>
        <v>0.97403695506204779</v>
      </c>
      <c r="L9" t="b" cm="1">
        <f t="array" ref="L9">INDEX($AA$2:$AC$60, MATCH(1, ($P$2:$P$60=$A9) * ($Q$2:$Q$60=$B9), 0), MATCH(I$3, $AA$1:$AC$1, 0))</f>
        <v>1</v>
      </c>
      <c r="M9" t="b" cm="1">
        <f t="array" ref="M9">INDEX($AA$2:$AC$60, MATCH(1, ($P$2:$P$60=$A9) * ($Q$2:$Q$60=$B9), 0), MATCH(J$3, $AA$1:$AC$1, 0))</f>
        <v>1</v>
      </c>
      <c r="N9" t="b" cm="1">
        <f t="array" ref="N9">INDEX($AA$2:$AC$60, MATCH(1, ($P$2:$P$60=$A9) * ($Q$2:$Q$60=$B9), 0), MATCH(K$3, $AA$1:$AC$1, 0))</f>
        <v>0</v>
      </c>
      <c r="P9" t="s">
        <v>73</v>
      </c>
      <c r="Q9" t="s">
        <v>20</v>
      </c>
      <c r="R9">
        <f>small!M8</f>
        <v>9.8840000000000004E-3</v>
      </c>
      <c r="S9">
        <f>small!N8</f>
        <v>6.7365999999999995E-2</v>
      </c>
      <c r="T9">
        <f>small!O8</f>
        <v>2.3890000000000001E-3</v>
      </c>
      <c r="U9">
        <f>small!P8</f>
        <v>1.0655E-2</v>
      </c>
      <c r="V9">
        <f>small!Q8</f>
        <v>6.8156616754350461</v>
      </c>
      <c r="W9">
        <f>small!R8</f>
        <v>0.24170376365843788</v>
      </c>
      <c r="X9">
        <f>small!S8</f>
        <v>1.0780048563334681</v>
      </c>
      <c r="Y9">
        <v>3</v>
      </c>
      <c r="AA9" t="b">
        <f>small!T31</f>
        <v>1</v>
      </c>
      <c r="AB9" t="b">
        <f>small!U31</f>
        <v>0</v>
      </c>
      <c r="AC9" t="b">
        <f>small!V31</f>
        <v>0</v>
      </c>
    </row>
    <row r="10" spans="1:29" x14ac:dyDescent="0.2">
      <c r="A10" t="s">
        <v>73</v>
      </c>
      <c r="B10" t="s">
        <v>14</v>
      </c>
      <c r="C10" t="s">
        <v>74</v>
      </c>
      <c r="D10" cm="1">
        <f t="array" ref="D10">IF(ISBLANK(INDEX($P$2:$Y$60, MATCH(1, ($P$2:$P$60=$A10) * ($Q$2:$Q$60=$B10), 0), MATCH(D$3, $P$1:$Y$1, 0))), "", INDEX($P$2:$Y$60, MATCH(1, ($P$2:$P$60=$A10) * ($Q$2:$Q$60=$B10), 0), MATCH(D$3, $P$1:$Y$1, 0)))</f>
        <v>3</v>
      </c>
      <c r="E10" cm="1">
        <f t="array" ref="E10">INDEX($P$2:$X$60, MATCH(1, ($P$2:$P$60=$A10) * ($Q$2:$Q$60=$B10), 0), MATCH(E$3, $P$1:$X$1, 0))</f>
        <v>3.532E-3</v>
      </c>
      <c r="F10" cm="1">
        <f t="array" ref="F10">INDEX($P$2:$X$60, MATCH(1, ($P$2:$P$60=$A10) * ($Q$2:$Q$60=$B10), 0), MATCH(F$3, $P$1:$X$1, 0))</f>
        <v>4.1396000000000002E-2</v>
      </c>
      <c r="G10" cm="1">
        <f t="array" ref="G10">INDEX($P$2:$X$60, MATCH(1, ($P$2:$P$60=$A10) * ($Q$2:$Q$60=$B10), 0), MATCH(G$3, $P$1:$X$1, 0))</f>
        <v>1.3015000000000001E-2</v>
      </c>
      <c r="H10" cm="1">
        <f t="array" ref="H10">INDEX($P$2:$X$60, MATCH(1, ($P$2:$P$60=$A10) * ($Q$2:$Q$60=$B10), 0), MATCH(H$3, $P$1:$X$1, 0))</f>
        <v>9.861E-3</v>
      </c>
      <c r="I10" cm="1">
        <f t="array" ref="I10">INDEX($P$2:$X$60, MATCH(1, ($P$2:$P$60=$A10) * ($Q$2:$Q$60=$B10), 0), MATCH(I$3, $P$1:$X$1, 0))</f>
        <v>3.1806377257011142</v>
      </c>
      <c r="J10" cm="1">
        <f t="array" ref="J10">INDEX($P$2:$X$60, MATCH(1, ($P$2:$P$60=$A10) * ($Q$2:$Q$60=$B10), 0), MATCH(J$3, $P$1:$X$1, 0))</f>
        <v>0.27137917787168653</v>
      </c>
      <c r="K10" cm="1">
        <f t="array" ref="K10">INDEX($P$2:$X$60, MATCH(1, ($P$2:$P$60=$A10) * ($Q$2:$Q$60=$B10), 0), MATCH(K$3, $P$1:$X$1, 0))</f>
        <v>0.75766423357664225</v>
      </c>
      <c r="L10" t="b" cm="1">
        <f t="array" ref="L10">INDEX($AA$2:$AC$60, MATCH(1, ($P$2:$P$60=$A10) * ($Q$2:$Q$60=$B10), 0), MATCH(I$3, $AA$1:$AC$1, 0))</f>
        <v>1</v>
      </c>
      <c r="M10" t="b" cm="1">
        <f t="array" ref="M10">INDEX($AA$2:$AC$60, MATCH(1, ($P$2:$P$60=$A10) * ($Q$2:$Q$60=$B10), 0), MATCH(J$3, $AA$1:$AC$1, 0))</f>
        <v>1</v>
      </c>
      <c r="N10" t="b" cm="1">
        <f t="array" ref="N10">INDEX($AA$2:$AC$60, MATCH(1, ($P$2:$P$60=$A10) * ($Q$2:$Q$60=$B10), 0), MATCH(K$3, $AA$1:$AC$1, 0))</f>
        <v>0</v>
      </c>
      <c r="P10" t="s">
        <v>73</v>
      </c>
      <c r="Q10" t="s">
        <v>22</v>
      </c>
      <c r="R10">
        <f>small!M9</f>
        <v>2.6327E-2</v>
      </c>
      <c r="S10">
        <f>small!N9</f>
        <v>0.15540200000000001</v>
      </c>
      <c r="T10">
        <f>small!O9</f>
        <v>2.454E-3</v>
      </c>
      <c r="U10">
        <f>small!P9</f>
        <v>2.0951999999999998E-2</v>
      </c>
      <c r="V10">
        <f>small!Q9</f>
        <v>5.9027614236335326</v>
      </c>
      <c r="W10">
        <f>small!R9</f>
        <v>9.321229156379382E-2</v>
      </c>
      <c r="X10">
        <f>small!S9</f>
        <v>0.79583697344931059</v>
      </c>
      <c r="Y10">
        <v>5</v>
      </c>
      <c r="AA10" t="b">
        <f>small!T32</f>
        <v>1</v>
      </c>
      <c r="AB10" t="b">
        <f>small!U32</f>
        <v>1</v>
      </c>
      <c r="AC10" t="b">
        <f>small!V32</f>
        <v>0</v>
      </c>
    </row>
    <row r="11" spans="1:29" x14ac:dyDescent="0.2">
      <c r="A11" t="s">
        <v>75</v>
      </c>
      <c r="B11" t="s">
        <v>14</v>
      </c>
      <c r="C11" t="s">
        <v>81</v>
      </c>
      <c r="D11" cm="1">
        <f t="array" ref="D11">IF(ISBLANK(INDEX($P$2:$Y$60, MATCH(1, ($P$2:$P$60=$A11) * ($Q$2:$Q$60=$B11), 0), MATCH(D$3, $P$1:$Y$1, 0))), "-", INDEX($P$2:$Y$60, MATCH(1, ($P$2:$P$60=$A11) * ($Q$2:$Q$60=$B11), 0), MATCH(D$3, $P$1:$Y$1, 0)))</f>
        <v>3</v>
      </c>
      <c r="E11" cm="1">
        <f t="array" ref="E11">INDEX($P$2:$X$60, MATCH(1, ($P$2:$P$60=$A11) * ($Q$2:$Q$60=$B11), 0), MATCH(E$3, $P$1:$X$1, 0))</f>
        <v>19.845801999999999</v>
      </c>
      <c r="F11" cm="1">
        <f t="array" ref="F11">INDEX($P$2:$X$60, MATCH(1, ($P$2:$P$60=$A11) * ($Q$2:$Q$60=$B11), 0), MATCH(F$3, $P$1:$X$1, 0))</f>
        <v>0.18498500000000001</v>
      </c>
      <c r="G11" cm="1">
        <f t="array" ref="G11">INDEX($P$2:$X$60, MATCH(1, ($P$2:$P$60=$A11) * ($Q$2:$Q$60=$B11), 0), MATCH(G$3, $P$1:$X$1, 0))</f>
        <v>4.8621999999999999E-2</v>
      </c>
      <c r="H11" cm="1">
        <f t="array" ref="H11">INDEX($P$2:$X$60, MATCH(1, ($P$2:$P$60=$A11) * ($Q$2:$Q$60=$B11), 0), MATCH(H$3, $P$1:$X$1, 0))</f>
        <v>4.5088000000000003E-2</v>
      </c>
      <c r="I11" cm="1">
        <f t="array" ref="I11">INDEX($P$2:$X$60, MATCH(1, ($P$2:$P$60=$A11) * ($Q$2:$Q$60=$B11), 0), MATCH(I$3, $P$1:$X$1, 0))</f>
        <v>3.8045534943029908</v>
      </c>
      <c r="J11" cm="1">
        <f t="array" ref="J11">INDEX($P$2:$X$60, MATCH(1, ($P$2:$P$60=$A11) * ($Q$2:$Q$60=$B11), 0), MATCH(J$3, $P$1:$X$1, 0))</f>
        <v>408.16506931018881</v>
      </c>
      <c r="K11" cm="1">
        <f t="array" ref="K11">INDEX($P$2:$X$60, MATCH(1, ($P$2:$P$60=$A11) * ($Q$2:$Q$60=$B11), 0), MATCH(K$3, $P$1:$X$1, 0))</f>
        <v>0.92731685245362194</v>
      </c>
      <c r="L11" t="b" cm="1">
        <f t="array" ref="L11">INDEX($AA$2:$AC$60, MATCH(1, ($P$2:$P$60=$A11) * ($Q$2:$Q$60=$B11), 0), MATCH(I$3, $AA$1:$AC$1, 0))</f>
        <v>1</v>
      </c>
      <c r="M11" t="b" cm="1">
        <f t="array" ref="M11">INDEX($AA$2:$AC$60, MATCH(1, ($P$2:$P$60=$A11) * ($Q$2:$Q$60=$B11), 0), MATCH(J$3, $AA$1:$AC$1, 0))</f>
        <v>1</v>
      </c>
      <c r="N11" t="b" cm="1">
        <f t="array" ref="N11">INDEX($AA$2:$AC$60, MATCH(1, ($P$2:$P$60=$A11) * ($Q$2:$Q$60=$B11), 0), MATCH(K$3, $AA$1:$AC$1, 0))</f>
        <v>0</v>
      </c>
      <c r="P11" t="s">
        <v>73</v>
      </c>
      <c r="Q11" t="s">
        <v>58</v>
      </c>
      <c r="R11">
        <f>small!M10</f>
        <v>7.1630000000000001E-3</v>
      </c>
      <c r="S11">
        <f>small!N10</f>
        <v>4.5449000000000003E-2</v>
      </c>
      <c r="T11">
        <f>small!O10</f>
        <v>2.0929999999999998E-3</v>
      </c>
      <c r="U11">
        <f>small!P10</f>
        <v>4.6569999999999997E-3</v>
      </c>
      <c r="V11">
        <f>small!Q10</f>
        <v>6.3449671925171023</v>
      </c>
      <c r="W11">
        <f>small!R10</f>
        <v>0.2921960072595281</v>
      </c>
      <c r="X11">
        <f>small!S10</f>
        <v>0.65014658662571545</v>
      </c>
      <c r="Y11">
        <v>3</v>
      </c>
      <c r="AA11" t="b">
        <f>small!T33</f>
        <v>1</v>
      </c>
      <c r="AB11" t="b">
        <f>small!U33</f>
        <v>0</v>
      </c>
      <c r="AC11" t="b">
        <f>small!V33</f>
        <v>0</v>
      </c>
    </row>
    <row r="12" spans="1:29" x14ac:dyDescent="0.2">
      <c r="A12" t="s">
        <v>77</v>
      </c>
      <c r="B12" t="s">
        <v>14</v>
      </c>
      <c r="C12" t="s">
        <v>82</v>
      </c>
      <c r="D12" cm="1">
        <f t="array" ref="D12">IF(ISBLANK(INDEX($P$2:$Y$60, MATCH(1, ($P$2:$P$60=$A12) * ($Q$2:$Q$60=$B12), 0), MATCH(D$3, $P$1:$Y$1, 0))), "-", INDEX($P$2:$Y$60, MATCH(1, ($P$2:$P$60=$A12) * ($Q$2:$Q$60=$B12), 0), MATCH(D$3, $P$1:$Y$1, 0)))</f>
        <v>4</v>
      </c>
      <c r="E12" t="e" cm="1">
        <f t="array" ref="E12">INDEX($P$2:$X$60, MATCH(1, ($P$2:$P$60=$A12) * ($Q$2:$Q$60=$B12), 0), MATCH(E$3, $P$1:$X$1, 0))</f>
        <v>#N/A</v>
      </c>
      <c r="F12" cm="1">
        <f t="array" ref="F12">INDEX($P$2:$X$60, MATCH(1, ($P$2:$P$60=$A12) * ($Q$2:$Q$60=$B12), 0), MATCH(F$3, $P$1:$X$1, 0))</f>
        <v>0.66326399999999996</v>
      </c>
      <c r="G12" cm="1">
        <f t="array" ref="G12">INDEX($P$2:$X$60, MATCH(1, ($P$2:$P$60=$A12) * ($Q$2:$Q$60=$B12), 0), MATCH(G$3, $P$1:$X$1, 0))</f>
        <v>0.173898</v>
      </c>
      <c r="H12" cm="1">
        <f t="array" ref="H12">INDEX($P$2:$X$60, MATCH(1, ($P$2:$P$60=$A12) * ($Q$2:$Q$60=$B12), 0), MATCH(H$3, $P$1:$X$1, 0))</f>
        <v>0.178314</v>
      </c>
      <c r="I12" cm="1">
        <f t="array" ref="I12">INDEX($P$2:$X$60, MATCH(1, ($P$2:$P$60=$A12) * ($Q$2:$Q$60=$B12), 0), MATCH(I$3, $P$1:$X$1, 0))</f>
        <v>3.8140979194700342</v>
      </c>
      <c r="J12" t="str" cm="1">
        <f t="array" ref="J12">INDEX($P$2:$X$60, MATCH(1, ($P$2:$P$60=$A12) * ($Q$2:$Q$60=$B12), 0), MATCH(J$3, $P$1:$X$1, 0))</f>
        <v>DNF</v>
      </c>
      <c r="K12" cm="1">
        <f t="array" ref="K12">INDEX($P$2:$X$60, MATCH(1, ($P$2:$P$60=$A12) * ($Q$2:$Q$60=$B12), 0), MATCH(K$3, $P$1:$X$1, 0))</f>
        <v>1.0253941965980058</v>
      </c>
      <c r="L12" t="b" cm="1">
        <f t="array" ref="L12">INDEX($AA$2:$AC$60, MATCH(1, ($P$2:$P$60=$A12) * ($Q$2:$Q$60=$B12), 0), MATCH(I$3, $AA$1:$AC$1, 0))</f>
        <v>1</v>
      </c>
      <c r="M12" t="b" cm="1">
        <f t="array" ref="M12">INDEX($AA$2:$AC$60, MATCH(1, ($P$2:$P$60=$A12) * ($Q$2:$Q$60=$B12), 0), MATCH(J$3, $AA$1:$AC$1, 0))</f>
        <v>1</v>
      </c>
      <c r="N12" t="b" cm="1">
        <f t="array" ref="N12">INDEX($AA$2:$AC$60, MATCH(1, ($P$2:$P$60=$A12) * ($Q$2:$Q$60=$B12), 0), MATCH(K$3, $AA$1:$AC$1, 0))</f>
        <v>0</v>
      </c>
      <c r="P12" t="s">
        <v>73</v>
      </c>
      <c r="Q12" t="s">
        <v>25</v>
      </c>
      <c r="R12">
        <f>small!M11</f>
        <v>1.1209999999999999E-2</v>
      </c>
      <c r="S12">
        <f>small!N11</f>
        <v>0.29497800000000002</v>
      </c>
      <c r="T12">
        <f>small!O11</f>
        <v>2.4810000000000001E-3</v>
      </c>
      <c r="U12">
        <f>small!P11</f>
        <v>9.5390000000000006E-3</v>
      </c>
      <c r="V12">
        <f>small!Q11</f>
        <v>26.313826940231937</v>
      </c>
      <c r="W12">
        <f>small!R11</f>
        <v>0.22132024977698486</v>
      </c>
      <c r="X12">
        <f>small!S11</f>
        <v>0.85093666369313126</v>
      </c>
      <c r="Y12">
        <v>17</v>
      </c>
      <c r="AA12" t="b">
        <f>small!T34</f>
        <v>1</v>
      </c>
      <c r="AB12" t="b">
        <f>small!U34</f>
        <v>0</v>
      </c>
      <c r="AC12" t="b">
        <f>small!V34</f>
        <v>0</v>
      </c>
    </row>
    <row r="13" spans="1:29" x14ac:dyDescent="0.2">
      <c r="A13" t="s">
        <v>73</v>
      </c>
      <c r="B13" t="s">
        <v>16</v>
      </c>
      <c r="C13" t="s">
        <v>74</v>
      </c>
      <c r="D13" cm="1">
        <f t="array" ref="D13">IF(ISBLANK(INDEX($P$2:$Y$60, MATCH(1, ($P$2:$P$60=$A13) * ($Q$2:$Q$60=$B13), 0), MATCH(D$3, $P$1:$Y$1, 0))), "", INDEX($P$2:$Y$60, MATCH(1, ($P$2:$P$60=$A13) * ($Q$2:$Q$60=$B13), 0), MATCH(D$3, $P$1:$Y$1, 0)))</f>
        <v>2</v>
      </c>
      <c r="E13" cm="1">
        <f t="array" ref="E13">INDEX($P$2:$X$60, MATCH(1, ($P$2:$P$60=$A13) * ($Q$2:$Q$60=$B13), 0), MATCH(E$3, $P$1:$X$1, 0))</f>
        <v>1.8079999999999999E-3</v>
      </c>
      <c r="F13" cm="1">
        <f t="array" ref="F13">INDEX($P$2:$X$60, MATCH(1, ($P$2:$P$60=$A13) * ($Q$2:$Q$60=$B13), 0), MATCH(F$3, $P$1:$X$1, 0))</f>
        <v>3.7509000000000001E-2</v>
      </c>
      <c r="G13" cm="1">
        <f t="array" ref="G13">INDEX($P$2:$X$60, MATCH(1, ($P$2:$P$60=$A13) * ($Q$2:$Q$60=$B13), 0), MATCH(G$3, $P$1:$X$1, 0))</f>
        <v>8.6029999999999995E-3</v>
      </c>
      <c r="H13" cm="1">
        <f t="array" ref="H13">INDEX($P$2:$X$60, MATCH(1, ($P$2:$P$60=$A13) * ($Q$2:$Q$60=$B13), 0), MATCH(H$3, $P$1:$X$1, 0))</f>
        <v>8.5369999999999994E-3</v>
      </c>
      <c r="I13" cm="1">
        <f t="array" ref="I13">INDEX($P$2:$X$60, MATCH(1, ($P$2:$P$60=$A13) * ($Q$2:$Q$60=$B13), 0), MATCH(I$3, $P$1:$X$1, 0))</f>
        <v>4.359990700918285</v>
      </c>
      <c r="J13" cm="1">
        <f t="array" ref="J13">INDEX($P$2:$X$60, MATCH(1, ($P$2:$P$60=$A13) * ($Q$2:$Q$60=$B13), 0), MATCH(J$3, $P$1:$X$1, 0))</f>
        <v>0.21015924677438103</v>
      </c>
      <c r="K13" cm="1">
        <f t="array" ref="K13">INDEX($P$2:$X$60, MATCH(1, ($P$2:$P$60=$A13) * ($Q$2:$Q$60=$B13), 0), MATCH(K$3, $P$1:$X$1, 0))</f>
        <v>0.99232825758456356</v>
      </c>
      <c r="L13" t="b" cm="1">
        <f t="array" ref="L13">INDEX($AA$2:$AC$60, MATCH(1, ($P$2:$P$60=$A13) * ($Q$2:$Q$60=$B13), 0), MATCH(I$3, $AA$1:$AC$1, 0))</f>
        <v>1</v>
      </c>
      <c r="M13" t="b" cm="1">
        <f t="array" ref="M13">INDEX($AA$2:$AC$60, MATCH(1, ($P$2:$P$60=$A13) * ($Q$2:$Q$60=$B13), 0), MATCH(J$3, $AA$1:$AC$1, 0))</f>
        <v>0</v>
      </c>
      <c r="N13" t="b" cm="1">
        <f t="array" ref="N13">INDEX($AA$2:$AC$60, MATCH(1, ($P$2:$P$60=$A13) * ($Q$2:$Q$60=$B13), 0), MATCH(K$3, $AA$1:$AC$1, 0))</f>
        <v>0</v>
      </c>
      <c r="P13" t="s">
        <v>73</v>
      </c>
      <c r="Q13" t="s">
        <v>27</v>
      </c>
      <c r="R13">
        <f>small!M12</f>
        <v>1.7599E-2</v>
      </c>
      <c r="S13">
        <f>small!N12</f>
        <v>7.1494000000000002E-2</v>
      </c>
      <c r="T13">
        <f>small!O12</f>
        <v>2.1250000000000002E-3</v>
      </c>
      <c r="U13">
        <f>small!P12</f>
        <v>1.2775999999999999E-2</v>
      </c>
      <c r="V13">
        <f>small!Q12</f>
        <v>4.0623899085175292</v>
      </c>
      <c r="W13">
        <f>small!R12</f>
        <v>0.12074549690323315</v>
      </c>
      <c r="X13">
        <f>small!S12</f>
        <v>0.72595033808739129</v>
      </c>
      <c r="Y13">
        <v>3</v>
      </c>
      <c r="AA13" t="b">
        <f>small!T35</f>
        <v>1</v>
      </c>
      <c r="AB13" t="b">
        <f>small!U35</f>
        <v>1</v>
      </c>
      <c r="AC13" t="b">
        <f>small!V35</f>
        <v>0</v>
      </c>
    </row>
    <row r="14" spans="1:29" x14ac:dyDescent="0.2">
      <c r="A14" t="s">
        <v>75</v>
      </c>
      <c r="B14" t="s">
        <v>16</v>
      </c>
      <c r="C14" t="s">
        <v>83</v>
      </c>
      <c r="D14" cm="1">
        <f t="array" ref="D14">IF(ISBLANK(INDEX($P$2:$Y$60, MATCH(1, ($P$2:$P$60=$A14) * ($Q$2:$Q$60=$B14), 0), MATCH(D$3, $P$1:$Y$1, 0))), "-", INDEX($P$2:$Y$60, MATCH(1, ($P$2:$P$60=$A14) * ($Q$2:$Q$60=$B14), 0), MATCH(D$3, $P$1:$Y$1, 0)))</f>
        <v>5</v>
      </c>
      <c r="E14" cm="1">
        <f t="array" ref="E14">INDEX($P$2:$X$60, MATCH(1, ($P$2:$P$60=$A14) * ($Q$2:$Q$60=$B14), 0), MATCH(E$3, $P$1:$X$1, 0))</f>
        <v>136.25333699999999</v>
      </c>
      <c r="F14" cm="1">
        <f t="array" ref="F14">INDEX($P$2:$X$60, MATCH(1, ($P$2:$P$60=$A14) * ($Q$2:$Q$60=$B14), 0), MATCH(F$3, $P$1:$X$1, 0))</f>
        <v>0.56551700000000005</v>
      </c>
      <c r="G14" cm="1">
        <f t="array" ref="G14">INDEX($P$2:$X$60, MATCH(1, ($P$2:$P$60=$A14) * ($Q$2:$Q$60=$B14), 0), MATCH(G$3, $P$1:$X$1, 0))</f>
        <v>8.8409000000000001E-2</v>
      </c>
      <c r="H14" cm="1">
        <f t="array" ref="H14">INDEX($P$2:$X$60, MATCH(1, ($P$2:$P$60=$A14) * ($Q$2:$Q$60=$B14), 0), MATCH(H$3, $P$1:$X$1, 0))</f>
        <v>8.9752999999999999E-2</v>
      </c>
      <c r="I14" cm="1">
        <f t="array" ref="I14">INDEX($P$2:$X$60, MATCH(1, ($P$2:$P$60=$A14) * ($Q$2:$Q$60=$B14), 0), MATCH(I$3, $P$1:$X$1, 0))</f>
        <v>6.396599893675984</v>
      </c>
      <c r="J14" cm="1">
        <f t="array" ref="J14">INDEX($P$2:$X$60, MATCH(1, ($P$2:$P$60=$A14) * ($Q$2:$Q$60=$B14), 0), MATCH(J$3, $P$1:$X$1, 0))</f>
        <v>1541.1704351366941</v>
      </c>
      <c r="K14" cm="1">
        <f t="array" ref="K14">INDEX($P$2:$X$60, MATCH(1, ($P$2:$P$60=$A14) * ($Q$2:$Q$60=$B14), 0), MATCH(K$3, $P$1:$X$1, 0))</f>
        <v>1.0152020721872208</v>
      </c>
      <c r="L14" t="b" cm="1">
        <f t="array" ref="L14">INDEX($AA$2:$AC$60, MATCH(1, ($P$2:$P$60=$A14) * ($Q$2:$Q$60=$B14), 0), MATCH(I$3, $AA$1:$AC$1, 0))</f>
        <v>1</v>
      </c>
      <c r="M14" t="b" cm="1">
        <f t="array" ref="M14">INDEX($AA$2:$AC$60, MATCH(1, ($P$2:$P$60=$A14) * ($Q$2:$Q$60=$B14), 0), MATCH(J$3, $AA$1:$AC$1, 0))</f>
        <v>1</v>
      </c>
      <c r="N14" t="b" cm="1">
        <f t="array" ref="N14">INDEX($AA$2:$AC$60, MATCH(1, ($P$2:$P$60=$A14) * ($Q$2:$Q$60=$B14), 0), MATCH(K$3, $AA$1:$AC$1, 0))</f>
        <v>0</v>
      </c>
      <c r="P14" t="s">
        <v>73</v>
      </c>
      <c r="Q14" t="s">
        <v>29</v>
      </c>
      <c r="R14">
        <f>small!M13</f>
        <v>6.8830000000000002E-3</v>
      </c>
      <c r="S14">
        <f>small!N13</f>
        <v>3.7434000000000002E-2</v>
      </c>
      <c r="T14">
        <f>small!O13</f>
        <v>2.1800000000000001E-3</v>
      </c>
      <c r="U14">
        <f>small!P13</f>
        <v>5.8710000000000004E-3</v>
      </c>
      <c r="V14">
        <f>small!Q13</f>
        <v>5.4386168821734708</v>
      </c>
      <c r="W14">
        <f>small!R13</f>
        <v>0.31672235943629229</v>
      </c>
      <c r="X14">
        <f>small!S13</f>
        <v>0.85297108818829004</v>
      </c>
      <c r="Y14">
        <v>2</v>
      </c>
      <c r="AA14" t="b">
        <f>small!T36</f>
        <v>1</v>
      </c>
      <c r="AB14" t="b">
        <f>small!U36</f>
        <v>0</v>
      </c>
      <c r="AC14" t="b">
        <f>small!V36</f>
        <v>0</v>
      </c>
    </row>
    <row r="15" spans="1:29" x14ac:dyDescent="0.2">
      <c r="A15" t="s">
        <v>77</v>
      </c>
      <c r="B15" t="s">
        <v>16</v>
      </c>
      <c r="C15" t="s">
        <v>84</v>
      </c>
      <c r="D15" cm="1">
        <f t="array" ref="D15">IF(ISBLANK(INDEX($P$2:$Y$60, MATCH(1, ($P$2:$P$60=$A15) * ($Q$2:$Q$60=$B15), 0), MATCH(D$3, $P$1:$Y$1, 0))), "-", INDEX($P$2:$Y$60, MATCH(1, ($P$2:$P$60=$A15) * ($Q$2:$Q$60=$B15), 0), MATCH(D$3, $P$1:$Y$1, 0)))</f>
        <v>22</v>
      </c>
      <c r="E15" t="e" cm="1">
        <f t="array" ref="E15">INDEX($P$2:$X$60, MATCH(1, ($P$2:$P$60=$A15) * ($Q$2:$Q$60=$B15), 0), MATCH(E$3, $P$1:$X$1, 0))</f>
        <v>#N/A</v>
      </c>
      <c r="F15" cm="1">
        <f t="array" ref="F15">INDEX($P$2:$X$60, MATCH(1, ($P$2:$P$60=$A15) * ($Q$2:$Q$60=$B15), 0), MATCH(F$3, $P$1:$X$1, 0))</f>
        <v>13.981866</v>
      </c>
      <c r="G15" cm="1">
        <f t="array" ref="G15">INDEX($P$2:$X$60, MATCH(1, ($P$2:$P$60=$A15) * ($Q$2:$Q$60=$B15), 0), MATCH(G$3, $P$1:$X$1, 0))</f>
        <v>2.044222</v>
      </c>
      <c r="H15" cm="1">
        <f t="array" ref="H15">INDEX($P$2:$X$60, MATCH(1, ($P$2:$P$60=$A15) * ($Q$2:$Q$60=$B15), 0), MATCH(H$3, $P$1:$X$1, 0))</f>
        <v>2.0521919999999998</v>
      </c>
      <c r="I15" cm="1">
        <f t="array" ref="I15">INDEX($P$2:$X$60, MATCH(1, ($P$2:$P$60=$A15) * ($Q$2:$Q$60=$B15), 0), MATCH(I$3, $P$1:$X$1, 0))</f>
        <v>6.8397003847918674</v>
      </c>
      <c r="J15" t="str" cm="1">
        <f t="array" ref="J15">INDEX($P$2:$X$60, MATCH(1, ($P$2:$P$60=$A15) * ($Q$2:$Q$60=$B15), 0), MATCH(J$3, $P$1:$X$1, 0))</f>
        <v>DNF</v>
      </c>
      <c r="K15" cm="1">
        <f t="array" ref="K15">INDEX($P$2:$X$60, MATCH(1, ($P$2:$P$60=$A15) * ($Q$2:$Q$60=$B15), 0), MATCH(K$3, $P$1:$X$1, 0))</f>
        <v>1.0038987937709309</v>
      </c>
      <c r="L15" t="b" cm="1">
        <f t="array" ref="L15">INDEX($AA$2:$AC$60, MATCH(1, ($P$2:$P$60=$A15) * ($Q$2:$Q$60=$B15), 0), MATCH(I$3, $AA$1:$AC$1, 0))</f>
        <v>1</v>
      </c>
      <c r="M15" t="b" cm="1">
        <f t="array" ref="M15">INDEX($AA$2:$AC$60, MATCH(1, ($P$2:$P$60=$A15) * ($Q$2:$Q$60=$B15), 0), MATCH(J$3, $AA$1:$AC$1, 0))</f>
        <v>1</v>
      </c>
      <c r="N15" t="b" cm="1">
        <f t="array" ref="N15">INDEX($AA$2:$AC$60, MATCH(1, ($P$2:$P$60=$A15) * ($Q$2:$Q$60=$B15), 0), MATCH(K$3, $AA$1:$AC$1, 0))</f>
        <v>0</v>
      </c>
      <c r="P15" t="s">
        <v>73</v>
      </c>
      <c r="Q15" t="s">
        <v>31</v>
      </c>
      <c r="R15">
        <f>small!M14</f>
        <v>8.8889999999999993E-3</v>
      </c>
      <c r="S15">
        <f>small!N14</f>
        <v>7.4177999999999994E-2</v>
      </c>
      <c r="T15">
        <f>small!O14</f>
        <v>3.4740000000000001E-3</v>
      </c>
      <c r="U15">
        <f>small!P14</f>
        <v>5.9810000000000002E-3</v>
      </c>
      <c r="V15">
        <f>small!Q14</f>
        <v>8.3449206884913938</v>
      </c>
      <c r="W15">
        <f>small!R14</f>
        <v>0.39082011474856571</v>
      </c>
      <c r="X15">
        <f>small!S14</f>
        <v>0.67285408932388358</v>
      </c>
      <c r="Y15">
        <v>5</v>
      </c>
      <c r="AA15" t="b">
        <f>small!T37</f>
        <v>1</v>
      </c>
      <c r="AB15" t="b">
        <f>small!U37</f>
        <v>0</v>
      </c>
      <c r="AC15" t="b">
        <f>small!V37</f>
        <v>0</v>
      </c>
    </row>
    <row r="16" spans="1:29" x14ac:dyDescent="0.2">
      <c r="A16" t="s">
        <v>73</v>
      </c>
      <c r="B16" t="s">
        <v>18</v>
      </c>
      <c r="C16" t="s">
        <v>79</v>
      </c>
      <c r="D16" cm="1">
        <f t="array" ref="D16">IF(ISBLANK(INDEX($P$2:$Y$60, MATCH(1, ($P$2:$P$60=$A16) * ($Q$2:$Q$60=$B16), 0), MATCH(D$3, $P$1:$Y$1, 0))), "", INDEX($P$2:$Y$60, MATCH(1, ($P$2:$P$60=$A16) * ($Q$2:$Q$60=$B16), 0), MATCH(D$3, $P$1:$Y$1, 0)))</f>
        <v>9</v>
      </c>
      <c r="E16" cm="1">
        <f t="array" ref="E16">INDEX($P$2:$X$60, MATCH(1, ($P$2:$P$60=$A16) * ($Q$2:$Q$60=$B16), 0), MATCH(E$3, $P$1:$X$1, 0))</f>
        <v>5.9589999999999999E-3</v>
      </c>
      <c r="F16" cm="1">
        <f t="array" ref="F16">INDEX($P$2:$X$60, MATCH(1, ($P$2:$P$60=$A16) * ($Q$2:$Q$60=$B16), 0), MATCH(F$3, $P$1:$X$1, 0))</f>
        <v>0.36768899999999999</v>
      </c>
      <c r="G16" cm="1">
        <f t="array" ref="G16">INDEX($P$2:$X$60, MATCH(1, ($P$2:$P$60=$A16) * ($Q$2:$Q$60=$B16), 0), MATCH(G$3, $P$1:$X$1, 0))</f>
        <v>3.0929000000000002E-2</v>
      </c>
      <c r="H16" cm="1">
        <f t="array" ref="H16">INDEX($P$2:$X$60, MATCH(1, ($P$2:$P$60=$A16) * ($Q$2:$Q$60=$B16), 0), MATCH(H$3, $P$1:$X$1, 0))</f>
        <v>2.8028000000000001E-2</v>
      </c>
      <c r="I16" cm="1">
        <f t="array" ref="I16">INDEX($P$2:$X$60, MATCH(1, ($P$2:$P$60=$A16) * ($Q$2:$Q$60=$B16), 0), MATCH(I$3, $P$1:$X$1, 0))</f>
        <v>11.888163212518995</v>
      </c>
      <c r="J16" cm="1">
        <f t="array" ref="J16">INDEX($P$2:$X$60, MATCH(1, ($P$2:$P$60=$A16) * ($Q$2:$Q$60=$B16), 0), MATCH(J$3, $P$1:$X$1, 0))</f>
        <v>0.19266707620679618</v>
      </c>
      <c r="K16" cm="1">
        <f t="array" ref="K16">INDEX($P$2:$X$60, MATCH(1, ($P$2:$P$60=$A16) * ($Q$2:$Q$60=$B16), 0), MATCH(K$3, $P$1:$X$1, 0))</f>
        <v>0.90620453296259174</v>
      </c>
      <c r="L16" t="b" cm="1">
        <f t="array" ref="L16">INDEX($AA$2:$AC$60, MATCH(1, ($P$2:$P$60=$A16) * ($Q$2:$Q$60=$B16), 0), MATCH(I$3, $AA$1:$AC$1, 0))</f>
        <v>1</v>
      </c>
      <c r="M16" t="b" cm="1">
        <f t="array" ref="M16">INDEX($AA$2:$AC$60, MATCH(1, ($P$2:$P$60=$A16) * ($Q$2:$Q$60=$B16), 0), MATCH(J$3, $AA$1:$AC$1, 0))</f>
        <v>1</v>
      </c>
      <c r="N16" t="b" cm="1">
        <f t="array" ref="N16">INDEX($AA$2:$AC$60, MATCH(1, ($P$2:$P$60=$A16) * ($Q$2:$Q$60=$B16), 0), MATCH(K$3, $AA$1:$AC$1, 0))</f>
        <v>0</v>
      </c>
      <c r="P16" t="s">
        <v>73</v>
      </c>
      <c r="Q16" t="s">
        <v>33</v>
      </c>
      <c r="R16">
        <f>small!M15</f>
        <v>1.4056000000000001E-2</v>
      </c>
      <c r="S16">
        <f>small!N15</f>
        <v>7.8541E-2</v>
      </c>
      <c r="T16">
        <f>small!O15</f>
        <v>2.1029999999999998E-3</v>
      </c>
      <c r="U16">
        <f>small!P15</f>
        <v>1.4345999999999999E-2</v>
      </c>
      <c r="V16">
        <f>small!Q15</f>
        <v>5.587720546385885</v>
      </c>
      <c r="W16">
        <f>small!R15</f>
        <v>0.14961582242458735</v>
      </c>
      <c r="X16">
        <f>small!S15</f>
        <v>1.0206317586795672</v>
      </c>
      <c r="Y16">
        <v>3</v>
      </c>
      <c r="AA16" t="b">
        <f>small!T38</f>
        <v>1</v>
      </c>
      <c r="AB16" t="b">
        <f>small!U38</f>
        <v>1</v>
      </c>
      <c r="AC16" t="b">
        <f>small!V38</f>
        <v>0</v>
      </c>
    </row>
    <row r="17" spans="1:29" x14ac:dyDescent="0.2">
      <c r="A17" t="s">
        <v>75</v>
      </c>
      <c r="B17" t="s">
        <v>18</v>
      </c>
      <c r="C17" t="s">
        <v>85</v>
      </c>
      <c r="D17" cm="1">
        <f t="array" ref="D17">IF(ISBLANK(INDEX($P$2:$Y$60, MATCH(1, ($P$2:$P$60=$A17) * ($Q$2:$Q$60=$B17), 0), MATCH(D$3, $P$1:$Y$1, 0))), "-", INDEX($P$2:$Y$60, MATCH(1, ($P$2:$P$60=$A17) * ($Q$2:$Q$60=$B17), 0), MATCH(D$3, $P$1:$Y$1, 0)))</f>
        <v>1</v>
      </c>
      <c r="E17" t="e" cm="1">
        <f t="array" ref="E17">INDEX($P$2:$X$60, MATCH(1, ($P$2:$P$60=$A17) * ($Q$2:$Q$60=$B17), 0), MATCH(E$3, $P$1:$X$1, 0))</f>
        <v>#N/A</v>
      </c>
      <c r="F17" cm="1">
        <f t="array" ref="F17">INDEX($P$2:$X$60, MATCH(1, ($P$2:$P$60=$A17) * ($Q$2:$Q$60=$B17), 0), MATCH(F$3, $P$1:$X$1, 0))</f>
        <v>7.0541000000000006E-2</v>
      </c>
      <c r="G17" cm="1">
        <f t="array" ref="G17">INDEX($P$2:$X$60, MATCH(1, ($P$2:$P$60=$A17) * ($Q$2:$Q$60=$B17), 0), MATCH(G$3, $P$1:$X$1, 0))</f>
        <v>2.3695000000000001E-2</v>
      </c>
      <c r="H17" cm="1">
        <f t="array" ref="H17">INDEX($P$2:$X$60, MATCH(1, ($P$2:$P$60=$A17) * ($Q$2:$Q$60=$B17), 0), MATCH(H$3, $P$1:$X$1, 0))</f>
        <v>1.8036E-2</v>
      </c>
      <c r="I17" cm="1">
        <f t="array" ref="I17">INDEX($P$2:$X$60, MATCH(1, ($P$2:$P$60=$A17) * ($Q$2:$Q$60=$B17), 0), MATCH(I$3, $P$1:$X$1, 0))</f>
        <v>2.9770415699514667</v>
      </c>
      <c r="J17" t="str" cm="1">
        <f t="array" ref="J17">INDEX($P$2:$X$60, MATCH(1, ($P$2:$P$60=$A17) * ($Q$2:$Q$60=$B17), 0), MATCH(J$3, $P$1:$X$1, 0))</f>
        <v>DNF</v>
      </c>
      <c r="K17" cm="1">
        <f t="array" ref="K17">INDEX($P$2:$X$60, MATCH(1, ($P$2:$P$60=$A17) * ($Q$2:$Q$60=$B17), 0), MATCH(K$3, $P$1:$X$1, 0))</f>
        <v>0.76117324330027425</v>
      </c>
      <c r="L17" t="b" cm="1">
        <f t="array" ref="L17">INDEX($AA$2:$AC$60, MATCH(1, ($P$2:$P$60=$A17) * ($Q$2:$Q$60=$B17), 0), MATCH(I$3, $AA$1:$AC$1, 0))</f>
        <v>1</v>
      </c>
      <c r="M17" t="b" cm="1">
        <f t="array" ref="M17">INDEX($AA$2:$AC$60, MATCH(1, ($P$2:$P$60=$A17) * ($Q$2:$Q$60=$B17), 0), MATCH(J$3, $AA$1:$AC$1, 0))</f>
        <v>1</v>
      </c>
      <c r="N17" t="b" cm="1">
        <f t="array" ref="N17">INDEX($AA$2:$AC$60, MATCH(1, ($P$2:$P$60=$A17) * ($Q$2:$Q$60=$B17), 0), MATCH(K$3, $AA$1:$AC$1, 0))</f>
        <v>0</v>
      </c>
      <c r="P17" t="s">
        <v>73</v>
      </c>
      <c r="Q17" t="s">
        <v>35</v>
      </c>
      <c r="R17">
        <f>small!M16</f>
        <v>1.1984E-2</v>
      </c>
      <c r="S17">
        <f>small!N16</f>
        <v>6.3945000000000002E-2</v>
      </c>
      <c r="T17">
        <f>small!O16</f>
        <v>2.287E-3</v>
      </c>
      <c r="U17">
        <f>small!P16</f>
        <v>8.4650000000000003E-3</v>
      </c>
      <c r="V17">
        <f>small!Q16</f>
        <v>5.3358644859813085</v>
      </c>
      <c r="W17">
        <f>small!R16</f>
        <v>0.1908377837116155</v>
      </c>
      <c r="X17">
        <f>small!S16</f>
        <v>0.70635847797062756</v>
      </c>
      <c r="Y17">
        <v>5</v>
      </c>
      <c r="AA17" t="b">
        <f>small!T39</f>
        <v>1</v>
      </c>
      <c r="AB17" t="b">
        <f>small!U39</f>
        <v>1</v>
      </c>
      <c r="AC17" t="b">
        <f>small!V39</f>
        <v>0</v>
      </c>
    </row>
    <row r="18" spans="1:29" x14ac:dyDescent="0.2">
      <c r="A18" t="s">
        <v>77</v>
      </c>
      <c r="B18" t="s">
        <v>18</v>
      </c>
      <c r="C18" t="s">
        <v>86</v>
      </c>
      <c r="D18" cm="1">
        <f t="array" ref="D18">IF(ISBLANK(INDEX($P$2:$Y$60, MATCH(1, ($P$2:$P$60=$A18) * ($Q$2:$Q$60=$B18), 0), MATCH(D$3, $P$1:$Y$1, 0))), "-", INDEX($P$2:$Y$60, MATCH(1, ($P$2:$P$60=$A18) * ($Q$2:$Q$60=$B18), 0), MATCH(D$3, $P$1:$Y$1, 0)))</f>
        <v>1</v>
      </c>
      <c r="E18" t="e" cm="1">
        <f t="array" ref="E18">INDEX($P$2:$X$60, MATCH(1, ($P$2:$P$60=$A18) * ($Q$2:$Q$60=$B18), 0), MATCH(E$3, $P$1:$X$1, 0))</f>
        <v>#N/A</v>
      </c>
      <c r="F18" cm="1">
        <f t="array" ref="F18">INDEX($P$2:$X$60, MATCH(1, ($P$2:$P$60=$A18) * ($Q$2:$Q$60=$B18), 0), MATCH(F$3, $P$1:$X$1, 0))</f>
        <v>6.2295000000000003E-2</v>
      </c>
      <c r="G18" cm="1">
        <f t="array" ref="G18">INDEX($P$2:$X$60, MATCH(1, ($P$2:$P$60=$A18) * ($Q$2:$Q$60=$B18), 0), MATCH(G$3, $P$1:$X$1, 0))</f>
        <v>2.5248E-2</v>
      </c>
      <c r="H18" cm="1">
        <f t="array" ref="H18">INDEX($P$2:$X$60, MATCH(1, ($P$2:$P$60=$A18) * ($Q$2:$Q$60=$B18), 0), MATCH(H$3, $P$1:$X$1, 0))</f>
        <v>1.9688000000000001E-2</v>
      </c>
      <c r="I18" cm="1">
        <f t="array" ref="I18">INDEX($P$2:$X$60, MATCH(1, ($P$2:$P$60=$A18) * ($Q$2:$Q$60=$B18), 0), MATCH(I$3, $P$1:$X$1, 0))</f>
        <v>2.467324144486692</v>
      </c>
      <c r="J18" t="str" cm="1">
        <f t="array" ref="J18">INDEX($P$2:$X$60, MATCH(1, ($P$2:$P$60=$A18) * ($Q$2:$Q$60=$B18), 0), MATCH(J$3, $P$1:$X$1, 0))</f>
        <v>DNF</v>
      </c>
      <c r="K18" cm="1">
        <f t="array" ref="K18">INDEX($P$2:$X$60, MATCH(1, ($P$2:$P$60=$A18) * ($Q$2:$Q$60=$B18), 0), MATCH(K$3, $P$1:$X$1, 0))</f>
        <v>0.77978453738910014</v>
      </c>
      <c r="L18" t="b" cm="1">
        <f t="array" ref="L18">INDEX($AA$2:$AC$60, MATCH(1, ($P$2:$P$60=$A18) * ($Q$2:$Q$60=$B18), 0), MATCH(I$3, $AA$1:$AC$1, 0))</f>
        <v>1</v>
      </c>
      <c r="M18" t="b" cm="1">
        <f t="array" ref="M18">INDEX($AA$2:$AC$60, MATCH(1, ($P$2:$P$60=$A18) * ($Q$2:$Q$60=$B18), 0), MATCH(J$3, $AA$1:$AC$1, 0))</f>
        <v>1</v>
      </c>
      <c r="N18" t="b" cm="1">
        <f t="array" ref="N18">INDEX($AA$2:$AC$60, MATCH(1, ($P$2:$P$60=$A18) * ($Q$2:$Q$60=$B18), 0), MATCH(K$3, $AA$1:$AC$1, 0))</f>
        <v>0</v>
      </c>
      <c r="P18" t="s">
        <v>73</v>
      </c>
      <c r="Q18" t="s">
        <v>37</v>
      </c>
      <c r="R18">
        <f>small!M17</f>
        <v>8.9650000000000007E-3</v>
      </c>
      <c r="S18">
        <f>small!N17</f>
        <v>3.0089000000000001E-2</v>
      </c>
      <c r="T18">
        <f>small!O17</f>
        <v>9.2900000000000003E-4</v>
      </c>
      <c r="U18">
        <f>small!P17</f>
        <v>4.2230000000000002E-3</v>
      </c>
      <c r="V18">
        <f>small!Q17</f>
        <v>3.3562744004461793</v>
      </c>
      <c r="W18">
        <f>small!R17</f>
        <v>0.10362520914668154</v>
      </c>
      <c r="X18">
        <f>small!S17</f>
        <v>0.47105409927495817</v>
      </c>
      <c r="Y18">
        <v>2</v>
      </c>
      <c r="AA18" t="b">
        <f>small!T40</f>
        <v>0</v>
      </c>
      <c r="AB18" t="b">
        <f>small!U40</f>
        <v>1</v>
      </c>
      <c r="AC18" t="b">
        <f>small!V40</f>
        <v>0</v>
      </c>
    </row>
    <row r="19" spans="1:29" x14ac:dyDescent="0.2">
      <c r="A19" t="s">
        <v>73</v>
      </c>
      <c r="B19" t="s">
        <v>20</v>
      </c>
      <c r="C19" t="s">
        <v>74</v>
      </c>
      <c r="D19" cm="1">
        <f t="array" ref="D19">IF(ISBLANK(INDEX($P$2:$Y$60, MATCH(1, ($P$2:$P$60=$A19) * ($Q$2:$Q$60=$B19), 0), MATCH(D$3, $P$1:$Y$1, 0))), "", INDEX($P$2:$Y$60, MATCH(1, ($P$2:$P$60=$A19) * ($Q$2:$Q$60=$B19), 0), MATCH(D$3, $P$1:$Y$1, 0)))</f>
        <v>3</v>
      </c>
      <c r="E19" cm="1">
        <f t="array" ref="E19">INDEX($P$2:$X$60, MATCH(1, ($P$2:$P$60=$A19) * ($Q$2:$Q$60=$B19), 0), MATCH(E$3, $P$1:$X$1, 0))</f>
        <v>2.3890000000000001E-3</v>
      </c>
      <c r="F19" cm="1">
        <f t="array" ref="F19">INDEX($P$2:$X$60, MATCH(1, ($P$2:$P$60=$A19) * ($Q$2:$Q$60=$B19), 0), MATCH(F$3, $P$1:$X$1, 0))</f>
        <v>6.7365999999999995E-2</v>
      </c>
      <c r="G19" cm="1">
        <f t="array" ref="G19">INDEX($P$2:$X$60, MATCH(1, ($P$2:$P$60=$A19) * ($Q$2:$Q$60=$B19), 0), MATCH(G$3, $P$1:$X$1, 0))</f>
        <v>9.8840000000000004E-3</v>
      </c>
      <c r="H19" cm="1">
        <f t="array" ref="H19">INDEX($P$2:$X$60, MATCH(1, ($P$2:$P$60=$A19) * ($Q$2:$Q$60=$B19), 0), MATCH(H$3, $P$1:$X$1, 0))</f>
        <v>1.0655E-2</v>
      </c>
      <c r="I19" cm="1">
        <f t="array" ref="I19">INDEX($P$2:$X$60, MATCH(1, ($P$2:$P$60=$A19) * ($Q$2:$Q$60=$B19), 0), MATCH(I$3, $P$1:$X$1, 0))</f>
        <v>6.8156616754350461</v>
      </c>
      <c r="J19" cm="1">
        <f t="array" ref="J19">INDEX($P$2:$X$60, MATCH(1, ($P$2:$P$60=$A19) * ($Q$2:$Q$60=$B19), 0), MATCH(J$3, $P$1:$X$1, 0))</f>
        <v>0.24170376365843788</v>
      </c>
      <c r="K19" cm="1">
        <f t="array" ref="K19">INDEX($P$2:$X$60, MATCH(1, ($P$2:$P$60=$A19) * ($Q$2:$Q$60=$B19), 0), MATCH(K$3, $P$1:$X$1, 0))</f>
        <v>1.0780048563334681</v>
      </c>
      <c r="L19" t="b" cm="1">
        <f t="array" ref="L19">INDEX($AA$2:$AC$60, MATCH(1, ($P$2:$P$60=$A19) * ($Q$2:$Q$60=$B19), 0), MATCH(I$3, $AA$1:$AC$1, 0))</f>
        <v>1</v>
      </c>
      <c r="M19" t="b" cm="1">
        <f t="array" ref="M19">INDEX($AA$2:$AC$60, MATCH(1, ($P$2:$P$60=$A19) * ($Q$2:$Q$60=$B19), 0), MATCH(J$3, $AA$1:$AC$1, 0))</f>
        <v>0</v>
      </c>
      <c r="N19" t="b" cm="1">
        <f t="array" ref="N19">INDEX($AA$2:$AC$60, MATCH(1, ($P$2:$P$60=$A19) * ($Q$2:$Q$60=$B19), 0), MATCH(K$3, $AA$1:$AC$1, 0))</f>
        <v>0</v>
      </c>
      <c r="P19" t="s">
        <v>73</v>
      </c>
      <c r="Q19" t="s">
        <v>39</v>
      </c>
      <c r="R19">
        <f>small!M18</f>
        <v>1.2345E-2</v>
      </c>
      <c r="S19">
        <f>small!N18</f>
        <v>0.14585999999999999</v>
      </c>
      <c r="T19">
        <f>small!O18</f>
        <v>2.2160000000000001E-3</v>
      </c>
      <c r="U19">
        <f>small!P18</f>
        <v>7.6759999999999997E-3</v>
      </c>
      <c r="V19">
        <f>small!Q18</f>
        <v>11.815309842041311</v>
      </c>
      <c r="W19">
        <f>small!R18</f>
        <v>0.17950587282300526</v>
      </c>
      <c r="X19">
        <f>small!S18</f>
        <v>0.62179019846091532</v>
      </c>
      <c r="Y19">
        <v>7</v>
      </c>
      <c r="AA19" t="b">
        <f>small!T41</f>
        <v>1</v>
      </c>
      <c r="AB19" t="b">
        <f>small!U41</f>
        <v>1</v>
      </c>
      <c r="AC19" t="b">
        <f>small!V41</f>
        <v>0</v>
      </c>
    </row>
    <row r="20" spans="1:29" x14ac:dyDescent="0.2">
      <c r="A20" t="s">
        <v>75</v>
      </c>
      <c r="B20" t="s">
        <v>20</v>
      </c>
      <c r="C20" t="s">
        <v>81</v>
      </c>
      <c r="D20" cm="1">
        <f t="array" ref="D20">IF(ISBLANK(INDEX($P$2:$Y$60, MATCH(1, ($P$2:$P$60=$A20) * ($Q$2:$Q$60=$B20), 0), MATCH(D$3, $P$1:$Y$1, 0))), "-", INDEX($P$2:$Y$60, MATCH(1, ($P$2:$P$60=$A20) * ($Q$2:$Q$60=$B20), 0), MATCH(D$3, $P$1:$Y$1, 0)))</f>
        <v>3</v>
      </c>
      <c r="E20" cm="1">
        <f t="array" ref="E20">INDEX($P$2:$X$60, MATCH(1, ($P$2:$P$60=$A20) * ($Q$2:$Q$60=$B20), 0), MATCH(E$3, $P$1:$X$1, 0))</f>
        <v>14.768091</v>
      </c>
      <c r="F20" cm="1">
        <f t="array" ref="F20">INDEX($P$2:$X$60, MATCH(1, ($P$2:$P$60=$A20) * ($Q$2:$Q$60=$B20), 0), MATCH(F$3, $P$1:$X$1, 0))</f>
        <v>0.76612599999999997</v>
      </c>
      <c r="G20" cm="1">
        <f t="array" ref="G20">INDEX($P$2:$X$60, MATCH(1, ($P$2:$P$60=$A20) * ($Q$2:$Q$60=$B20), 0), MATCH(G$3, $P$1:$X$1, 0))</f>
        <v>0.30250899999999997</v>
      </c>
      <c r="H20" cm="1">
        <f t="array" ref="H20">INDEX($P$2:$X$60, MATCH(1, ($P$2:$P$60=$A20) * ($Q$2:$Q$60=$B20), 0), MATCH(H$3, $P$1:$X$1, 0))</f>
        <v>0.29150100000000001</v>
      </c>
      <c r="I20" cm="1">
        <f t="array" ref="I20">INDEX($P$2:$X$60, MATCH(1, ($P$2:$P$60=$A20) * ($Q$2:$Q$60=$B20), 0), MATCH(I$3, $P$1:$X$1, 0))</f>
        <v>2.5325725846173173</v>
      </c>
      <c r="J20" cm="1">
        <f t="array" ref="J20">INDEX($P$2:$X$60, MATCH(1, ($P$2:$P$60=$A20) * ($Q$2:$Q$60=$B20), 0), MATCH(J$3, $P$1:$X$1, 0))</f>
        <v>48.818683080503398</v>
      </c>
      <c r="K20" cm="1">
        <f t="array" ref="K20">INDEX($P$2:$X$60, MATCH(1, ($P$2:$P$60=$A20) * ($Q$2:$Q$60=$B20), 0), MATCH(K$3, $P$1:$X$1, 0))</f>
        <v>0.9636110000033058</v>
      </c>
      <c r="L20" t="b" cm="1">
        <f t="array" ref="L20">INDEX($AA$2:$AC$60, MATCH(1, ($P$2:$P$60=$A20) * ($Q$2:$Q$60=$B20), 0), MATCH(I$3, $AA$1:$AC$1, 0))</f>
        <v>1</v>
      </c>
      <c r="M20" t="b" cm="1">
        <f t="array" ref="M20">INDEX($AA$2:$AC$60, MATCH(1, ($P$2:$P$60=$A20) * ($Q$2:$Q$60=$B20), 0), MATCH(J$3, $AA$1:$AC$1, 0))</f>
        <v>1</v>
      </c>
      <c r="N20" t="b" cm="1">
        <f t="array" ref="N20">INDEX($AA$2:$AC$60, MATCH(1, ($P$2:$P$60=$A20) * ($Q$2:$Q$60=$B20), 0), MATCH(K$3, $AA$1:$AC$1, 0))</f>
        <v>0</v>
      </c>
    </row>
    <row r="21" spans="1:29" x14ac:dyDescent="0.2">
      <c r="A21" t="s">
        <v>77</v>
      </c>
      <c r="B21" t="s">
        <v>20</v>
      </c>
      <c r="C21" t="s">
        <v>87</v>
      </c>
      <c r="D21" cm="1">
        <f t="array" ref="D21">IF(ISBLANK(INDEX($P$2:$Y$60, MATCH(1, ($P$2:$P$60=$A21) * ($Q$2:$Q$60=$B21), 0), MATCH(D$3, $P$1:$Y$1, 0))), "-", INDEX($P$2:$Y$60, MATCH(1, ($P$2:$P$60=$A21) * ($Q$2:$Q$60=$B21), 0), MATCH(D$3, $P$1:$Y$1, 0)))</f>
        <v>3</v>
      </c>
      <c r="E21" cm="1">
        <f t="array" ref="E21">INDEX($P$2:$X$60, MATCH(1, ($P$2:$P$60=$A21) * ($Q$2:$Q$60=$B21), 0), MATCH(E$3, $P$1:$X$1, 0))</f>
        <v>33.901957000000003</v>
      </c>
      <c r="F21" cm="1">
        <f t="array" ref="F21">INDEX($P$2:$X$60, MATCH(1, ($P$2:$P$60=$A21) * ($Q$2:$Q$60=$B21), 0), MATCH(F$3, $P$1:$X$1, 0))</f>
        <v>0.91816200000000003</v>
      </c>
      <c r="G21" cm="1">
        <f t="array" ref="G21">INDEX($P$2:$X$60, MATCH(1, ($P$2:$P$60=$A21) * ($Q$2:$Q$60=$B21), 0), MATCH(G$3, $P$1:$X$1, 0))</f>
        <v>0.73938199999999998</v>
      </c>
      <c r="H21" cm="1">
        <f t="array" ref="H21">INDEX($P$2:$X$60, MATCH(1, ($P$2:$P$60=$A21) * ($Q$2:$Q$60=$B21), 0), MATCH(H$3, $P$1:$X$1, 0))</f>
        <v>0.69452899999999995</v>
      </c>
      <c r="I21" cm="1">
        <f t="array" ref="I21">INDEX($P$2:$X$60, MATCH(1, ($P$2:$P$60=$A21) * ($Q$2:$Q$60=$B21), 0), MATCH(I$3, $P$1:$X$1, 0))</f>
        <v>1.2417965273701552</v>
      </c>
      <c r="J21" cm="1">
        <f t="array" ref="J21">INDEX($P$2:$X$60, MATCH(1, ($P$2:$P$60=$A21) * ($Q$2:$Q$60=$B21), 0), MATCH(J$3, $P$1:$X$1, 0))</f>
        <v>45.851747811009737</v>
      </c>
      <c r="K21" cm="1">
        <f t="array" ref="K21">INDEX($P$2:$X$60, MATCH(1, ($P$2:$P$60=$A21) * ($Q$2:$Q$60=$B21), 0), MATCH(K$3, $P$1:$X$1, 0))</f>
        <v>0.93933717618227108</v>
      </c>
      <c r="L21" t="b" cm="1">
        <f t="array" ref="L21">INDEX($AA$2:$AC$60, MATCH(1, ($P$2:$P$60=$A21) * ($Q$2:$Q$60=$B21), 0), MATCH(I$3, $AA$1:$AC$1, 0))</f>
        <v>0</v>
      </c>
      <c r="M21" t="b" cm="1">
        <f t="array" ref="M21">INDEX($AA$2:$AC$60, MATCH(1, ($P$2:$P$60=$A21) * ($Q$2:$Q$60=$B21), 0), MATCH(J$3, $AA$1:$AC$1, 0))</f>
        <v>1</v>
      </c>
      <c r="N21" t="b" cm="1">
        <f t="array" ref="N21">INDEX($AA$2:$AC$60, MATCH(1, ($P$2:$P$60=$A21) * ($Q$2:$Q$60=$B21), 0), MATCH(K$3, $AA$1:$AC$1, 0))</f>
        <v>0</v>
      </c>
    </row>
    <row r="22" spans="1:29" x14ac:dyDescent="0.2">
      <c r="A22" t="s">
        <v>73</v>
      </c>
      <c r="B22" t="s">
        <v>22</v>
      </c>
      <c r="C22" t="s">
        <v>74</v>
      </c>
      <c r="D22" cm="1">
        <f t="array" ref="D22">IF(ISBLANK(INDEX($P$2:$Y$60, MATCH(1, ($P$2:$P$60=$A22) * ($Q$2:$Q$60=$B22), 0), MATCH(D$3, $P$1:$Y$1, 0))), "", INDEX($P$2:$Y$60, MATCH(1, ($P$2:$P$60=$A22) * ($Q$2:$Q$60=$B22), 0), MATCH(D$3, $P$1:$Y$1, 0)))</f>
        <v>5</v>
      </c>
      <c r="E22" cm="1">
        <f t="array" ref="E22">INDEX($P$2:$X$60, MATCH(1, ($P$2:$P$60=$A22) * ($Q$2:$Q$60=$B22), 0), MATCH(E$3, $P$1:$X$1, 0))</f>
        <v>2.454E-3</v>
      </c>
      <c r="F22" cm="1">
        <f t="array" ref="F22">INDEX($P$2:$X$60, MATCH(1, ($P$2:$P$60=$A22) * ($Q$2:$Q$60=$B22), 0), MATCH(F$3, $P$1:$X$1, 0))</f>
        <v>0.15540200000000001</v>
      </c>
      <c r="G22" cm="1">
        <f t="array" ref="G22">INDEX($P$2:$X$60, MATCH(1, ($P$2:$P$60=$A22) * ($Q$2:$Q$60=$B22), 0), MATCH(G$3, $P$1:$X$1, 0))</f>
        <v>2.6327E-2</v>
      </c>
      <c r="H22" cm="1">
        <f t="array" ref="H22">INDEX($P$2:$X$60, MATCH(1, ($P$2:$P$60=$A22) * ($Q$2:$Q$60=$B22), 0), MATCH(H$3, $P$1:$X$1, 0))</f>
        <v>2.0951999999999998E-2</v>
      </c>
      <c r="I22" cm="1">
        <f t="array" ref="I22">INDEX($P$2:$X$60, MATCH(1, ($P$2:$P$60=$A22) * ($Q$2:$Q$60=$B22), 0), MATCH(I$3, $P$1:$X$1, 0))</f>
        <v>5.9027614236335326</v>
      </c>
      <c r="J22" cm="1">
        <f t="array" ref="J22">INDEX($P$2:$X$60, MATCH(1, ($P$2:$P$60=$A22) * ($Q$2:$Q$60=$B22), 0), MATCH(J$3, $P$1:$X$1, 0))</f>
        <v>9.321229156379382E-2</v>
      </c>
      <c r="K22" cm="1">
        <f t="array" ref="K22">INDEX($P$2:$X$60, MATCH(1, ($P$2:$P$60=$A22) * ($Q$2:$Q$60=$B22), 0), MATCH(K$3, $P$1:$X$1, 0))</f>
        <v>0.79583697344931059</v>
      </c>
      <c r="L22" t="b" cm="1">
        <f t="array" ref="L22">INDEX($AA$2:$AC$60, MATCH(1, ($P$2:$P$60=$A22) * ($Q$2:$Q$60=$B22), 0), MATCH(I$3, $AA$1:$AC$1, 0))</f>
        <v>1</v>
      </c>
      <c r="M22" t="b" cm="1">
        <f t="array" ref="M22">INDEX($AA$2:$AC$60, MATCH(1, ($P$2:$P$60=$A22) * ($Q$2:$Q$60=$B22), 0), MATCH(J$3, $AA$1:$AC$1, 0))</f>
        <v>1</v>
      </c>
      <c r="N22" t="b" cm="1">
        <f t="array" ref="N22">INDEX($AA$2:$AC$60, MATCH(1, ($P$2:$P$60=$A22) * ($Q$2:$Q$60=$B22), 0), MATCH(K$3, $AA$1:$AC$1, 0))</f>
        <v>0</v>
      </c>
    </row>
    <row r="23" spans="1:29" x14ac:dyDescent="0.2">
      <c r="A23" t="s">
        <v>75</v>
      </c>
      <c r="B23" t="s">
        <v>22</v>
      </c>
      <c r="C23" t="s">
        <v>83</v>
      </c>
      <c r="D23" cm="1">
        <f t="array" ref="D23">IF(ISBLANK(INDEX($P$2:$Y$60, MATCH(1, ($P$2:$P$60=$A23) * ($Q$2:$Q$60=$B23), 0), MATCH(D$3, $P$1:$Y$1, 0))), "-", INDEX($P$2:$Y$60, MATCH(1, ($P$2:$P$60=$A23) * ($Q$2:$Q$60=$B23), 0), MATCH(D$3, $P$1:$Y$1, 0)))</f>
        <v>11</v>
      </c>
      <c r="E23" t="e" cm="1">
        <f t="array" ref="E23">INDEX($P$2:$X$60, MATCH(1, ($P$2:$P$60=$A23) * ($Q$2:$Q$60=$B23), 0), MATCH(E$3, $P$1:$X$1, 0))</f>
        <v>#N/A</v>
      </c>
      <c r="F23" cm="1">
        <f t="array" ref="F23">INDEX($P$2:$X$60, MATCH(1, ($P$2:$P$60=$A23) * ($Q$2:$Q$60=$B23), 0), MATCH(F$3, $P$1:$X$1, 0))</f>
        <v>5.7134239999999998</v>
      </c>
      <c r="G23" cm="1">
        <f t="array" ref="G23">INDEX($P$2:$X$60, MATCH(1, ($P$2:$P$60=$A23) * ($Q$2:$Q$60=$B23), 0), MATCH(G$3, $P$1:$X$1, 0))</f>
        <v>1.110039</v>
      </c>
      <c r="H23" cm="1">
        <f t="array" ref="H23">INDEX($P$2:$X$60, MATCH(1, ($P$2:$P$60=$A23) * ($Q$2:$Q$60=$B23), 0), MATCH(H$3, $P$1:$X$1, 0))</f>
        <v>1.0586629999999999</v>
      </c>
      <c r="I23" cm="1">
        <f t="array" ref="I23">INDEX($P$2:$X$60, MATCH(1, ($P$2:$P$60=$A23) * ($Q$2:$Q$60=$B23), 0), MATCH(I$3, $P$1:$X$1, 0))</f>
        <v>5.1470479866022725</v>
      </c>
      <c r="J23" t="str" cm="1">
        <f t="array" ref="J23">INDEX($P$2:$X$60, MATCH(1, ($P$2:$P$60=$A23) * ($Q$2:$Q$60=$B23), 0), MATCH(J$3, $P$1:$X$1, 0))</f>
        <v>DNF</v>
      </c>
      <c r="K23" cm="1">
        <f t="array" ref="K23">INDEX($P$2:$X$60, MATCH(1, ($P$2:$P$60=$A23) * ($Q$2:$Q$60=$B23), 0), MATCH(K$3, $P$1:$X$1, 0))</f>
        <v>0.95371694147683095</v>
      </c>
      <c r="L23" t="b" cm="1">
        <f t="array" ref="L23">INDEX($AA$2:$AC$60, MATCH(1, ($P$2:$P$60=$A23) * ($Q$2:$Q$60=$B23), 0), MATCH(I$3, $AA$1:$AC$1, 0))</f>
        <v>1</v>
      </c>
      <c r="M23" t="b" cm="1">
        <f t="array" ref="M23">INDEX($AA$2:$AC$60, MATCH(1, ($P$2:$P$60=$A23) * ($Q$2:$Q$60=$B23), 0), MATCH(J$3, $AA$1:$AC$1, 0))</f>
        <v>1</v>
      </c>
      <c r="N23" t="b" cm="1">
        <f t="array" ref="N23">INDEX($AA$2:$AC$60, MATCH(1, ($P$2:$P$60=$A23) * ($Q$2:$Q$60=$B23), 0), MATCH(K$3, $AA$1:$AC$1, 0))</f>
        <v>0</v>
      </c>
      <c r="P23" t="s">
        <v>12</v>
      </c>
    </row>
    <row r="24" spans="1:29" x14ac:dyDescent="0.2">
      <c r="A24" t="s">
        <v>77</v>
      </c>
      <c r="B24" t="s">
        <v>22</v>
      </c>
      <c r="C24" t="s">
        <v>76</v>
      </c>
      <c r="D24" cm="1">
        <f t="array" ref="D24">IF(ISBLANK(INDEX($P$2:$Y$60, MATCH(1, ($P$2:$P$60=$A24) * ($Q$2:$Q$60=$B24), 0), MATCH(D$3, $P$1:$Y$1, 0))), "-", INDEX($P$2:$Y$60, MATCH(1, ($P$2:$P$60=$A24) * ($Q$2:$Q$60=$B24), 0), MATCH(D$3, $P$1:$Y$1, 0)))</f>
        <v>14</v>
      </c>
      <c r="E24" t="e" cm="1">
        <f t="array" ref="E24">INDEX($P$2:$X$60, MATCH(1, ($P$2:$P$60=$A24) * ($Q$2:$Q$60=$B24), 0), MATCH(E$3, $P$1:$X$1, 0))</f>
        <v>#N/A</v>
      </c>
      <c r="F24" cm="1">
        <f t="array" ref="F24">INDEX($P$2:$X$60, MATCH(1, ($P$2:$P$60=$A24) * ($Q$2:$Q$60=$B24), 0), MATCH(F$3, $P$1:$X$1, 0))</f>
        <v>280.45619499999998</v>
      </c>
      <c r="G24" cm="1">
        <f t="array" ref="G24">INDEX($P$2:$X$60, MATCH(1, ($P$2:$P$60=$A24) * ($Q$2:$Q$60=$B24), 0), MATCH(G$3, $P$1:$X$1, 0))</f>
        <v>28.579007000000001</v>
      </c>
      <c r="H24" cm="1">
        <f t="array" ref="H24">INDEX($P$2:$X$60, MATCH(1, ($P$2:$P$60=$A24) * ($Q$2:$Q$60=$B24), 0), MATCH(H$3, $P$1:$X$1, 0))</f>
        <v>28.561720000000001</v>
      </c>
      <c r="I24" cm="1">
        <f t="array" ref="I24">INDEX($P$2:$X$60, MATCH(1, ($P$2:$P$60=$A24) * ($Q$2:$Q$60=$B24), 0), MATCH(I$3, $P$1:$X$1, 0))</f>
        <v>9.8133638792978353</v>
      </c>
      <c r="J24" t="str" cm="1">
        <f t="array" ref="J24">INDEX($P$2:$X$60, MATCH(1, ($P$2:$P$60=$A24) * ($Q$2:$Q$60=$B24), 0), MATCH(J$3, $P$1:$X$1, 0))</f>
        <v>DNF</v>
      </c>
      <c r="K24" cm="1">
        <f t="array" ref="K24">INDEX($P$2:$X$60, MATCH(1, ($P$2:$P$60=$A24) * ($Q$2:$Q$60=$B24), 0), MATCH(K$3, $P$1:$X$1, 0))</f>
        <v>0.9993951154426044</v>
      </c>
      <c r="L24" t="b" cm="1">
        <f t="array" ref="L24">INDEX($AA$2:$AC$60, MATCH(1, ($P$2:$P$60=$A24) * ($Q$2:$Q$60=$B24), 0), MATCH(I$3, $AA$1:$AC$1, 0))</f>
        <v>1</v>
      </c>
      <c r="M24" t="b" cm="1">
        <f t="array" ref="M24">INDEX($AA$2:$AC$60, MATCH(1, ($P$2:$P$60=$A24) * ($Q$2:$Q$60=$B24), 0), MATCH(J$3, $AA$1:$AC$1, 0))</f>
        <v>1</v>
      </c>
      <c r="N24" t="b" cm="1">
        <f t="array" ref="N24">INDEX($AA$2:$AC$60, MATCH(1, ($P$2:$P$60=$A24) * ($Q$2:$Q$60=$B24), 0), MATCH(K$3, $AA$1:$AC$1, 0))</f>
        <v>0</v>
      </c>
      <c r="P24" t="s">
        <v>75</v>
      </c>
      <c r="Q24" t="s">
        <v>8</v>
      </c>
      <c r="R24">
        <f>medium!M3</f>
        <v>0.219246</v>
      </c>
      <c r="S24">
        <f>medium!N3</f>
        <v>0.43465300000000001</v>
      </c>
      <c r="T24">
        <f>medium!O3</f>
        <v>3.4401489999999999</v>
      </c>
      <c r="U24">
        <f>medium!P3</f>
        <v>0.23339399999999999</v>
      </c>
      <c r="V24">
        <f>medium!Q3</f>
        <v>1.9824899884148401</v>
      </c>
      <c r="W24">
        <f>medium!R3</f>
        <v>15.690817620389881</v>
      </c>
      <c r="X24">
        <f>medium!S3</f>
        <v>1.0645302536876384</v>
      </c>
      <c r="Y24">
        <v>15</v>
      </c>
      <c r="AA24" t="b">
        <f>medium!T26</f>
        <v>1</v>
      </c>
      <c r="AB24" t="b">
        <f>medium!U26</f>
        <v>1</v>
      </c>
      <c r="AC24" t="b">
        <f>medium!V26</f>
        <v>0</v>
      </c>
    </row>
    <row r="25" spans="1:29" x14ac:dyDescent="0.2">
      <c r="A25" t="s">
        <v>73</v>
      </c>
      <c r="B25" t="s">
        <v>58</v>
      </c>
      <c r="C25" t="s">
        <v>74</v>
      </c>
      <c r="D25" cm="1">
        <f t="array" ref="D25">IF(ISBLANK(INDEX($P$2:$Y$60, MATCH(1, ($P$2:$P$60=$A25) * ($Q$2:$Q$60=$B25), 0), MATCH(D$3, $P$1:$Y$1, 0))), "", INDEX($P$2:$Y$60, MATCH(1, ($P$2:$P$60=$A25) * ($Q$2:$Q$60=$B25), 0), MATCH(D$3, $P$1:$Y$1, 0)))</f>
        <v>3</v>
      </c>
      <c r="E25" cm="1">
        <f t="array" ref="E25">INDEX($P$2:$X$60, MATCH(1, ($P$2:$P$60=$A25) * ($Q$2:$Q$60=$B25), 0), MATCH(E$3, $P$1:$X$1, 0))</f>
        <v>2.0929999999999998E-3</v>
      </c>
      <c r="F25" cm="1">
        <f t="array" ref="F25">INDEX($P$2:$X$60, MATCH(1, ($P$2:$P$60=$A25) * ($Q$2:$Q$60=$B25), 0), MATCH(F$3, $P$1:$X$1, 0))</f>
        <v>4.5449000000000003E-2</v>
      </c>
      <c r="G25" cm="1">
        <f t="array" ref="G25">INDEX($P$2:$X$60, MATCH(1, ($P$2:$P$60=$A25) * ($Q$2:$Q$60=$B25), 0), MATCH(G$3, $P$1:$X$1, 0))</f>
        <v>7.1630000000000001E-3</v>
      </c>
      <c r="H25" cm="1">
        <f t="array" ref="H25">INDEX($P$2:$X$60, MATCH(1, ($P$2:$P$60=$A25) * ($Q$2:$Q$60=$B25), 0), MATCH(H$3, $P$1:$X$1, 0))</f>
        <v>4.6569999999999997E-3</v>
      </c>
      <c r="I25" cm="1">
        <f t="array" ref="I25">INDEX($P$2:$X$60, MATCH(1, ($P$2:$P$60=$A25) * ($Q$2:$Q$60=$B25), 0), MATCH(I$3, $P$1:$X$1, 0))</f>
        <v>6.3449671925171023</v>
      </c>
      <c r="J25" cm="1">
        <f t="array" ref="J25">INDEX($P$2:$X$60, MATCH(1, ($P$2:$P$60=$A25) * ($Q$2:$Q$60=$B25), 0), MATCH(J$3, $P$1:$X$1, 0))</f>
        <v>0.2921960072595281</v>
      </c>
      <c r="K25" cm="1">
        <f t="array" ref="K25">INDEX($P$2:$X$60, MATCH(1, ($P$2:$P$60=$A25) * ($Q$2:$Q$60=$B25), 0), MATCH(K$3, $P$1:$X$1, 0))</f>
        <v>0.65014658662571545</v>
      </c>
      <c r="L25" t="b" cm="1">
        <f t="array" ref="L25">INDEX($AA$2:$AC$60, MATCH(1, ($P$2:$P$60=$A25) * ($Q$2:$Q$60=$B25), 0), MATCH(I$3, $AA$1:$AC$1, 0))</f>
        <v>1</v>
      </c>
      <c r="M25" t="b" cm="1">
        <f t="array" ref="M25">INDEX($AA$2:$AC$60, MATCH(1, ($P$2:$P$60=$A25) * ($Q$2:$Q$60=$B25), 0), MATCH(J$3, $AA$1:$AC$1, 0))</f>
        <v>0</v>
      </c>
      <c r="N25" t="b" cm="1">
        <f t="array" ref="N25">INDEX($AA$2:$AC$60, MATCH(1, ($P$2:$P$60=$A25) * ($Q$2:$Q$60=$B25), 0), MATCH(K$3, $AA$1:$AC$1, 0))</f>
        <v>0</v>
      </c>
      <c r="P25" t="s">
        <v>75</v>
      </c>
      <c r="Q25" t="s">
        <v>11</v>
      </c>
      <c r="R25">
        <f>medium!M4</f>
        <v>1.9036999999999998E-2</v>
      </c>
      <c r="S25">
        <f>medium!N4</f>
        <v>9.0839000000000003E-2</v>
      </c>
      <c r="T25">
        <f>medium!O4</f>
        <v>3.4955729999999998</v>
      </c>
      <c r="U25">
        <f>medium!P4</f>
        <v>1.8297000000000001E-2</v>
      </c>
      <c r="V25">
        <f>medium!Q4</f>
        <v>4.7717077270578354</v>
      </c>
      <c r="W25">
        <f>medium!R4</f>
        <v>183.61995062247203</v>
      </c>
      <c r="X25">
        <f>medium!S4</f>
        <v>0.96112832904344181</v>
      </c>
      <c r="Y25">
        <v>4</v>
      </c>
      <c r="AA25" t="b">
        <f>medium!T27</f>
        <v>1</v>
      </c>
      <c r="AB25" t="b">
        <f>medium!U27</f>
        <v>1</v>
      </c>
      <c r="AC25" t="b">
        <f>medium!V27</f>
        <v>0</v>
      </c>
    </row>
    <row r="26" spans="1:29" x14ac:dyDescent="0.2">
      <c r="A26" t="s">
        <v>75</v>
      </c>
      <c r="B26" t="s">
        <v>58</v>
      </c>
      <c r="C26" t="s">
        <v>88</v>
      </c>
      <c r="D26" cm="1">
        <f t="array" ref="D26">IF(ISBLANK(INDEX($P$2:$Y$60, MATCH(1, ($P$2:$P$60=$A26) * ($Q$2:$Q$60=$B26), 0), MATCH(D$3, $P$1:$Y$1, 0))), "-", INDEX($P$2:$Y$60, MATCH(1, ($P$2:$P$60=$A26) * ($Q$2:$Q$60=$B26), 0), MATCH(D$3, $P$1:$Y$1, 0)))</f>
        <v>3</v>
      </c>
      <c r="E26" cm="1">
        <f t="array" ref="E26">INDEX($P$2:$X$60, MATCH(1, ($P$2:$P$60=$A26) * ($Q$2:$Q$60=$B26), 0), MATCH(E$3, $P$1:$X$1, 0))</f>
        <v>18.281358000000001</v>
      </c>
      <c r="F26" cm="1">
        <f t="array" ref="F26">INDEX($P$2:$X$60, MATCH(1, ($P$2:$P$60=$A26) * ($Q$2:$Q$60=$B26), 0), MATCH(F$3, $P$1:$X$1, 0))</f>
        <v>6.3964999999999994E-2</v>
      </c>
      <c r="G26" cm="1">
        <f t="array" ref="G26">INDEX($P$2:$X$60, MATCH(1, ($P$2:$P$60=$A26) * ($Q$2:$Q$60=$B26), 0), MATCH(G$3, $P$1:$X$1, 0))</f>
        <v>7.6810000000000003E-3</v>
      </c>
      <c r="H26" cm="1">
        <f t="array" ref="H26">INDEX($P$2:$X$60, MATCH(1, ($P$2:$P$60=$A26) * ($Q$2:$Q$60=$B26), 0), MATCH(H$3, $P$1:$X$1, 0))</f>
        <v>8.1679999999999999E-3</v>
      </c>
      <c r="I26" cm="1">
        <f t="array" ref="I26">INDEX($P$2:$X$60, MATCH(1, ($P$2:$P$60=$A26) * ($Q$2:$Q$60=$B26), 0), MATCH(I$3, $P$1:$X$1, 0))</f>
        <v>8.3276917068090075</v>
      </c>
      <c r="J26" cm="1">
        <f t="array" ref="J26">INDEX($P$2:$X$60, MATCH(1, ($P$2:$P$60=$A26) * ($Q$2:$Q$60=$B26), 0), MATCH(J$3, $P$1:$X$1, 0))</f>
        <v>2380.075250618409</v>
      </c>
      <c r="K26" cm="1">
        <f t="array" ref="K26">INDEX($P$2:$X$60, MATCH(1, ($P$2:$P$60=$A26) * ($Q$2:$Q$60=$B26), 0), MATCH(K$3, $P$1:$X$1, 0))</f>
        <v>1.0634032027079807</v>
      </c>
      <c r="L26" t="b" cm="1">
        <f t="array" ref="L26">INDEX($AA$2:$AC$60, MATCH(1, ($P$2:$P$60=$A26) * ($Q$2:$Q$60=$B26), 0), MATCH(I$3, $AA$1:$AC$1, 0))</f>
        <v>1</v>
      </c>
      <c r="M26" t="b" cm="1">
        <f t="array" ref="M26">INDEX($AA$2:$AC$60, MATCH(1, ($P$2:$P$60=$A26) * ($Q$2:$Q$60=$B26), 0), MATCH(J$3, $AA$1:$AC$1, 0))</f>
        <v>1</v>
      </c>
      <c r="N26" t="b" cm="1">
        <f t="array" ref="N26">INDEX($AA$2:$AC$60, MATCH(1, ($P$2:$P$60=$A26) * ($Q$2:$Q$60=$B26), 0), MATCH(K$3, $AA$1:$AC$1, 0))</f>
        <v>0</v>
      </c>
      <c r="P26" t="s">
        <v>75</v>
      </c>
      <c r="Q26" t="s">
        <v>14</v>
      </c>
      <c r="R26">
        <f>medium!M5</f>
        <v>4.8621999999999999E-2</v>
      </c>
      <c r="S26">
        <f>medium!N5</f>
        <v>0.18498500000000001</v>
      </c>
      <c r="T26">
        <f>medium!O5</f>
        <v>19.845801999999999</v>
      </c>
      <c r="U26">
        <f>medium!P5</f>
        <v>4.5088000000000003E-2</v>
      </c>
      <c r="V26">
        <f>medium!Q5</f>
        <v>3.8045534943029908</v>
      </c>
      <c r="W26">
        <f>medium!R5</f>
        <v>408.16506931018881</v>
      </c>
      <c r="X26">
        <f>medium!S5</f>
        <v>0.92731685245362194</v>
      </c>
      <c r="Y26">
        <v>3</v>
      </c>
      <c r="AA26" t="b">
        <f>medium!T28</f>
        <v>1</v>
      </c>
      <c r="AB26" t="b">
        <f>medium!U28</f>
        <v>1</v>
      </c>
      <c r="AC26" t="b">
        <f>medium!V28</f>
        <v>0</v>
      </c>
    </row>
    <row r="27" spans="1:29" x14ac:dyDescent="0.2">
      <c r="A27" t="s">
        <v>77</v>
      </c>
      <c r="B27" t="s">
        <v>58</v>
      </c>
      <c r="C27" t="s">
        <v>89</v>
      </c>
      <c r="D27" cm="1">
        <f t="array" ref="D27">IF(ISBLANK(INDEX($P$2:$Y$60, MATCH(1, ($P$2:$P$60=$A27) * ($Q$2:$Q$60=$B27), 0), MATCH(D$3, $P$1:$Y$1, 0))), "-", INDEX($P$2:$Y$60, MATCH(1, ($P$2:$P$60=$A27) * ($Q$2:$Q$60=$B27), 0), MATCH(D$3, $P$1:$Y$1, 0)))</f>
        <v>5</v>
      </c>
      <c r="E27" cm="1">
        <f t="array" ref="E27">INDEX($P$2:$X$60, MATCH(1, ($P$2:$P$60=$A27) * ($Q$2:$Q$60=$B27), 0), MATCH(E$3, $P$1:$X$1, 0))</f>
        <v>210.90549999999999</v>
      </c>
      <c r="F27" cm="1">
        <f t="array" ref="F27">INDEX($P$2:$X$60, MATCH(1, ($P$2:$P$60=$A27) * ($Q$2:$Q$60=$B27), 0), MATCH(F$3, $P$1:$X$1, 0))</f>
        <v>0.120628</v>
      </c>
      <c r="G27" cm="1">
        <f t="array" ref="G27">INDEX($P$2:$X$60, MATCH(1, ($P$2:$P$60=$A27) * ($Q$2:$Q$60=$B27), 0), MATCH(G$3, $P$1:$X$1, 0))</f>
        <v>1.1264E-2</v>
      </c>
      <c r="H27" cm="1">
        <f t="array" ref="H27">INDEX($P$2:$X$60, MATCH(1, ($P$2:$P$60=$A27) * ($Q$2:$Q$60=$B27), 0), MATCH(H$3, $P$1:$X$1, 0))</f>
        <v>1.0271000000000001E-2</v>
      </c>
      <c r="I27" cm="1">
        <f t="array" ref="I27">INDEX($P$2:$X$60, MATCH(1, ($P$2:$P$60=$A27) * ($Q$2:$Q$60=$B27), 0), MATCH(I$3, $P$1:$X$1, 0))</f>
        <v>10.709161931818182</v>
      </c>
      <c r="J27" cm="1">
        <f t="array" ref="J27">INDEX($P$2:$X$60, MATCH(1, ($P$2:$P$60=$A27) * ($Q$2:$Q$60=$B27), 0), MATCH(J$3, $P$1:$X$1, 0))</f>
        <v>18723.854758522728</v>
      </c>
      <c r="K27" cm="1">
        <f t="array" ref="K27">INDEX($P$2:$X$60, MATCH(1, ($P$2:$P$60=$A27) * ($Q$2:$Q$60=$B27), 0), MATCH(K$3, $P$1:$X$1, 0))</f>
        <v>0.9118430397727274</v>
      </c>
      <c r="L27" t="b" cm="1">
        <f t="array" ref="L27">INDEX($AA$2:$AC$60, MATCH(1, ($P$2:$P$60=$A27) * ($Q$2:$Q$60=$B27), 0), MATCH(I$3, $AA$1:$AC$1, 0))</f>
        <v>1</v>
      </c>
      <c r="M27" t="b" cm="1">
        <f t="array" ref="M27">INDEX($AA$2:$AC$60, MATCH(1, ($P$2:$P$60=$A27) * ($Q$2:$Q$60=$B27), 0), MATCH(J$3, $AA$1:$AC$1, 0))</f>
        <v>1</v>
      </c>
      <c r="N27" t="b" cm="1">
        <f t="array" ref="N27">INDEX($AA$2:$AC$60, MATCH(1, ($P$2:$P$60=$A27) * ($Q$2:$Q$60=$B27), 0), MATCH(K$3, $AA$1:$AC$1, 0))</f>
        <v>0</v>
      </c>
      <c r="P27" t="s">
        <v>75</v>
      </c>
      <c r="Q27" t="s">
        <v>16</v>
      </c>
      <c r="R27">
        <f>medium!M6</f>
        <v>8.8409000000000001E-2</v>
      </c>
      <c r="S27">
        <f>medium!N6</f>
        <v>0.56551700000000005</v>
      </c>
      <c r="T27">
        <f>medium!O6</f>
        <v>136.25333699999999</v>
      </c>
      <c r="U27">
        <f>medium!P6</f>
        <v>8.9752999999999999E-2</v>
      </c>
      <c r="V27">
        <f>medium!Q6</f>
        <v>6.396599893675984</v>
      </c>
      <c r="W27">
        <f>medium!R6</f>
        <v>1541.1704351366941</v>
      </c>
      <c r="X27">
        <f>medium!S6</f>
        <v>1.0152020721872208</v>
      </c>
      <c r="Y27">
        <v>5</v>
      </c>
      <c r="AA27" t="b">
        <f>medium!T29</f>
        <v>1</v>
      </c>
      <c r="AB27" t="b">
        <f>medium!U29</f>
        <v>1</v>
      </c>
      <c r="AC27" t="b">
        <f>medium!V29</f>
        <v>0</v>
      </c>
    </row>
    <row r="28" spans="1:29" x14ac:dyDescent="0.2">
      <c r="A28" t="s">
        <v>73</v>
      </c>
      <c r="B28" t="s">
        <v>25</v>
      </c>
      <c r="C28" t="s">
        <v>74</v>
      </c>
      <c r="D28" cm="1">
        <f t="array" ref="D28">IF(ISBLANK(INDEX($P$2:$Y$60, MATCH(1, ($P$2:$P$60=$A28) * ($Q$2:$Q$60=$B28), 0), MATCH(D$3, $P$1:$Y$1, 0))), "", INDEX($P$2:$Y$60, MATCH(1, ($P$2:$P$60=$A28) * ($Q$2:$Q$60=$B28), 0), MATCH(D$3, $P$1:$Y$1, 0)))</f>
        <v>17</v>
      </c>
      <c r="E28" cm="1">
        <f t="array" ref="E28">INDEX($P$2:$X$60, MATCH(1, ($P$2:$P$60=$A28) * ($Q$2:$Q$60=$B28), 0), MATCH(E$3, $P$1:$X$1, 0))</f>
        <v>2.4810000000000001E-3</v>
      </c>
      <c r="F28" cm="1">
        <f t="array" ref="F28">INDEX($P$2:$X$60, MATCH(1, ($P$2:$P$60=$A28) * ($Q$2:$Q$60=$B28), 0), MATCH(F$3, $P$1:$X$1, 0))</f>
        <v>0.29497800000000002</v>
      </c>
      <c r="G28" cm="1">
        <f t="array" ref="G28">INDEX($P$2:$X$60, MATCH(1, ($P$2:$P$60=$A28) * ($Q$2:$Q$60=$B28), 0), MATCH(G$3, $P$1:$X$1, 0))</f>
        <v>1.1209999999999999E-2</v>
      </c>
      <c r="H28" cm="1">
        <f t="array" ref="H28">INDEX($P$2:$X$60, MATCH(1, ($P$2:$P$60=$A28) * ($Q$2:$Q$60=$B28), 0), MATCH(H$3, $P$1:$X$1, 0))</f>
        <v>9.5390000000000006E-3</v>
      </c>
      <c r="I28" cm="1">
        <f t="array" ref="I28">INDEX($P$2:$X$60, MATCH(1, ($P$2:$P$60=$A28) * ($Q$2:$Q$60=$B28), 0), MATCH(I$3, $P$1:$X$1, 0))</f>
        <v>26.313826940231937</v>
      </c>
      <c r="J28" cm="1">
        <f t="array" ref="J28">INDEX($P$2:$X$60, MATCH(1, ($P$2:$P$60=$A28) * ($Q$2:$Q$60=$B28), 0), MATCH(J$3, $P$1:$X$1, 0))</f>
        <v>0.22132024977698486</v>
      </c>
      <c r="K28" cm="1">
        <f t="array" ref="K28">INDEX($P$2:$X$60, MATCH(1, ($P$2:$P$60=$A28) * ($Q$2:$Q$60=$B28), 0), MATCH(K$3, $P$1:$X$1, 0))</f>
        <v>0.85093666369313126</v>
      </c>
      <c r="L28" t="b" cm="1">
        <f t="array" ref="L28">INDEX($AA$2:$AC$60, MATCH(1, ($P$2:$P$60=$A28) * ($Q$2:$Q$60=$B28), 0), MATCH(I$3, $AA$1:$AC$1, 0))</f>
        <v>1</v>
      </c>
      <c r="M28" t="b" cm="1">
        <f t="array" ref="M28">INDEX($AA$2:$AC$60, MATCH(1, ($P$2:$P$60=$A28) * ($Q$2:$Q$60=$B28), 0), MATCH(J$3, $AA$1:$AC$1, 0))</f>
        <v>0</v>
      </c>
      <c r="N28" t="b" cm="1">
        <f t="array" ref="N28">INDEX($AA$2:$AC$60, MATCH(1, ($P$2:$P$60=$A28) * ($Q$2:$Q$60=$B28), 0), MATCH(K$3, $AA$1:$AC$1, 0))</f>
        <v>0</v>
      </c>
      <c r="P28" t="s">
        <v>75</v>
      </c>
      <c r="Q28" t="s">
        <v>18</v>
      </c>
      <c r="R28">
        <f>medium!M7</f>
        <v>2.3695000000000001E-2</v>
      </c>
      <c r="S28">
        <f>medium!N7</f>
        <v>7.0541000000000006E-2</v>
      </c>
      <c r="T28" t="e">
        <f>medium!O7</f>
        <v>#N/A</v>
      </c>
      <c r="U28">
        <f>medium!P7</f>
        <v>1.8036E-2</v>
      </c>
      <c r="V28">
        <f>medium!Q7</f>
        <v>2.9770415699514667</v>
      </c>
      <c r="W28" t="str">
        <f>medium!R7</f>
        <v>DNF</v>
      </c>
      <c r="X28">
        <f>medium!S7</f>
        <v>0.76117324330027425</v>
      </c>
      <c r="Y28">
        <v>1</v>
      </c>
      <c r="AA28" t="b">
        <f>medium!T30</f>
        <v>1</v>
      </c>
      <c r="AB28" t="b">
        <f>medium!U30</f>
        <v>1</v>
      </c>
      <c r="AC28" t="b">
        <f>medium!V30</f>
        <v>0</v>
      </c>
    </row>
    <row r="29" spans="1:29" x14ac:dyDescent="0.2">
      <c r="A29" t="s">
        <v>75</v>
      </c>
      <c r="B29" t="s">
        <v>25</v>
      </c>
      <c r="C29" t="s">
        <v>81</v>
      </c>
      <c r="D29" t="str" cm="1">
        <f t="array" ref="D29">IF(ISBLANK(INDEX($P$2:$Y$60, MATCH(1, ($P$2:$P$60=$A29) * ($Q$2:$Q$60=$B29), 0), MATCH(D$3, $P$1:$Y$1, 0))), "-", INDEX($P$2:$Y$60, MATCH(1, ($P$2:$P$60=$A29) * ($Q$2:$Q$60=$B29), 0), MATCH(D$3, $P$1:$Y$1, 0)))</f>
        <v>-</v>
      </c>
      <c r="E29" t="e" cm="1">
        <f t="array" ref="E29">INDEX($P$2:$X$60, MATCH(1, ($P$2:$P$60=$A29) * ($Q$2:$Q$60=$B29), 0), MATCH(E$3, $P$1:$X$1, 0))</f>
        <v>#N/A</v>
      </c>
      <c r="F29" t="e" cm="1">
        <f t="array" ref="F29">INDEX($P$2:$X$60, MATCH(1, ($P$2:$P$60=$A29) * ($Q$2:$Q$60=$B29), 0), MATCH(F$3, $P$1:$X$1, 0))</f>
        <v>#N/A</v>
      </c>
      <c r="G29" cm="1">
        <f t="array" ref="G29">INDEX($P$2:$X$60, MATCH(1, ($P$2:$P$60=$A29) * ($Q$2:$Q$60=$B29), 0), MATCH(G$3, $P$1:$X$1, 0))</f>
        <v>182.74462199999999</v>
      </c>
      <c r="H29" cm="1">
        <f t="array" ref="H29">INDEX($P$2:$X$60, MATCH(1, ($P$2:$P$60=$A29) * ($Q$2:$Q$60=$B29), 0), MATCH(H$3, $P$1:$X$1, 0))</f>
        <v>183.95971299999999</v>
      </c>
      <c r="I29" t="str" cm="1">
        <f t="array" ref="I29">INDEX($P$2:$X$60, MATCH(1, ($P$2:$P$60=$A29) * ($Q$2:$Q$60=$B29), 0), MATCH(I$3, $P$1:$X$1, 0))</f>
        <v>DNF</v>
      </c>
      <c r="J29" t="str" cm="1">
        <f t="array" ref="J29">INDEX($P$2:$X$60, MATCH(1, ($P$2:$P$60=$A29) * ($Q$2:$Q$60=$B29), 0), MATCH(J$3, $P$1:$X$1, 0))</f>
        <v>DNF</v>
      </c>
      <c r="K29" cm="1">
        <f t="array" ref="K29">INDEX($P$2:$X$60, MATCH(1, ($P$2:$P$60=$A29) * ($Q$2:$Q$60=$B29), 0), MATCH(K$3, $P$1:$X$1, 0))</f>
        <v>1.0066491204321186</v>
      </c>
      <c r="L29" t="b" cm="1">
        <f t="array" ref="L29">INDEX($AA$2:$AC$60, MATCH(1, ($P$2:$P$60=$A29) * ($Q$2:$Q$60=$B29), 0), MATCH(I$3, $AA$1:$AC$1, 0))</f>
        <v>1</v>
      </c>
      <c r="M29" t="b" cm="1">
        <f t="array" ref="M29">INDEX($AA$2:$AC$60, MATCH(1, ($P$2:$P$60=$A29) * ($Q$2:$Q$60=$B29), 0), MATCH(J$3, $AA$1:$AC$1, 0))</f>
        <v>1</v>
      </c>
      <c r="N29" t="b" cm="1">
        <f t="array" ref="N29">INDEX($AA$2:$AC$60, MATCH(1, ($P$2:$P$60=$A29) * ($Q$2:$Q$60=$B29), 0), MATCH(K$3, $AA$1:$AC$1, 0))</f>
        <v>0</v>
      </c>
      <c r="P29" t="s">
        <v>75</v>
      </c>
      <c r="Q29" t="s">
        <v>20</v>
      </c>
      <c r="R29">
        <f>medium!M8</f>
        <v>0.30250899999999997</v>
      </c>
      <c r="S29">
        <f>medium!N8</f>
        <v>0.76612599999999997</v>
      </c>
      <c r="T29">
        <f>medium!O8</f>
        <v>14.768091</v>
      </c>
      <c r="U29">
        <f>medium!P8</f>
        <v>0.29150100000000001</v>
      </c>
      <c r="V29">
        <f>medium!Q8</f>
        <v>2.5325725846173173</v>
      </c>
      <c r="W29">
        <f>medium!R8</f>
        <v>48.818683080503398</v>
      </c>
      <c r="X29">
        <f>medium!S8</f>
        <v>0.9636110000033058</v>
      </c>
      <c r="Y29">
        <v>3</v>
      </c>
      <c r="AA29" t="b">
        <f>medium!T31</f>
        <v>1</v>
      </c>
      <c r="AB29" t="b">
        <f>medium!U31</f>
        <v>1</v>
      </c>
      <c r="AC29" t="b">
        <f>medium!V31</f>
        <v>0</v>
      </c>
    </row>
    <row r="30" spans="1:29" x14ac:dyDescent="0.2">
      <c r="A30" t="s">
        <v>77</v>
      </c>
      <c r="B30" t="s">
        <v>25</v>
      </c>
      <c r="C30" t="s">
        <v>83</v>
      </c>
      <c r="D30" t="str" cm="1">
        <f t="array" ref="D30">IF(ISBLANK(INDEX($P$2:$Y$60, MATCH(1, ($P$2:$P$60=$A30) * ($Q$2:$Q$60=$B30), 0), MATCH(D$3, $P$1:$Y$1, 0))), "-", INDEX($P$2:$Y$60, MATCH(1, ($P$2:$P$60=$A30) * ($Q$2:$Q$60=$B30), 0), MATCH(D$3, $P$1:$Y$1, 0)))</f>
        <v>-</v>
      </c>
      <c r="E30" t="e" cm="1">
        <f t="array" ref="E30">INDEX($P$2:$X$60, MATCH(1, ($P$2:$P$60=$A30) * ($Q$2:$Q$60=$B30), 0), MATCH(E$3, $P$1:$X$1, 0))</f>
        <v>#N/A</v>
      </c>
      <c r="F30" t="e" cm="1">
        <f t="array" ref="F30">INDEX($P$2:$X$60, MATCH(1, ($P$2:$P$60=$A30) * ($Q$2:$Q$60=$B30), 0), MATCH(F$3, $P$1:$X$1, 0))</f>
        <v>#N/A</v>
      </c>
      <c r="G30" cm="1">
        <f t="array" ref="G30">INDEX($P$2:$X$60, MATCH(1, ($P$2:$P$60=$A30) * ($Q$2:$Q$60=$B30), 0), MATCH(G$3, $P$1:$X$1, 0))</f>
        <v>447.75497200000001</v>
      </c>
      <c r="H30" cm="1">
        <f t="array" ref="H30">INDEX($P$2:$X$60, MATCH(1, ($P$2:$P$60=$A30) * ($Q$2:$Q$60=$B30), 0), MATCH(H$3, $P$1:$X$1, 0))</f>
        <v>442.861581</v>
      </c>
      <c r="I30" t="str" cm="1">
        <f t="array" ref="I30">INDEX($P$2:$X$60, MATCH(1, ($P$2:$P$60=$A30) * ($Q$2:$Q$60=$B30), 0), MATCH(I$3, $P$1:$X$1, 0))</f>
        <v>DNF</v>
      </c>
      <c r="J30" t="str" cm="1">
        <f t="array" ref="J30">INDEX($P$2:$X$60, MATCH(1, ($P$2:$P$60=$A30) * ($Q$2:$Q$60=$B30), 0), MATCH(J$3, $P$1:$X$1, 0))</f>
        <v>DNF</v>
      </c>
      <c r="K30" cm="1">
        <f t="array" ref="K30">INDEX($P$2:$X$60, MATCH(1, ($P$2:$P$60=$A30) * ($Q$2:$Q$60=$B30), 0), MATCH(K$3, $P$1:$X$1, 0))</f>
        <v>0.98907127490255986</v>
      </c>
      <c r="L30" t="b" cm="1">
        <f t="array" ref="L30">INDEX($AA$2:$AC$60, MATCH(1, ($P$2:$P$60=$A30) * ($Q$2:$Q$60=$B30), 0), MATCH(I$3, $AA$1:$AC$1, 0))</f>
        <v>1</v>
      </c>
      <c r="M30" t="b" cm="1">
        <f t="array" ref="M30">INDEX($AA$2:$AC$60, MATCH(1, ($P$2:$P$60=$A30) * ($Q$2:$Q$60=$B30), 0), MATCH(J$3, $AA$1:$AC$1, 0))</f>
        <v>1</v>
      </c>
      <c r="N30" t="b" cm="1">
        <f t="array" ref="N30">INDEX($AA$2:$AC$60, MATCH(1, ($P$2:$P$60=$A30) * ($Q$2:$Q$60=$B30), 0), MATCH(K$3, $AA$1:$AC$1, 0))</f>
        <v>0</v>
      </c>
      <c r="P30" t="s">
        <v>75</v>
      </c>
      <c r="Q30" t="s">
        <v>22</v>
      </c>
      <c r="R30">
        <f>medium!M9</f>
        <v>1.110039</v>
      </c>
      <c r="S30">
        <f>medium!N9</f>
        <v>5.7134239999999998</v>
      </c>
      <c r="T30" t="e">
        <f>medium!O9</f>
        <v>#N/A</v>
      </c>
      <c r="U30">
        <f>medium!P9</f>
        <v>1.0586629999999999</v>
      </c>
      <c r="V30">
        <f>medium!Q9</f>
        <v>5.1470479866022725</v>
      </c>
      <c r="W30" t="str">
        <f>medium!R9</f>
        <v>DNF</v>
      </c>
      <c r="X30">
        <f>medium!S9</f>
        <v>0.95371694147683095</v>
      </c>
      <c r="Y30">
        <v>11</v>
      </c>
      <c r="AA30" t="b">
        <f>medium!T32</f>
        <v>1</v>
      </c>
      <c r="AB30" t="b">
        <f>medium!U32</f>
        <v>1</v>
      </c>
      <c r="AC30" t="b">
        <f>medium!V32</f>
        <v>0</v>
      </c>
    </row>
    <row r="31" spans="1:29" x14ac:dyDescent="0.2">
      <c r="A31" t="s">
        <v>73</v>
      </c>
      <c r="B31" t="s">
        <v>27</v>
      </c>
      <c r="C31" t="s">
        <v>79</v>
      </c>
      <c r="D31" cm="1">
        <f t="array" ref="D31">IF(ISBLANK(INDEX($P$2:$Y$60, MATCH(1, ($P$2:$P$60=$A31) * ($Q$2:$Q$60=$B31), 0), MATCH(D$3, $P$1:$Y$1, 0))), "", INDEX($P$2:$Y$60, MATCH(1, ($P$2:$P$60=$A31) * ($Q$2:$Q$60=$B31), 0), MATCH(D$3, $P$1:$Y$1, 0)))</f>
        <v>3</v>
      </c>
      <c r="E31" cm="1">
        <f t="array" ref="E31">INDEX($P$2:$X$60, MATCH(1, ($P$2:$P$60=$A31) * ($Q$2:$Q$60=$B31), 0), MATCH(E$3, $P$1:$X$1, 0))</f>
        <v>2.1250000000000002E-3</v>
      </c>
      <c r="F31" cm="1">
        <f t="array" ref="F31">INDEX($P$2:$X$60, MATCH(1, ($P$2:$P$60=$A31) * ($Q$2:$Q$60=$B31), 0), MATCH(F$3, $P$1:$X$1, 0))</f>
        <v>7.1494000000000002E-2</v>
      </c>
      <c r="G31" cm="1">
        <f t="array" ref="G31">INDEX($P$2:$X$60, MATCH(1, ($P$2:$P$60=$A31) * ($Q$2:$Q$60=$B31), 0), MATCH(G$3, $P$1:$X$1, 0))</f>
        <v>1.7599E-2</v>
      </c>
      <c r="H31" cm="1">
        <f t="array" ref="H31">INDEX($P$2:$X$60, MATCH(1, ($P$2:$P$60=$A31) * ($Q$2:$Q$60=$B31), 0), MATCH(H$3, $P$1:$X$1, 0))</f>
        <v>1.2775999999999999E-2</v>
      </c>
      <c r="I31" cm="1">
        <f t="array" ref="I31">INDEX($P$2:$X$60, MATCH(1, ($P$2:$P$60=$A31) * ($Q$2:$Q$60=$B31), 0), MATCH(I$3, $P$1:$X$1, 0))</f>
        <v>4.0623899085175292</v>
      </c>
      <c r="J31" cm="1">
        <f t="array" ref="J31">INDEX($P$2:$X$60, MATCH(1, ($P$2:$P$60=$A31) * ($Q$2:$Q$60=$B31), 0), MATCH(J$3, $P$1:$X$1, 0))</f>
        <v>0.12074549690323315</v>
      </c>
      <c r="K31" cm="1">
        <f t="array" ref="K31">INDEX($P$2:$X$60, MATCH(1, ($P$2:$P$60=$A31) * ($Q$2:$Q$60=$B31), 0), MATCH(K$3, $P$1:$X$1, 0))</f>
        <v>0.72595033808739129</v>
      </c>
      <c r="L31" t="b" cm="1">
        <f t="array" ref="L31">INDEX($AA$2:$AC$60, MATCH(1, ($P$2:$P$60=$A31) * ($Q$2:$Q$60=$B31), 0), MATCH(I$3, $AA$1:$AC$1, 0))</f>
        <v>1</v>
      </c>
      <c r="M31" t="b" cm="1">
        <f t="array" ref="M31">INDEX($AA$2:$AC$60, MATCH(1, ($P$2:$P$60=$A31) * ($Q$2:$Q$60=$B31), 0), MATCH(J$3, $AA$1:$AC$1, 0))</f>
        <v>1</v>
      </c>
      <c r="N31" t="b" cm="1">
        <f t="array" ref="N31">INDEX($AA$2:$AC$60, MATCH(1, ($P$2:$P$60=$A31) * ($Q$2:$Q$60=$B31), 0), MATCH(K$3, $AA$1:$AC$1, 0))</f>
        <v>0</v>
      </c>
      <c r="P31" t="s">
        <v>75</v>
      </c>
      <c r="Q31" t="s">
        <v>58</v>
      </c>
      <c r="R31">
        <f>medium!M10</f>
        <v>7.6810000000000003E-3</v>
      </c>
      <c r="S31">
        <f>medium!N10</f>
        <v>6.3964999999999994E-2</v>
      </c>
      <c r="T31">
        <f>medium!O10</f>
        <v>18.281358000000001</v>
      </c>
      <c r="U31">
        <f>medium!P10</f>
        <v>8.1679999999999999E-3</v>
      </c>
      <c r="V31">
        <f>medium!Q10</f>
        <v>8.3276917068090075</v>
      </c>
      <c r="W31">
        <f>medium!R10</f>
        <v>2380.075250618409</v>
      </c>
      <c r="X31">
        <f>medium!S10</f>
        <v>1.0634032027079807</v>
      </c>
      <c r="Y31">
        <v>3</v>
      </c>
      <c r="AA31" t="b">
        <f>medium!T33</f>
        <v>1</v>
      </c>
      <c r="AB31" t="b">
        <f>medium!U33</f>
        <v>1</v>
      </c>
      <c r="AC31" t="b">
        <f>medium!V33</f>
        <v>0</v>
      </c>
    </row>
    <row r="32" spans="1:29" x14ac:dyDescent="0.2">
      <c r="A32" t="s">
        <v>75</v>
      </c>
      <c r="B32" t="s">
        <v>27</v>
      </c>
      <c r="C32" t="s">
        <v>89</v>
      </c>
      <c r="D32" cm="1">
        <f t="array" ref="D32">IF(ISBLANK(INDEX($P$2:$Y$60, MATCH(1, ($P$2:$P$60=$A32) * ($Q$2:$Q$60=$B32), 0), MATCH(D$3, $P$1:$Y$1, 0))), "-", INDEX($P$2:$Y$60, MATCH(1, ($P$2:$P$60=$A32) * ($Q$2:$Q$60=$B32), 0), MATCH(D$3, $P$1:$Y$1, 0)))</f>
        <v>16</v>
      </c>
      <c r="E32" t="e" cm="1">
        <f t="array" ref="E32">INDEX($P$2:$X$60, MATCH(1, ($P$2:$P$60=$A32) * ($Q$2:$Q$60=$B32), 0), MATCH(E$3, $P$1:$X$1, 0))</f>
        <v>#N/A</v>
      </c>
      <c r="F32" cm="1">
        <f t="array" ref="F32">INDEX($P$2:$X$60, MATCH(1, ($P$2:$P$60=$A32) * ($Q$2:$Q$60=$B32), 0), MATCH(F$3, $P$1:$X$1, 0))</f>
        <v>0.82805499999999999</v>
      </c>
      <c r="G32" cm="1">
        <f t="array" ref="G32">INDEX($P$2:$X$60, MATCH(1, ($P$2:$P$60=$A32) * ($Q$2:$Q$60=$B32), 0), MATCH(G$3, $P$1:$X$1, 0))</f>
        <v>5.5432000000000002E-2</v>
      </c>
      <c r="H32" cm="1">
        <f t="array" ref="H32">INDEX($P$2:$X$60, MATCH(1, ($P$2:$P$60=$A32) * ($Q$2:$Q$60=$B32), 0), MATCH(H$3, $P$1:$X$1, 0))</f>
        <v>5.3027999999999999E-2</v>
      </c>
      <c r="I32" cm="1">
        <f t="array" ref="I32">INDEX($P$2:$X$60, MATCH(1, ($P$2:$P$60=$A32) * ($Q$2:$Q$60=$B32), 0), MATCH(I$3, $P$1:$X$1, 0))</f>
        <v>14.93821258478857</v>
      </c>
      <c r="J32" t="str" cm="1">
        <f t="array" ref="J32">INDEX($P$2:$X$60, MATCH(1, ($P$2:$P$60=$A32) * ($Q$2:$Q$60=$B32), 0), MATCH(J$3, $P$1:$X$1, 0))</f>
        <v>DNF</v>
      </c>
      <c r="K32" cm="1">
        <f t="array" ref="K32">INDEX($P$2:$X$60, MATCH(1, ($P$2:$P$60=$A32) * ($Q$2:$Q$60=$B32), 0), MATCH(K$3, $P$1:$X$1, 0))</f>
        <v>0.95663154856400634</v>
      </c>
      <c r="L32" t="b" cm="1">
        <f t="array" ref="L32">INDEX($AA$2:$AC$60, MATCH(1, ($P$2:$P$60=$A32) * ($Q$2:$Q$60=$B32), 0), MATCH(I$3, $AA$1:$AC$1, 0))</f>
        <v>1</v>
      </c>
      <c r="M32" t="b" cm="1">
        <f t="array" ref="M32">INDEX($AA$2:$AC$60, MATCH(1, ($P$2:$P$60=$A32) * ($Q$2:$Q$60=$B32), 0), MATCH(J$3, $AA$1:$AC$1, 0))</f>
        <v>1</v>
      </c>
      <c r="N32" t="b" cm="1">
        <f t="array" ref="N32">INDEX($AA$2:$AC$60, MATCH(1, ($P$2:$P$60=$A32) * ($Q$2:$Q$60=$B32), 0), MATCH(K$3, $AA$1:$AC$1, 0))</f>
        <v>0</v>
      </c>
      <c r="P32" t="s">
        <v>75</v>
      </c>
      <c r="Q32" t="s">
        <v>25</v>
      </c>
      <c r="R32">
        <f>medium!M11</f>
        <v>182.74462199999999</v>
      </c>
      <c r="S32" t="e">
        <f>medium!N11</f>
        <v>#N/A</v>
      </c>
      <c r="T32" t="e">
        <f>medium!O11</f>
        <v>#N/A</v>
      </c>
      <c r="U32">
        <f>medium!P11</f>
        <v>183.95971299999999</v>
      </c>
      <c r="V32" t="str">
        <f>medium!Q11</f>
        <v>DNF</v>
      </c>
      <c r="W32" t="str">
        <f>medium!R11</f>
        <v>DNF</v>
      </c>
      <c r="X32">
        <f>medium!S11</f>
        <v>1.0066491204321186</v>
      </c>
      <c r="AA32" t="b">
        <f>medium!T34</f>
        <v>1</v>
      </c>
      <c r="AB32" t="b">
        <f>medium!U34</f>
        <v>1</v>
      </c>
      <c r="AC32" t="b">
        <f>medium!V34</f>
        <v>0</v>
      </c>
    </row>
    <row r="33" spans="1:29" x14ac:dyDescent="0.2">
      <c r="A33" t="s">
        <v>77</v>
      </c>
      <c r="B33" t="s">
        <v>27</v>
      </c>
      <c r="C33" t="s">
        <v>85</v>
      </c>
      <c r="D33" t="str" cm="1">
        <f t="array" ref="D33">IF(ISBLANK(INDEX($P$2:$Y$60, MATCH(1, ($P$2:$P$60=$A33) * ($Q$2:$Q$60=$B33), 0), MATCH(D$3, $P$1:$Y$1, 0))), "-", INDEX($P$2:$Y$60, MATCH(1, ($P$2:$P$60=$A33) * ($Q$2:$Q$60=$B33), 0), MATCH(D$3, $P$1:$Y$1, 0)))</f>
        <v>-</v>
      </c>
      <c r="E33" t="e" cm="1">
        <f t="array" ref="E33">INDEX($P$2:$X$60, MATCH(1, ($P$2:$P$60=$A33) * ($Q$2:$Q$60=$B33), 0), MATCH(E$3, $P$1:$X$1, 0))</f>
        <v>#N/A</v>
      </c>
      <c r="F33" t="e" cm="1">
        <f t="array" ref="F33">INDEX($P$2:$X$60, MATCH(1, ($P$2:$P$60=$A33) * ($Q$2:$Q$60=$B33), 0), MATCH(F$3, $P$1:$X$1, 0))</f>
        <v>#N/A</v>
      </c>
      <c r="G33" cm="1">
        <f t="array" ref="G33">INDEX($P$2:$X$60, MATCH(1, ($P$2:$P$60=$A33) * ($Q$2:$Q$60=$B33), 0), MATCH(G$3, $P$1:$X$1, 0))</f>
        <v>0.47815000000000002</v>
      </c>
      <c r="H33" cm="1">
        <f t="array" ref="H33">INDEX($P$2:$X$60, MATCH(1, ($P$2:$P$60=$A33) * ($Q$2:$Q$60=$B33), 0), MATCH(H$3, $P$1:$X$1, 0))</f>
        <v>0.477072</v>
      </c>
      <c r="I33" t="str" cm="1">
        <f t="array" ref="I33">INDEX($P$2:$X$60, MATCH(1, ($P$2:$P$60=$A33) * ($Q$2:$Q$60=$B33), 0), MATCH(I$3, $P$1:$X$1, 0))</f>
        <v>DNF</v>
      </c>
      <c r="J33" t="str" cm="1">
        <f t="array" ref="J33">INDEX($P$2:$X$60, MATCH(1, ($P$2:$P$60=$A33) * ($Q$2:$Q$60=$B33), 0), MATCH(J$3, $P$1:$X$1, 0))</f>
        <v>DNF</v>
      </c>
      <c r="K33" cm="1">
        <f t="array" ref="K33">INDEX($P$2:$X$60, MATCH(1, ($P$2:$P$60=$A33) * ($Q$2:$Q$60=$B33), 0), MATCH(K$3, $P$1:$X$1, 0))</f>
        <v>0.99774547736066088</v>
      </c>
      <c r="L33" t="b" cm="1">
        <f t="array" ref="L33">INDEX($AA$2:$AC$60, MATCH(1, ($P$2:$P$60=$A33) * ($Q$2:$Q$60=$B33), 0), MATCH(I$3, $AA$1:$AC$1, 0))</f>
        <v>1</v>
      </c>
      <c r="M33" t="b" cm="1">
        <f t="array" ref="M33">INDEX($AA$2:$AC$60, MATCH(1, ($P$2:$P$60=$A33) * ($Q$2:$Q$60=$B33), 0), MATCH(J$3, $AA$1:$AC$1, 0))</f>
        <v>1</v>
      </c>
      <c r="N33" t="b" cm="1">
        <f t="array" ref="N33">INDEX($AA$2:$AC$60, MATCH(1, ($P$2:$P$60=$A33) * ($Q$2:$Q$60=$B33), 0), MATCH(K$3, $AA$1:$AC$1, 0))</f>
        <v>0</v>
      </c>
      <c r="P33" t="s">
        <v>75</v>
      </c>
      <c r="Q33" t="s">
        <v>27</v>
      </c>
      <c r="R33">
        <f>medium!M12</f>
        <v>5.5432000000000002E-2</v>
      </c>
      <c r="S33">
        <f>medium!N12</f>
        <v>0.82805499999999999</v>
      </c>
      <c r="T33" t="e">
        <f>medium!O12</f>
        <v>#N/A</v>
      </c>
      <c r="U33">
        <f>medium!P12</f>
        <v>5.3027999999999999E-2</v>
      </c>
      <c r="V33">
        <f>medium!Q12</f>
        <v>14.93821258478857</v>
      </c>
      <c r="W33" t="str">
        <f>medium!R12</f>
        <v>DNF</v>
      </c>
      <c r="X33">
        <f>medium!S12</f>
        <v>0.95663154856400634</v>
      </c>
      <c r="Y33">
        <v>16</v>
      </c>
      <c r="AA33" t="b">
        <f>medium!T35</f>
        <v>1</v>
      </c>
      <c r="AB33" t="b">
        <f>medium!U35</f>
        <v>1</v>
      </c>
      <c r="AC33" t="b">
        <f>medium!V35</f>
        <v>0</v>
      </c>
    </row>
    <row r="34" spans="1:29" x14ac:dyDescent="0.2">
      <c r="A34" t="s">
        <v>73</v>
      </c>
      <c r="B34" t="s">
        <v>29</v>
      </c>
      <c r="C34" t="s">
        <v>74</v>
      </c>
      <c r="D34" cm="1">
        <f t="array" ref="D34">IF(ISBLANK(INDEX($P$2:$Y$60, MATCH(1, ($P$2:$P$60=$A34) * ($Q$2:$Q$60=$B34), 0), MATCH(D$3, $P$1:$Y$1, 0))), "", INDEX($P$2:$Y$60, MATCH(1, ($P$2:$P$60=$A34) * ($Q$2:$Q$60=$B34), 0), MATCH(D$3, $P$1:$Y$1, 0)))</f>
        <v>2</v>
      </c>
      <c r="E34" cm="1">
        <f t="array" ref="E34">INDEX($P$2:$X$60, MATCH(1, ($P$2:$P$60=$A34) * ($Q$2:$Q$60=$B34), 0), MATCH(E$3, $P$1:$X$1, 0))</f>
        <v>2.1800000000000001E-3</v>
      </c>
      <c r="F34" cm="1">
        <f t="array" ref="F34">INDEX($P$2:$X$60, MATCH(1, ($P$2:$P$60=$A34) * ($Q$2:$Q$60=$B34), 0), MATCH(F$3, $P$1:$X$1, 0))</f>
        <v>3.7434000000000002E-2</v>
      </c>
      <c r="G34" cm="1">
        <f t="array" ref="G34">INDEX($P$2:$X$60, MATCH(1, ($P$2:$P$60=$A34) * ($Q$2:$Q$60=$B34), 0), MATCH(G$3, $P$1:$X$1, 0))</f>
        <v>6.8830000000000002E-3</v>
      </c>
      <c r="H34" cm="1">
        <f t="array" ref="H34">INDEX($P$2:$X$60, MATCH(1, ($P$2:$P$60=$A34) * ($Q$2:$Q$60=$B34), 0), MATCH(H$3, $P$1:$X$1, 0))</f>
        <v>5.8710000000000004E-3</v>
      </c>
      <c r="I34" cm="1">
        <f t="array" ref="I34">INDEX($P$2:$X$60, MATCH(1, ($P$2:$P$60=$A34) * ($Q$2:$Q$60=$B34), 0), MATCH(I$3, $P$1:$X$1, 0))</f>
        <v>5.4386168821734708</v>
      </c>
      <c r="J34" cm="1">
        <f t="array" ref="J34">INDEX($P$2:$X$60, MATCH(1, ($P$2:$P$60=$A34) * ($Q$2:$Q$60=$B34), 0), MATCH(J$3, $P$1:$X$1, 0))</f>
        <v>0.31672235943629229</v>
      </c>
      <c r="K34" cm="1">
        <f t="array" ref="K34">INDEX($P$2:$X$60, MATCH(1, ($P$2:$P$60=$A34) * ($Q$2:$Q$60=$B34), 0), MATCH(K$3, $P$1:$X$1, 0))</f>
        <v>0.85297108818829004</v>
      </c>
      <c r="L34" t="b" cm="1">
        <f t="array" ref="L34">INDEX($AA$2:$AC$60, MATCH(1, ($P$2:$P$60=$A34) * ($Q$2:$Q$60=$B34), 0), MATCH(I$3, $AA$1:$AC$1, 0))</f>
        <v>1</v>
      </c>
      <c r="M34" t="b" cm="1">
        <f t="array" ref="M34">INDEX($AA$2:$AC$60, MATCH(1, ($P$2:$P$60=$A34) * ($Q$2:$Q$60=$B34), 0), MATCH(J$3, $AA$1:$AC$1, 0))</f>
        <v>0</v>
      </c>
      <c r="N34" t="b" cm="1">
        <f t="array" ref="N34">INDEX($AA$2:$AC$60, MATCH(1, ($P$2:$P$60=$A34) * ($Q$2:$Q$60=$B34), 0), MATCH(K$3, $AA$1:$AC$1, 0))</f>
        <v>0</v>
      </c>
      <c r="P34" t="s">
        <v>75</v>
      </c>
      <c r="Q34" t="s">
        <v>29</v>
      </c>
      <c r="R34">
        <f>medium!M13</f>
        <v>6.6562999999999997E-2</v>
      </c>
      <c r="S34">
        <f>medium!N13</f>
        <v>0.39228499999999999</v>
      </c>
      <c r="T34" t="e">
        <f>medium!O13</f>
        <v>#N/A</v>
      </c>
      <c r="U34">
        <f>medium!P13</f>
        <v>6.9117999999999999E-2</v>
      </c>
      <c r="V34">
        <f>medium!Q13</f>
        <v>5.893439298108559</v>
      </c>
      <c r="W34" t="str">
        <f>medium!R13</f>
        <v>DNF</v>
      </c>
      <c r="X34">
        <f>medium!S13</f>
        <v>1.0383846881901357</v>
      </c>
      <c r="Y34">
        <v>2</v>
      </c>
      <c r="AA34" t="b">
        <f>medium!T36</f>
        <v>1</v>
      </c>
      <c r="AB34" t="b">
        <f>medium!U36</f>
        <v>1</v>
      </c>
      <c r="AC34" t="b">
        <f>medium!V36</f>
        <v>0</v>
      </c>
    </row>
    <row r="35" spans="1:29" x14ac:dyDescent="0.2">
      <c r="A35" t="s">
        <v>75</v>
      </c>
      <c r="B35" t="s">
        <v>29</v>
      </c>
      <c r="C35" t="s">
        <v>81</v>
      </c>
      <c r="D35" cm="1">
        <f t="array" ref="D35">IF(ISBLANK(INDEX($P$2:$Y$60, MATCH(1, ($P$2:$P$60=$A35) * ($Q$2:$Q$60=$B35), 0), MATCH(D$3, $P$1:$Y$1, 0))), "-", INDEX($P$2:$Y$60, MATCH(1, ($P$2:$P$60=$A35) * ($Q$2:$Q$60=$B35), 0), MATCH(D$3, $P$1:$Y$1, 0)))</f>
        <v>2</v>
      </c>
      <c r="E35" t="e" cm="1">
        <f t="array" ref="E35">INDEX($P$2:$X$60, MATCH(1, ($P$2:$P$60=$A35) * ($Q$2:$Q$60=$B35), 0), MATCH(E$3, $P$1:$X$1, 0))</f>
        <v>#N/A</v>
      </c>
      <c r="F35" cm="1">
        <f t="array" ref="F35">INDEX($P$2:$X$60, MATCH(1, ($P$2:$P$60=$A35) * ($Q$2:$Q$60=$B35), 0), MATCH(F$3, $P$1:$X$1, 0))</f>
        <v>0.39228499999999999</v>
      </c>
      <c r="G35" cm="1">
        <f t="array" ref="G35">INDEX($P$2:$X$60, MATCH(1, ($P$2:$P$60=$A35) * ($Q$2:$Q$60=$B35), 0), MATCH(G$3, $P$1:$X$1, 0))</f>
        <v>6.6562999999999997E-2</v>
      </c>
      <c r="H35" cm="1">
        <f t="array" ref="H35">INDEX($P$2:$X$60, MATCH(1, ($P$2:$P$60=$A35) * ($Q$2:$Q$60=$B35), 0), MATCH(H$3, $P$1:$X$1, 0))</f>
        <v>6.9117999999999999E-2</v>
      </c>
      <c r="I35" cm="1">
        <f t="array" ref="I35">INDEX($P$2:$X$60, MATCH(1, ($P$2:$P$60=$A35) * ($Q$2:$Q$60=$B35), 0), MATCH(I$3, $P$1:$X$1, 0))</f>
        <v>5.893439298108559</v>
      </c>
      <c r="J35" t="str" cm="1">
        <f t="array" ref="J35">INDEX($P$2:$X$60, MATCH(1, ($P$2:$P$60=$A35) * ($Q$2:$Q$60=$B35), 0), MATCH(J$3, $P$1:$X$1, 0))</f>
        <v>DNF</v>
      </c>
      <c r="K35" cm="1">
        <f t="array" ref="K35">INDEX($P$2:$X$60, MATCH(1, ($P$2:$P$60=$A35) * ($Q$2:$Q$60=$B35), 0), MATCH(K$3, $P$1:$X$1, 0))</f>
        <v>1.0383846881901357</v>
      </c>
      <c r="L35" t="b" cm="1">
        <f t="array" ref="L35">INDEX($AA$2:$AC$60, MATCH(1, ($P$2:$P$60=$A35) * ($Q$2:$Q$60=$B35), 0), MATCH(I$3, $AA$1:$AC$1, 0))</f>
        <v>1</v>
      </c>
      <c r="M35" t="b" cm="1">
        <f t="array" ref="M35">INDEX($AA$2:$AC$60, MATCH(1, ($P$2:$P$60=$A35) * ($Q$2:$Q$60=$B35), 0), MATCH(J$3, $AA$1:$AC$1, 0))</f>
        <v>1</v>
      </c>
      <c r="N35" t="b" cm="1">
        <f t="array" ref="N35">INDEX($AA$2:$AC$60, MATCH(1, ($P$2:$P$60=$A35) * ($Q$2:$Q$60=$B35), 0), MATCH(K$3, $AA$1:$AC$1, 0))</f>
        <v>0</v>
      </c>
      <c r="P35" t="s">
        <v>75</v>
      </c>
      <c r="Q35" t="s">
        <v>31</v>
      </c>
      <c r="R35">
        <f>medium!M14</f>
        <v>9.0717999999999993E-2</v>
      </c>
      <c r="S35">
        <f>medium!N14</f>
        <v>0.65006799999999998</v>
      </c>
      <c r="T35" t="e">
        <f>medium!O14</f>
        <v>#N/A</v>
      </c>
      <c r="U35">
        <f>medium!P14</f>
        <v>8.7290000000000006E-2</v>
      </c>
      <c r="V35">
        <f>medium!Q14</f>
        <v>7.1658105337419258</v>
      </c>
      <c r="W35" t="str">
        <f>medium!R14</f>
        <v>DNF</v>
      </c>
      <c r="X35">
        <f>medium!S14</f>
        <v>0.9622125708238719</v>
      </c>
      <c r="Y35">
        <v>5</v>
      </c>
      <c r="AA35" t="b">
        <f>medium!T37</f>
        <v>1</v>
      </c>
      <c r="AB35" t="b">
        <f>medium!U37</f>
        <v>1</v>
      </c>
      <c r="AC35" t="b">
        <f>medium!V37</f>
        <v>0</v>
      </c>
    </row>
    <row r="36" spans="1:29" x14ac:dyDescent="0.2">
      <c r="A36" t="s">
        <v>77</v>
      </c>
      <c r="B36" t="s">
        <v>29</v>
      </c>
      <c r="C36" t="s">
        <v>76</v>
      </c>
      <c r="D36" cm="1">
        <f t="array" ref="D36">IF(ISBLANK(INDEX($P$2:$Y$60, MATCH(1, ($P$2:$P$60=$A36) * ($Q$2:$Q$60=$B36), 0), MATCH(D$3, $P$1:$Y$1, 0))), "-", INDEX($P$2:$Y$60, MATCH(1, ($P$2:$P$60=$A36) * ($Q$2:$Q$60=$B36), 0), MATCH(D$3, $P$1:$Y$1, 0)))</f>
        <v>2</v>
      </c>
      <c r="E36" t="e" cm="1">
        <f t="array" ref="E36">INDEX($P$2:$X$60, MATCH(1, ($P$2:$P$60=$A36) * ($Q$2:$Q$60=$B36), 0), MATCH(E$3, $P$1:$X$1, 0))</f>
        <v>#N/A</v>
      </c>
      <c r="F36" cm="1">
        <f t="array" ref="F36">INDEX($P$2:$X$60, MATCH(1, ($P$2:$P$60=$A36) * ($Q$2:$Q$60=$B36), 0), MATCH(F$3, $P$1:$X$1, 0))</f>
        <v>0.71664899999999998</v>
      </c>
      <c r="G36" cm="1">
        <f t="array" ref="G36">INDEX($P$2:$X$60, MATCH(1, ($P$2:$P$60=$A36) * ($Q$2:$Q$60=$B36), 0), MATCH(G$3, $P$1:$X$1, 0))</f>
        <v>0.70641200000000004</v>
      </c>
      <c r="H36" cm="1">
        <f t="array" ref="H36">INDEX($P$2:$X$60, MATCH(1, ($P$2:$P$60=$A36) * ($Q$2:$Q$60=$B36), 0), MATCH(H$3, $P$1:$X$1, 0))</f>
        <v>0.71308899999999997</v>
      </c>
      <c r="I36" cm="1">
        <f t="array" ref="I36">INDEX($P$2:$X$60, MATCH(1, ($P$2:$P$60=$A36) * ($Q$2:$Q$60=$B36), 0), MATCH(I$3, $P$1:$X$1, 0))</f>
        <v>1.0144915431787682</v>
      </c>
      <c r="J36" t="str" cm="1">
        <f t="array" ref="J36">INDEX($P$2:$X$60, MATCH(1, ($P$2:$P$60=$A36) * ($Q$2:$Q$60=$B36), 0), MATCH(J$3, $P$1:$X$1, 0))</f>
        <v>DNF</v>
      </c>
      <c r="K36" cm="1">
        <f t="array" ref="K36">INDEX($P$2:$X$60, MATCH(1, ($P$2:$P$60=$A36) * ($Q$2:$Q$60=$B36), 0), MATCH(K$3, $P$1:$X$1, 0))</f>
        <v>1.0094519911892776</v>
      </c>
      <c r="L36" t="b" cm="1">
        <f t="array" ref="L36">INDEX($AA$2:$AC$60, MATCH(1, ($P$2:$P$60=$A36) * ($Q$2:$Q$60=$B36), 0), MATCH(I$3, $AA$1:$AC$1, 0))</f>
        <v>0</v>
      </c>
      <c r="M36" t="b" cm="1">
        <f t="array" ref="M36">INDEX($AA$2:$AC$60, MATCH(1, ($P$2:$P$60=$A36) * ($Q$2:$Q$60=$B36), 0), MATCH(J$3, $AA$1:$AC$1, 0))</f>
        <v>1</v>
      </c>
      <c r="N36" t="b" cm="1">
        <f t="array" ref="N36">INDEX($AA$2:$AC$60, MATCH(1, ($P$2:$P$60=$A36) * ($Q$2:$Q$60=$B36), 0), MATCH(K$3, $AA$1:$AC$1, 0))</f>
        <v>0</v>
      </c>
      <c r="P36" t="s">
        <v>75</v>
      </c>
      <c r="Q36" t="s">
        <v>33</v>
      </c>
      <c r="R36">
        <f>medium!M15</f>
        <v>5.3682000000000001E-2</v>
      </c>
      <c r="S36">
        <f>medium!N15</f>
        <v>0.85997400000000002</v>
      </c>
      <c r="T36" t="e">
        <f>medium!O15</f>
        <v>#N/A</v>
      </c>
      <c r="U36">
        <f>medium!P15</f>
        <v>5.1891E-2</v>
      </c>
      <c r="V36">
        <f>medium!Q15</f>
        <v>16.019783167542194</v>
      </c>
      <c r="W36" t="str">
        <f>medium!R15</f>
        <v>DNF</v>
      </c>
      <c r="X36">
        <f>medium!S15</f>
        <v>0.96663686151782724</v>
      </c>
      <c r="Y36">
        <v>16</v>
      </c>
      <c r="AA36" t="b">
        <f>medium!T38</f>
        <v>1</v>
      </c>
      <c r="AB36" t="b">
        <f>medium!U38</f>
        <v>1</v>
      </c>
      <c r="AC36" t="b">
        <f>medium!V38</f>
        <v>0</v>
      </c>
    </row>
    <row r="37" spans="1:29" x14ac:dyDescent="0.2">
      <c r="A37" t="s">
        <v>73</v>
      </c>
      <c r="B37" t="s">
        <v>31</v>
      </c>
      <c r="C37" t="s">
        <v>74</v>
      </c>
      <c r="D37" cm="1">
        <f t="array" ref="D37">IF(ISBLANK(INDEX($P$2:$Y$60, MATCH(1, ($P$2:$P$60=$A37) * ($Q$2:$Q$60=$B37), 0), MATCH(D$3, $P$1:$Y$1, 0))), "", INDEX($P$2:$Y$60, MATCH(1, ($P$2:$P$60=$A37) * ($Q$2:$Q$60=$B37), 0), MATCH(D$3, $P$1:$Y$1, 0)))</f>
        <v>5</v>
      </c>
      <c r="E37" cm="1">
        <f t="array" ref="E37">INDEX($P$2:$X$60, MATCH(1, ($P$2:$P$60=$A37) * ($Q$2:$Q$60=$B37), 0), MATCH(E$3, $P$1:$X$1, 0))</f>
        <v>3.4740000000000001E-3</v>
      </c>
      <c r="F37" cm="1">
        <f t="array" ref="F37">INDEX($P$2:$X$60, MATCH(1, ($P$2:$P$60=$A37) * ($Q$2:$Q$60=$B37), 0), MATCH(F$3, $P$1:$X$1, 0))</f>
        <v>7.4177999999999994E-2</v>
      </c>
      <c r="G37" cm="1">
        <f t="array" ref="G37">INDEX($P$2:$X$60, MATCH(1, ($P$2:$P$60=$A37) * ($Q$2:$Q$60=$B37), 0), MATCH(G$3, $P$1:$X$1, 0))</f>
        <v>8.8889999999999993E-3</v>
      </c>
      <c r="H37" cm="1">
        <f t="array" ref="H37">INDEX($P$2:$X$60, MATCH(1, ($P$2:$P$60=$A37) * ($Q$2:$Q$60=$B37), 0), MATCH(H$3, $P$1:$X$1, 0))</f>
        <v>5.9810000000000002E-3</v>
      </c>
      <c r="I37" cm="1">
        <f t="array" ref="I37">INDEX($P$2:$X$60, MATCH(1, ($P$2:$P$60=$A37) * ($Q$2:$Q$60=$B37), 0), MATCH(I$3, $P$1:$X$1, 0))</f>
        <v>8.3449206884913938</v>
      </c>
      <c r="J37" cm="1">
        <f t="array" ref="J37">INDEX($P$2:$X$60, MATCH(1, ($P$2:$P$60=$A37) * ($Q$2:$Q$60=$B37), 0), MATCH(J$3, $P$1:$X$1, 0))</f>
        <v>0.39082011474856571</v>
      </c>
      <c r="K37" cm="1">
        <f t="array" ref="K37">INDEX($P$2:$X$60, MATCH(1, ($P$2:$P$60=$A37) * ($Q$2:$Q$60=$B37), 0), MATCH(K$3, $P$1:$X$1, 0))</f>
        <v>0.67285408932388358</v>
      </c>
      <c r="L37" t="b" cm="1">
        <f t="array" ref="L37">INDEX($AA$2:$AC$60, MATCH(1, ($P$2:$P$60=$A37) * ($Q$2:$Q$60=$B37), 0), MATCH(I$3, $AA$1:$AC$1, 0))</f>
        <v>1</v>
      </c>
      <c r="M37" t="b" cm="1">
        <f t="array" ref="M37">INDEX($AA$2:$AC$60, MATCH(1, ($P$2:$P$60=$A37) * ($Q$2:$Q$60=$B37), 0), MATCH(J$3, $AA$1:$AC$1, 0))</f>
        <v>0</v>
      </c>
      <c r="N37" t="b" cm="1">
        <f t="array" ref="N37">INDEX($AA$2:$AC$60, MATCH(1, ($P$2:$P$60=$A37) * ($Q$2:$Q$60=$B37), 0), MATCH(K$3, $AA$1:$AC$1, 0))</f>
        <v>0</v>
      </c>
      <c r="P37" t="s">
        <v>75</v>
      </c>
      <c r="Q37" t="s">
        <v>35</v>
      </c>
      <c r="R37">
        <f>medium!M16</f>
        <v>2.9388999999999998E-2</v>
      </c>
      <c r="S37">
        <f>medium!N16</f>
        <v>0.16139899999999999</v>
      </c>
      <c r="T37">
        <f>medium!O16</f>
        <v>0.51264699999999996</v>
      </c>
      <c r="U37">
        <f>medium!P16</f>
        <v>2.7459999999999998E-2</v>
      </c>
      <c r="V37">
        <f>medium!Q16</f>
        <v>5.4918166660995613</v>
      </c>
      <c r="W37">
        <f>medium!R16</f>
        <v>17.443499268433769</v>
      </c>
      <c r="X37">
        <f>medium!S16</f>
        <v>0.93436319711456661</v>
      </c>
      <c r="Y37">
        <v>9</v>
      </c>
      <c r="AA37" t="b">
        <f>medium!T39</f>
        <v>1</v>
      </c>
      <c r="AB37" t="b">
        <f>medium!U39</f>
        <v>1</v>
      </c>
      <c r="AC37" t="b">
        <f>medium!V39</f>
        <v>0</v>
      </c>
    </row>
    <row r="38" spans="1:29" x14ac:dyDescent="0.2">
      <c r="A38" t="s">
        <v>75</v>
      </c>
      <c r="B38" t="s">
        <v>31</v>
      </c>
      <c r="C38" t="s">
        <v>83</v>
      </c>
      <c r="D38" cm="1">
        <f t="array" ref="D38">IF(ISBLANK(INDEX($P$2:$Y$60, MATCH(1, ($P$2:$P$60=$A38) * ($Q$2:$Q$60=$B38), 0), MATCH(D$3, $P$1:$Y$1, 0))), "-", INDEX($P$2:$Y$60, MATCH(1, ($P$2:$P$60=$A38) * ($Q$2:$Q$60=$B38), 0), MATCH(D$3, $P$1:$Y$1, 0)))</f>
        <v>5</v>
      </c>
      <c r="E38" t="e" cm="1">
        <f t="array" ref="E38">INDEX($P$2:$X$60, MATCH(1, ($P$2:$P$60=$A38) * ($Q$2:$Q$60=$B38), 0), MATCH(E$3, $P$1:$X$1, 0))</f>
        <v>#N/A</v>
      </c>
      <c r="F38" cm="1">
        <f t="array" ref="F38">INDEX($P$2:$X$60, MATCH(1, ($P$2:$P$60=$A38) * ($Q$2:$Q$60=$B38), 0), MATCH(F$3, $P$1:$X$1, 0))</f>
        <v>0.65006799999999998</v>
      </c>
      <c r="G38" cm="1">
        <f t="array" ref="G38">INDEX($P$2:$X$60, MATCH(1, ($P$2:$P$60=$A38) * ($Q$2:$Q$60=$B38), 0), MATCH(G$3, $P$1:$X$1, 0))</f>
        <v>9.0717999999999993E-2</v>
      </c>
      <c r="H38" cm="1">
        <f t="array" ref="H38">INDEX($P$2:$X$60, MATCH(1, ($P$2:$P$60=$A38) * ($Q$2:$Q$60=$B38), 0), MATCH(H$3, $P$1:$X$1, 0))</f>
        <v>8.7290000000000006E-2</v>
      </c>
      <c r="I38" cm="1">
        <f t="array" ref="I38">INDEX($P$2:$X$60, MATCH(1, ($P$2:$P$60=$A38) * ($Q$2:$Q$60=$B38), 0), MATCH(I$3, $P$1:$X$1, 0))</f>
        <v>7.1658105337419258</v>
      </c>
      <c r="J38" t="str" cm="1">
        <f t="array" ref="J38">INDEX($P$2:$X$60, MATCH(1, ($P$2:$P$60=$A38) * ($Q$2:$Q$60=$B38), 0), MATCH(J$3, $P$1:$X$1, 0))</f>
        <v>DNF</v>
      </c>
      <c r="K38" cm="1">
        <f t="array" ref="K38">INDEX($P$2:$X$60, MATCH(1, ($P$2:$P$60=$A38) * ($Q$2:$Q$60=$B38), 0), MATCH(K$3, $P$1:$X$1, 0))</f>
        <v>0.9622125708238719</v>
      </c>
      <c r="L38" t="b" cm="1">
        <f t="array" ref="L38">INDEX($AA$2:$AC$60, MATCH(1, ($P$2:$P$60=$A38) * ($Q$2:$Q$60=$B38), 0), MATCH(I$3, $AA$1:$AC$1, 0))</f>
        <v>1</v>
      </c>
      <c r="M38" t="b" cm="1">
        <f t="array" ref="M38">INDEX($AA$2:$AC$60, MATCH(1, ($P$2:$P$60=$A38) * ($Q$2:$Q$60=$B38), 0), MATCH(J$3, $AA$1:$AC$1, 0))</f>
        <v>1</v>
      </c>
      <c r="N38" t="b" cm="1">
        <f t="array" ref="N38">INDEX($AA$2:$AC$60, MATCH(1, ($P$2:$P$60=$A38) * ($Q$2:$Q$60=$B38), 0), MATCH(K$3, $AA$1:$AC$1, 0))</f>
        <v>0</v>
      </c>
      <c r="P38" t="s">
        <v>75</v>
      </c>
      <c r="Q38" t="s">
        <v>37</v>
      </c>
      <c r="R38">
        <f>medium!M17</f>
        <v>2.1453E-2</v>
      </c>
      <c r="S38">
        <f>medium!N17</f>
        <v>7.6234999999999997E-2</v>
      </c>
      <c r="T38">
        <f>medium!O17</f>
        <v>0.364846</v>
      </c>
      <c r="U38">
        <f>medium!P17</f>
        <v>1.8523000000000001E-2</v>
      </c>
      <c r="V38">
        <f>medium!Q17</f>
        <v>3.5535822495688247</v>
      </c>
      <c r="W38">
        <f>medium!R17</f>
        <v>17.006758961450615</v>
      </c>
      <c r="X38">
        <f>medium!S17</f>
        <v>0.86342236517037252</v>
      </c>
      <c r="Y38">
        <v>5</v>
      </c>
      <c r="AA38" t="b">
        <f>medium!T40</f>
        <v>1</v>
      </c>
      <c r="AB38" t="b">
        <f>medium!U40</f>
        <v>1</v>
      </c>
      <c r="AC38" t="b">
        <f>medium!V40</f>
        <v>0</v>
      </c>
    </row>
    <row r="39" spans="1:29" x14ac:dyDescent="0.2">
      <c r="A39" t="s">
        <v>77</v>
      </c>
      <c r="B39" t="s">
        <v>31</v>
      </c>
      <c r="C39" t="s">
        <v>84</v>
      </c>
      <c r="D39" cm="1">
        <f t="array" ref="D39">IF(ISBLANK(INDEX($P$2:$Y$60, MATCH(1, ($P$2:$P$60=$A39) * ($Q$2:$Q$60=$B39), 0), MATCH(D$3, $P$1:$Y$1, 0))), "-", INDEX($P$2:$Y$60, MATCH(1, ($P$2:$P$60=$A39) * ($Q$2:$Q$60=$B39), 0), MATCH(D$3, $P$1:$Y$1, 0)))</f>
        <v>7</v>
      </c>
      <c r="E39" t="e" cm="1">
        <f t="array" ref="E39">INDEX($P$2:$X$60, MATCH(1, ($P$2:$P$60=$A39) * ($Q$2:$Q$60=$B39), 0), MATCH(E$3, $P$1:$X$1, 0))</f>
        <v>#N/A</v>
      </c>
      <c r="F39" cm="1">
        <f t="array" ref="F39">INDEX($P$2:$X$60, MATCH(1, ($P$2:$P$60=$A39) * ($Q$2:$Q$60=$B39), 0), MATCH(F$3, $P$1:$X$1, 0))</f>
        <v>3.3688129999999998</v>
      </c>
      <c r="G39" cm="1">
        <f t="array" ref="G39">INDEX($P$2:$X$60, MATCH(1, ($P$2:$P$60=$A39) * ($Q$2:$Q$60=$B39), 0), MATCH(G$3, $P$1:$X$1, 0))</f>
        <v>0.87323200000000001</v>
      </c>
      <c r="H39" cm="1">
        <f t="array" ref="H39">INDEX($P$2:$X$60, MATCH(1, ($P$2:$P$60=$A39) * ($Q$2:$Q$60=$B39), 0), MATCH(H$3, $P$1:$X$1, 0))</f>
        <v>0.86595999999999995</v>
      </c>
      <c r="I39" cm="1">
        <f t="array" ref="I39">INDEX($P$2:$X$60, MATCH(1, ($P$2:$P$60=$A39) * ($Q$2:$Q$60=$B39), 0), MATCH(I$3, $P$1:$X$1, 0))</f>
        <v>3.8578670960294628</v>
      </c>
      <c r="J39" t="str" cm="1">
        <f t="array" ref="J39">INDEX($P$2:$X$60, MATCH(1, ($P$2:$P$60=$A39) * ($Q$2:$Q$60=$B39), 0), MATCH(J$3, $P$1:$X$1, 0))</f>
        <v>DNF</v>
      </c>
      <c r="K39" cm="1">
        <f t="array" ref="K39">INDEX($P$2:$X$60, MATCH(1, ($P$2:$P$60=$A39) * ($Q$2:$Q$60=$B39), 0), MATCH(K$3, $P$1:$X$1, 0))</f>
        <v>0.99167231617714413</v>
      </c>
      <c r="L39" t="b" cm="1">
        <f t="array" ref="L39">INDEX($AA$2:$AC$60, MATCH(1, ($P$2:$P$60=$A39) * ($Q$2:$Q$60=$B39), 0), MATCH(I$3, $AA$1:$AC$1, 0))</f>
        <v>1</v>
      </c>
      <c r="M39" t="b" cm="1">
        <f t="array" ref="M39">INDEX($AA$2:$AC$60, MATCH(1, ($P$2:$P$60=$A39) * ($Q$2:$Q$60=$B39), 0), MATCH(J$3, $AA$1:$AC$1, 0))</f>
        <v>1</v>
      </c>
      <c r="N39" t="b" cm="1">
        <f t="array" ref="N39">INDEX($AA$2:$AC$60, MATCH(1, ($P$2:$P$60=$A39) * ($Q$2:$Q$60=$B39), 0), MATCH(K$3, $AA$1:$AC$1, 0))</f>
        <v>0</v>
      </c>
      <c r="P39" t="s">
        <v>75</v>
      </c>
      <c r="Q39" t="s">
        <v>39</v>
      </c>
      <c r="R39">
        <f>medium!M18</f>
        <v>0.12890499999999999</v>
      </c>
      <c r="S39">
        <f>medium!N18</f>
        <v>2.6444559999999999</v>
      </c>
      <c r="T39" t="e">
        <f>medium!O18</f>
        <v>#N/A</v>
      </c>
      <c r="U39">
        <f>medium!P18</f>
        <v>0.13126599999999999</v>
      </c>
      <c r="V39">
        <f>medium!Q18</f>
        <v>20.514766688646677</v>
      </c>
      <c r="W39" t="str">
        <f>medium!R18</f>
        <v>DNF</v>
      </c>
      <c r="X39">
        <f>medium!S18</f>
        <v>1.0183158139715294</v>
      </c>
      <c r="Y39">
        <v>7</v>
      </c>
      <c r="AA39" t="b">
        <f>medium!T41</f>
        <v>1</v>
      </c>
      <c r="AB39" t="b">
        <f>medium!U41</f>
        <v>1</v>
      </c>
      <c r="AC39" t="b">
        <f>medium!V41</f>
        <v>0</v>
      </c>
    </row>
    <row r="40" spans="1:29" x14ac:dyDescent="0.2">
      <c r="A40" t="s">
        <v>73</v>
      </c>
      <c r="B40" t="s">
        <v>33</v>
      </c>
      <c r="C40" t="s">
        <v>79</v>
      </c>
      <c r="D40" cm="1">
        <f t="array" ref="D40">IF(ISBLANK(INDEX($P$2:$Y$60, MATCH(1, ($P$2:$P$60=$A40) * ($Q$2:$Q$60=$B40), 0), MATCH(D$3, $P$1:$Y$1, 0))), "", INDEX($P$2:$Y$60, MATCH(1, ($P$2:$P$60=$A40) * ($Q$2:$Q$60=$B40), 0), MATCH(D$3, $P$1:$Y$1, 0)))</f>
        <v>3</v>
      </c>
      <c r="E40" cm="1">
        <f t="array" ref="E40">INDEX($P$2:$X$60, MATCH(1, ($P$2:$P$60=$A40) * ($Q$2:$Q$60=$B40), 0), MATCH(E$3, $P$1:$X$1, 0))</f>
        <v>2.1029999999999998E-3</v>
      </c>
      <c r="F40" cm="1">
        <f t="array" ref="F40">INDEX($P$2:$X$60, MATCH(1, ($P$2:$P$60=$A40) * ($Q$2:$Q$60=$B40), 0), MATCH(F$3, $P$1:$X$1, 0))</f>
        <v>7.8541E-2</v>
      </c>
      <c r="G40" cm="1">
        <f t="array" ref="G40">INDEX($P$2:$X$60, MATCH(1, ($P$2:$P$60=$A40) * ($Q$2:$Q$60=$B40), 0), MATCH(G$3, $P$1:$X$1, 0))</f>
        <v>1.4056000000000001E-2</v>
      </c>
      <c r="H40" cm="1">
        <f t="array" ref="H40">INDEX($P$2:$X$60, MATCH(1, ($P$2:$P$60=$A40) * ($Q$2:$Q$60=$B40), 0), MATCH(H$3, $P$1:$X$1, 0))</f>
        <v>1.4345999999999999E-2</v>
      </c>
      <c r="I40" cm="1">
        <f t="array" ref="I40">INDEX($P$2:$X$60, MATCH(1, ($P$2:$P$60=$A40) * ($Q$2:$Q$60=$B40), 0), MATCH(I$3, $P$1:$X$1, 0))</f>
        <v>5.587720546385885</v>
      </c>
      <c r="J40" cm="1">
        <f t="array" ref="J40">INDEX($P$2:$X$60, MATCH(1, ($P$2:$P$60=$A40) * ($Q$2:$Q$60=$B40), 0), MATCH(J$3, $P$1:$X$1, 0))</f>
        <v>0.14961582242458735</v>
      </c>
      <c r="K40" cm="1">
        <f t="array" ref="K40">INDEX($P$2:$X$60, MATCH(1, ($P$2:$P$60=$A40) * ($Q$2:$Q$60=$B40), 0), MATCH(K$3, $P$1:$X$1, 0))</f>
        <v>1.0206317586795672</v>
      </c>
      <c r="L40" t="b" cm="1">
        <f t="array" ref="L40">INDEX($AA$2:$AC$60, MATCH(1, ($P$2:$P$60=$A40) * ($Q$2:$Q$60=$B40), 0), MATCH(I$3, $AA$1:$AC$1, 0))</f>
        <v>1</v>
      </c>
      <c r="M40" t="b" cm="1">
        <f t="array" ref="M40">INDEX($AA$2:$AC$60, MATCH(1, ($P$2:$P$60=$A40) * ($Q$2:$Q$60=$B40), 0), MATCH(J$3, $AA$1:$AC$1, 0))</f>
        <v>1</v>
      </c>
      <c r="N40" t="b" cm="1">
        <f t="array" ref="N40">INDEX($AA$2:$AC$60, MATCH(1, ($P$2:$P$60=$A40) * ($Q$2:$Q$60=$B40), 0), MATCH(K$3, $AA$1:$AC$1, 0))</f>
        <v>0</v>
      </c>
    </row>
    <row r="41" spans="1:29" x14ac:dyDescent="0.2">
      <c r="A41" t="s">
        <v>75</v>
      </c>
      <c r="B41" t="s">
        <v>33</v>
      </c>
      <c r="C41" t="s">
        <v>89</v>
      </c>
      <c r="D41" cm="1">
        <f t="array" ref="D41">IF(ISBLANK(INDEX($P$2:$Y$60, MATCH(1, ($P$2:$P$60=$A41) * ($Q$2:$Q$60=$B41), 0), MATCH(D$3, $P$1:$Y$1, 0))), "-", INDEX($P$2:$Y$60, MATCH(1, ($P$2:$P$60=$A41) * ($Q$2:$Q$60=$B41), 0), MATCH(D$3, $P$1:$Y$1, 0)))</f>
        <v>16</v>
      </c>
      <c r="E41" t="e" cm="1">
        <f t="array" ref="E41">INDEX($P$2:$X$60, MATCH(1, ($P$2:$P$60=$A41) * ($Q$2:$Q$60=$B41), 0), MATCH(E$3, $P$1:$X$1, 0))</f>
        <v>#N/A</v>
      </c>
      <c r="F41" cm="1">
        <f t="array" ref="F41">INDEX($P$2:$X$60, MATCH(1, ($P$2:$P$60=$A41) * ($Q$2:$Q$60=$B41), 0), MATCH(F$3, $P$1:$X$1, 0))</f>
        <v>0.85997400000000002</v>
      </c>
      <c r="G41" cm="1">
        <f t="array" ref="G41">INDEX($P$2:$X$60, MATCH(1, ($P$2:$P$60=$A41) * ($Q$2:$Q$60=$B41), 0), MATCH(G$3, $P$1:$X$1, 0))</f>
        <v>5.3682000000000001E-2</v>
      </c>
      <c r="H41" cm="1">
        <f t="array" ref="H41">INDEX($P$2:$X$60, MATCH(1, ($P$2:$P$60=$A41) * ($Q$2:$Q$60=$B41), 0), MATCH(H$3, $P$1:$X$1, 0))</f>
        <v>5.1891E-2</v>
      </c>
      <c r="I41" cm="1">
        <f t="array" ref="I41">INDEX($P$2:$X$60, MATCH(1, ($P$2:$P$60=$A41) * ($Q$2:$Q$60=$B41), 0), MATCH(I$3, $P$1:$X$1, 0))</f>
        <v>16.019783167542194</v>
      </c>
      <c r="J41" t="str" cm="1">
        <f t="array" ref="J41">INDEX($P$2:$X$60, MATCH(1, ($P$2:$P$60=$A41) * ($Q$2:$Q$60=$B41), 0), MATCH(J$3, $P$1:$X$1, 0))</f>
        <v>DNF</v>
      </c>
      <c r="K41" cm="1">
        <f t="array" ref="K41">INDEX($P$2:$X$60, MATCH(1, ($P$2:$P$60=$A41) * ($Q$2:$Q$60=$B41), 0), MATCH(K$3, $P$1:$X$1, 0))</f>
        <v>0.96663686151782724</v>
      </c>
      <c r="L41" t="b" cm="1">
        <f t="array" ref="L41">INDEX($AA$2:$AC$60, MATCH(1, ($P$2:$P$60=$A41) * ($Q$2:$Q$60=$B41), 0), MATCH(I$3, $AA$1:$AC$1, 0))</f>
        <v>1</v>
      </c>
      <c r="M41" t="b" cm="1">
        <f t="array" ref="M41">INDEX($AA$2:$AC$60, MATCH(1, ($P$2:$P$60=$A41) * ($Q$2:$Q$60=$B41), 0), MATCH(J$3, $AA$1:$AC$1, 0))</f>
        <v>1</v>
      </c>
      <c r="N41" t="b" cm="1">
        <f t="array" ref="N41">INDEX($AA$2:$AC$60, MATCH(1, ($P$2:$P$60=$A41) * ($Q$2:$Q$60=$B41), 0), MATCH(K$3, $AA$1:$AC$1, 0))</f>
        <v>0</v>
      </c>
    </row>
    <row r="42" spans="1:29" x14ac:dyDescent="0.2">
      <c r="A42" t="s">
        <v>77</v>
      </c>
      <c r="B42" t="s">
        <v>33</v>
      </c>
      <c r="C42" t="s">
        <v>85</v>
      </c>
      <c r="D42" t="str" cm="1">
        <f t="array" ref="D42">IF(ISBLANK(INDEX($P$2:$Y$60, MATCH(1, ($P$2:$P$60=$A42) * ($Q$2:$Q$60=$B42), 0), MATCH(D$3, $P$1:$Y$1, 0))), "-", INDEX($P$2:$Y$60, MATCH(1, ($P$2:$P$60=$A42) * ($Q$2:$Q$60=$B42), 0), MATCH(D$3, $P$1:$Y$1, 0)))</f>
        <v>-</v>
      </c>
      <c r="E42" t="e" cm="1">
        <f t="array" ref="E42">INDEX($P$2:$X$60, MATCH(1, ($P$2:$P$60=$A42) * ($Q$2:$Q$60=$B42), 0), MATCH(E$3, $P$1:$X$1, 0))</f>
        <v>#N/A</v>
      </c>
      <c r="F42" t="e" cm="1">
        <f t="array" ref="F42">INDEX($P$2:$X$60, MATCH(1, ($P$2:$P$60=$A42) * ($Q$2:$Q$60=$B42), 0), MATCH(F$3, $P$1:$X$1, 0))</f>
        <v>#N/A</v>
      </c>
      <c r="G42" cm="1">
        <f t="array" ref="G42">INDEX($P$2:$X$60, MATCH(1, ($P$2:$P$60=$A42) * ($Q$2:$Q$60=$B42), 0), MATCH(G$3, $P$1:$X$1, 0))</f>
        <v>2.1882549999999998</v>
      </c>
      <c r="H42" cm="1">
        <f t="array" ref="H42">INDEX($P$2:$X$60, MATCH(1, ($P$2:$P$60=$A42) * ($Q$2:$Q$60=$B42), 0), MATCH(H$3, $P$1:$X$1, 0))</f>
        <v>2.1123400000000001</v>
      </c>
      <c r="I42" t="str" cm="1">
        <f t="array" ref="I42">INDEX($P$2:$X$60, MATCH(1, ($P$2:$P$60=$A42) * ($Q$2:$Q$60=$B42), 0), MATCH(I$3, $P$1:$X$1, 0))</f>
        <v>DNF</v>
      </c>
      <c r="J42" t="str" cm="1">
        <f t="array" ref="J42">INDEX($P$2:$X$60, MATCH(1, ($P$2:$P$60=$A42) * ($Q$2:$Q$60=$B42), 0), MATCH(J$3, $P$1:$X$1, 0))</f>
        <v>DNF</v>
      </c>
      <c r="K42" cm="1">
        <f t="array" ref="K42">INDEX($P$2:$X$60, MATCH(1, ($P$2:$P$60=$A42) * ($Q$2:$Q$60=$B42), 0), MATCH(K$3, $P$1:$X$1, 0))</f>
        <v>0.96530797370507559</v>
      </c>
      <c r="L42" t="b" cm="1">
        <f t="array" ref="L42">INDEX($AA$2:$AC$60, MATCH(1, ($P$2:$P$60=$A42) * ($Q$2:$Q$60=$B42), 0), MATCH(I$3, $AA$1:$AC$1, 0))</f>
        <v>1</v>
      </c>
      <c r="M42" t="b" cm="1">
        <f t="array" ref="M42">INDEX($AA$2:$AC$60, MATCH(1, ($P$2:$P$60=$A42) * ($Q$2:$Q$60=$B42), 0), MATCH(J$3, $AA$1:$AC$1, 0))</f>
        <v>1</v>
      </c>
      <c r="N42" t="b" cm="1">
        <f t="array" ref="N42">INDEX($AA$2:$AC$60, MATCH(1, ($P$2:$P$60=$A42) * ($Q$2:$Q$60=$B42), 0), MATCH(K$3, $AA$1:$AC$1, 0))</f>
        <v>0</v>
      </c>
    </row>
    <row r="43" spans="1:29" x14ac:dyDescent="0.2">
      <c r="A43" t="s">
        <v>73</v>
      </c>
      <c r="B43" t="s">
        <v>35</v>
      </c>
      <c r="C43" t="s">
        <v>74</v>
      </c>
      <c r="D43" cm="1">
        <f t="array" ref="D43">IF(ISBLANK(INDEX($P$2:$Y$60, MATCH(1, ($P$2:$P$60=$A43) * ($Q$2:$Q$60=$B43), 0), MATCH(D$3, $P$1:$Y$1, 0))), "", INDEX($P$2:$Y$60, MATCH(1, ($P$2:$P$60=$A43) * ($Q$2:$Q$60=$B43), 0), MATCH(D$3, $P$1:$Y$1, 0)))</f>
        <v>5</v>
      </c>
      <c r="E43" cm="1">
        <f t="array" ref="E43">INDEX($P$2:$X$60, MATCH(1, ($P$2:$P$60=$A43) * ($Q$2:$Q$60=$B43), 0), MATCH(E$3, $P$1:$X$1, 0))</f>
        <v>2.287E-3</v>
      </c>
      <c r="F43" cm="1">
        <f t="array" ref="F43">INDEX($P$2:$X$60, MATCH(1, ($P$2:$P$60=$A43) * ($Q$2:$Q$60=$B43), 0), MATCH(F$3, $P$1:$X$1, 0))</f>
        <v>6.3945000000000002E-2</v>
      </c>
      <c r="G43" cm="1">
        <f t="array" ref="G43">INDEX($P$2:$X$60, MATCH(1, ($P$2:$P$60=$A43) * ($Q$2:$Q$60=$B43), 0), MATCH(G$3, $P$1:$X$1, 0))</f>
        <v>1.1984E-2</v>
      </c>
      <c r="H43" cm="1">
        <f t="array" ref="H43">INDEX($P$2:$X$60, MATCH(1, ($P$2:$P$60=$A43) * ($Q$2:$Q$60=$B43), 0), MATCH(H$3, $P$1:$X$1, 0))</f>
        <v>8.4650000000000003E-3</v>
      </c>
      <c r="I43" cm="1">
        <f t="array" ref="I43">INDEX($P$2:$X$60, MATCH(1, ($P$2:$P$60=$A43) * ($Q$2:$Q$60=$B43), 0), MATCH(I$3, $P$1:$X$1, 0))</f>
        <v>5.3358644859813085</v>
      </c>
      <c r="J43" cm="1">
        <f t="array" ref="J43">INDEX($P$2:$X$60, MATCH(1, ($P$2:$P$60=$A43) * ($Q$2:$Q$60=$B43), 0), MATCH(J$3, $P$1:$X$1, 0))</f>
        <v>0.1908377837116155</v>
      </c>
      <c r="K43" cm="1">
        <f t="array" ref="K43">INDEX($P$2:$X$60, MATCH(1, ($P$2:$P$60=$A43) * ($Q$2:$Q$60=$B43), 0), MATCH(K$3, $P$1:$X$1, 0))</f>
        <v>0.70635847797062756</v>
      </c>
      <c r="L43" t="b" cm="1">
        <f t="array" ref="L43">INDEX($AA$2:$AC$60, MATCH(1, ($P$2:$P$60=$A43) * ($Q$2:$Q$60=$B43), 0), MATCH(I$3, $AA$1:$AC$1, 0))</f>
        <v>1</v>
      </c>
      <c r="M43" t="b" cm="1">
        <f t="array" ref="M43">INDEX($AA$2:$AC$60, MATCH(1, ($P$2:$P$60=$A43) * ($Q$2:$Q$60=$B43), 0), MATCH(J$3, $AA$1:$AC$1, 0))</f>
        <v>1</v>
      </c>
      <c r="N43" t="b" cm="1">
        <f t="array" ref="N43">INDEX($AA$2:$AC$60, MATCH(1, ($P$2:$P$60=$A43) * ($Q$2:$Q$60=$B43), 0), MATCH(K$3, $AA$1:$AC$1, 0))</f>
        <v>0</v>
      </c>
      <c r="P43" t="s">
        <v>6</v>
      </c>
    </row>
    <row r="44" spans="1:29" x14ac:dyDescent="0.2">
      <c r="A44" t="s">
        <v>75</v>
      </c>
      <c r="B44" t="s">
        <v>35</v>
      </c>
      <c r="C44" t="s">
        <v>76</v>
      </c>
      <c r="D44" cm="1">
        <f t="array" ref="D44">IF(ISBLANK(INDEX($P$2:$Y$60, MATCH(1, ($P$2:$P$60=$A44) * ($Q$2:$Q$60=$B44), 0), MATCH(D$3, $P$1:$Y$1, 0))), "-", INDEX($P$2:$Y$60, MATCH(1, ($P$2:$P$60=$A44) * ($Q$2:$Q$60=$B44), 0), MATCH(D$3, $P$1:$Y$1, 0)))</f>
        <v>9</v>
      </c>
      <c r="E44" cm="1">
        <f t="array" ref="E44">INDEX($P$2:$X$60, MATCH(1, ($P$2:$P$60=$A44) * ($Q$2:$Q$60=$B44), 0), MATCH(E$3, $P$1:$X$1, 0))</f>
        <v>0.51264699999999996</v>
      </c>
      <c r="F44" cm="1">
        <f t="array" ref="F44">INDEX($P$2:$X$60, MATCH(1, ($P$2:$P$60=$A44) * ($Q$2:$Q$60=$B44), 0), MATCH(F$3, $P$1:$X$1, 0))</f>
        <v>0.16139899999999999</v>
      </c>
      <c r="G44" cm="1">
        <f t="array" ref="G44">INDEX($P$2:$X$60, MATCH(1, ($P$2:$P$60=$A44) * ($Q$2:$Q$60=$B44), 0), MATCH(G$3, $P$1:$X$1, 0))</f>
        <v>2.9388999999999998E-2</v>
      </c>
      <c r="H44" cm="1">
        <f t="array" ref="H44">INDEX($P$2:$X$60, MATCH(1, ($P$2:$P$60=$A44) * ($Q$2:$Q$60=$B44), 0), MATCH(H$3, $P$1:$X$1, 0))</f>
        <v>2.7459999999999998E-2</v>
      </c>
      <c r="I44" cm="1">
        <f t="array" ref="I44">INDEX($P$2:$X$60, MATCH(1, ($P$2:$P$60=$A44) * ($Q$2:$Q$60=$B44), 0), MATCH(I$3, $P$1:$X$1, 0))</f>
        <v>5.4918166660995613</v>
      </c>
      <c r="J44" cm="1">
        <f t="array" ref="J44">INDEX($P$2:$X$60, MATCH(1, ($P$2:$P$60=$A44) * ($Q$2:$Q$60=$B44), 0), MATCH(J$3, $P$1:$X$1, 0))</f>
        <v>17.443499268433769</v>
      </c>
      <c r="K44" cm="1">
        <f t="array" ref="K44">INDEX($P$2:$X$60, MATCH(1, ($P$2:$P$60=$A44) * ($Q$2:$Q$60=$B44), 0), MATCH(K$3, $P$1:$X$1, 0))</f>
        <v>0.93436319711456661</v>
      </c>
      <c r="L44" t="b" cm="1">
        <f t="array" ref="L44">INDEX($AA$2:$AC$60, MATCH(1, ($P$2:$P$60=$A44) * ($Q$2:$Q$60=$B44), 0), MATCH(I$3, $AA$1:$AC$1, 0))</f>
        <v>1</v>
      </c>
      <c r="M44" t="b" cm="1">
        <f t="array" ref="M44">INDEX($AA$2:$AC$60, MATCH(1, ($P$2:$P$60=$A44) * ($Q$2:$Q$60=$B44), 0), MATCH(J$3, $AA$1:$AC$1, 0))</f>
        <v>1</v>
      </c>
      <c r="N44" t="b" cm="1">
        <f t="array" ref="N44">INDEX($AA$2:$AC$60, MATCH(1, ($P$2:$P$60=$A44) * ($Q$2:$Q$60=$B44), 0), MATCH(K$3, $AA$1:$AC$1, 0))</f>
        <v>0</v>
      </c>
      <c r="P44" t="s">
        <v>77</v>
      </c>
      <c r="Q44" t="s">
        <v>8</v>
      </c>
      <c r="R44">
        <f>large!M3</f>
        <v>39.964737</v>
      </c>
      <c r="S44" t="e">
        <f>large!N3</f>
        <v>#N/A</v>
      </c>
      <c r="T44" t="e">
        <f>large!O3</f>
        <v>#N/A</v>
      </c>
      <c r="U44">
        <f>large!P3</f>
        <v>39.820056000000001</v>
      </c>
      <c r="V44" t="str">
        <f>large!Q3</f>
        <v>DNF</v>
      </c>
      <c r="W44" t="str">
        <f>large!R3</f>
        <v>DNF</v>
      </c>
      <c r="X44">
        <f>large!S3</f>
        <v>0.99637978350764578</v>
      </c>
      <c r="Y44">
        <v>189</v>
      </c>
      <c r="AA44" t="b">
        <f>large!T26</f>
        <v>1</v>
      </c>
      <c r="AB44" t="b">
        <f>large!U26</f>
        <v>1</v>
      </c>
      <c r="AC44" t="b">
        <f>large!V26</f>
        <v>0</v>
      </c>
    </row>
    <row r="45" spans="1:29" x14ac:dyDescent="0.2">
      <c r="A45" t="s">
        <v>77</v>
      </c>
      <c r="B45" t="s">
        <v>35</v>
      </c>
      <c r="C45" t="s">
        <v>90</v>
      </c>
      <c r="D45" cm="1">
        <f t="array" ref="D45">IF(ISBLANK(INDEX($P$2:$Y$60, MATCH(1, ($P$2:$P$60=$A45) * ($Q$2:$Q$60=$B45), 0), MATCH(D$3, $P$1:$Y$1, 0))), "-", INDEX($P$2:$Y$60, MATCH(1, ($P$2:$P$60=$A45) * ($Q$2:$Q$60=$B45), 0), MATCH(D$3, $P$1:$Y$1, 0)))</f>
        <v>42</v>
      </c>
      <c r="E45" cm="1">
        <f t="array" ref="E45">INDEX($P$2:$X$60, MATCH(1, ($P$2:$P$60=$A45) * ($Q$2:$Q$60=$B45), 0), MATCH(E$3, $P$1:$X$1, 0))</f>
        <v>160.057196</v>
      </c>
      <c r="F45" cm="1">
        <f t="array" ref="F45">INDEX($P$2:$X$60, MATCH(1, ($P$2:$P$60=$A45) * ($Q$2:$Q$60=$B45), 0), MATCH(F$3, $P$1:$X$1, 0))</f>
        <v>1.7731779999999999</v>
      </c>
      <c r="G45" cm="1">
        <f t="array" ref="G45">INDEX($P$2:$X$60, MATCH(1, ($P$2:$P$60=$A45) * ($Q$2:$Q$60=$B45), 0), MATCH(G$3, $P$1:$X$1, 0))</f>
        <v>0.173037</v>
      </c>
      <c r="H45" cm="1">
        <f t="array" ref="H45">INDEX($P$2:$X$60, MATCH(1, ($P$2:$P$60=$A45) * ($Q$2:$Q$60=$B45), 0), MATCH(H$3, $P$1:$X$1, 0))</f>
        <v>0.17183200000000001</v>
      </c>
      <c r="I45" cm="1">
        <f t="array" ref="I45">INDEX($P$2:$X$60, MATCH(1, ($P$2:$P$60=$A45) * ($Q$2:$Q$60=$B45), 0), MATCH(I$3, $P$1:$X$1, 0))</f>
        <v>10.247392176239764</v>
      </c>
      <c r="J45" cm="1">
        <f t="array" ref="J45">INDEX($P$2:$X$60, MATCH(1, ($P$2:$P$60=$A45) * ($Q$2:$Q$60=$B45), 0), MATCH(J$3, $P$1:$X$1, 0))</f>
        <v>924.98827418413407</v>
      </c>
      <c r="K45" cm="1">
        <f t="array" ref="K45">INDEX($P$2:$X$60, MATCH(1, ($P$2:$P$60=$A45) * ($Q$2:$Q$60=$B45), 0), MATCH(K$3, $P$1:$X$1, 0))</f>
        <v>0.99303617145466005</v>
      </c>
      <c r="L45" t="b" cm="1">
        <f t="array" ref="L45">INDEX($AA$2:$AC$60, MATCH(1, ($P$2:$P$60=$A45) * ($Q$2:$Q$60=$B45), 0), MATCH(I$3, $AA$1:$AC$1, 0))</f>
        <v>1</v>
      </c>
      <c r="M45" t="b" cm="1">
        <f t="array" ref="M45">INDEX($AA$2:$AC$60, MATCH(1, ($P$2:$P$60=$A45) * ($Q$2:$Q$60=$B45), 0), MATCH(J$3, $AA$1:$AC$1, 0))</f>
        <v>1</v>
      </c>
      <c r="N45" t="b" cm="1">
        <f t="array" ref="N45">INDEX($AA$2:$AC$60, MATCH(1, ($P$2:$P$60=$A45) * ($Q$2:$Q$60=$B45), 0), MATCH(K$3, $AA$1:$AC$1, 0))</f>
        <v>0</v>
      </c>
      <c r="P45" t="s">
        <v>77</v>
      </c>
      <c r="Q45" t="s">
        <v>11</v>
      </c>
      <c r="R45">
        <f>large!M4</f>
        <v>4.0210999999999997E-2</v>
      </c>
      <c r="S45">
        <f>large!N4</f>
        <v>0.21196699999999999</v>
      </c>
      <c r="T45">
        <f>large!O4</f>
        <v>31.093031</v>
      </c>
      <c r="U45">
        <f>large!P4</f>
        <v>3.9167E-2</v>
      </c>
      <c r="V45">
        <f>large!Q4</f>
        <v>5.2713685309989806</v>
      </c>
      <c r="W45">
        <f>large!R4</f>
        <v>773.24689761508046</v>
      </c>
      <c r="X45">
        <f>large!S4</f>
        <v>0.97403695506204779</v>
      </c>
      <c r="Y45">
        <v>9</v>
      </c>
      <c r="AA45" t="b">
        <f>large!T27</f>
        <v>1</v>
      </c>
      <c r="AB45" t="b">
        <f>large!U27</f>
        <v>1</v>
      </c>
      <c r="AC45" t="b">
        <f>large!V27</f>
        <v>0</v>
      </c>
    </row>
    <row r="46" spans="1:29" x14ac:dyDescent="0.2">
      <c r="A46" t="s">
        <v>73</v>
      </c>
      <c r="B46" t="s">
        <v>37</v>
      </c>
      <c r="C46" t="s">
        <v>74</v>
      </c>
      <c r="D46" cm="1">
        <f t="array" ref="D46">IF(ISBLANK(INDEX($P$2:$Y$60, MATCH(1, ($P$2:$P$60=$A46) * ($Q$2:$Q$60=$B46), 0), MATCH(D$3, $P$1:$Y$1, 0))), "", INDEX($P$2:$Y$60, MATCH(1, ($P$2:$P$60=$A46) * ($Q$2:$Q$60=$B46), 0), MATCH(D$3, $P$1:$Y$1, 0)))</f>
        <v>2</v>
      </c>
      <c r="E46" cm="1">
        <f t="array" ref="E46">INDEX($P$2:$X$60, MATCH(1, ($P$2:$P$60=$A46) * ($Q$2:$Q$60=$B46), 0), MATCH(E$3, $P$1:$X$1, 0))</f>
        <v>9.2900000000000003E-4</v>
      </c>
      <c r="F46" cm="1">
        <f t="array" ref="F46">INDEX($P$2:$X$60, MATCH(1, ($P$2:$P$60=$A46) * ($Q$2:$Q$60=$B46), 0), MATCH(F$3, $P$1:$X$1, 0))</f>
        <v>3.0089000000000001E-2</v>
      </c>
      <c r="G46" cm="1">
        <f t="array" ref="G46">INDEX($P$2:$X$60, MATCH(1, ($P$2:$P$60=$A46) * ($Q$2:$Q$60=$B46), 0), MATCH(G$3, $P$1:$X$1, 0))</f>
        <v>8.9650000000000007E-3</v>
      </c>
      <c r="H46" cm="1">
        <f t="array" ref="H46">INDEX($P$2:$X$60, MATCH(1, ($P$2:$P$60=$A46) * ($Q$2:$Q$60=$B46), 0), MATCH(H$3, $P$1:$X$1, 0))</f>
        <v>4.2230000000000002E-3</v>
      </c>
      <c r="I46" cm="1">
        <f t="array" ref="I46">INDEX($P$2:$X$60, MATCH(1, ($P$2:$P$60=$A46) * ($Q$2:$Q$60=$B46), 0), MATCH(I$3, $P$1:$X$1, 0))</f>
        <v>3.3562744004461793</v>
      </c>
      <c r="J46" cm="1">
        <f t="array" ref="J46">INDEX($P$2:$X$60, MATCH(1, ($P$2:$P$60=$A46) * ($Q$2:$Q$60=$B46), 0), MATCH(J$3, $P$1:$X$1, 0))</f>
        <v>0.10362520914668154</v>
      </c>
      <c r="K46" cm="1">
        <f t="array" ref="K46">INDEX($P$2:$X$60, MATCH(1, ($P$2:$P$60=$A46) * ($Q$2:$Q$60=$B46), 0), MATCH(K$3, $P$1:$X$1, 0))</f>
        <v>0.47105409927495817</v>
      </c>
      <c r="L46" t="b" cm="1">
        <f t="array" ref="L46">INDEX($AA$2:$AC$60, MATCH(1, ($P$2:$P$60=$A46) * ($Q$2:$Q$60=$B46), 0), MATCH(I$3, $AA$1:$AC$1, 0))</f>
        <v>0</v>
      </c>
      <c r="M46" t="b" cm="1">
        <f t="array" ref="M46">INDEX($AA$2:$AC$60, MATCH(1, ($P$2:$P$60=$A46) * ($Q$2:$Q$60=$B46), 0), MATCH(J$3, $AA$1:$AC$1, 0))</f>
        <v>1</v>
      </c>
      <c r="N46" t="b" cm="1">
        <f t="array" ref="N46">INDEX($AA$2:$AC$60, MATCH(1, ($P$2:$P$60=$A46) * ($Q$2:$Q$60=$B46), 0), MATCH(K$3, $AA$1:$AC$1, 0))</f>
        <v>0</v>
      </c>
      <c r="P46" t="s">
        <v>77</v>
      </c>
      <c r="Q46" t="s">
        <v>14</v>
      </c>
      <c r="R46">
        <f>large!M5</f>
        <v>0.173898</v>
      </c>
      <c r="S46">
        <f>large!N5</f>
        <v>0.66326399999999996</v>
      </c>
      <c r="T46" t="e">
        <f>large!O5</f>
        <v>#N/A</v>
      </c>
      <c r="U46">
        <f>large!P5</f>
        <v>0.178314</v>
      </c>
      <c r="V46">
        <f>large!Q5</f>
        <v>3.8140979194700342</v>
      </c>
      <c r="W46" t="str">
        <f>large!R5</f>
        <v>DNF</v>
      </c>
      <c r="X46">
        <f>large!S5</f>
        <v>1.0253941965980058</v>
      </c>
      <c r="Y46">
        <v>4</v>
      </c>
      <c r="AA46" t="b">
        <f>large!T28</f>
        <v>1</v>
      </c>
      <c r="AB46" t="b">
        <f>large!U28</f>
        <v>1</v>
      </c>
      <c r="AC46" t="b">
        <f>large!V28</f>
        <v>0</v>
      </c>
    </row>
    <row r="47" spans="1:29" x14ac:dyDescent="0.2">
      <c r="A47" t="s">
        <v>75</v>
      </c>
      <c r="B47" t="s">
        <v>37</v>
      </c>
      <c r="C47" t="s">
        <v>82</v>
      </c>
      <c r="D47" cm="1">
        <f t="array" ref="D47">IF(ISBLANK(INDEX($P$2:$Y$60, MATCH(1, ($P$2:$P$60=$A47) * ($Q$2:$Q$60=$B47), 0), MATCH(D$3, $P$1:$Y$1, 0))), "-", INDEX($P$2:$Y$60, MATCH(1, ($P$2:$P$60=$A47) * ($Q$2:$Q$60=$B47), 0), MATCH(D$3, $P$1:$Y$1, 0)))</f>
        <v>5</v>
      </c>
      <c r="E47" cm="1">
        <f t="array" ref="E47">INDEX($P$2:$X$60, MATCH(1, ($P$2:$P$60=$A47) * ($Q$2:$Q$60=$B47), 0), MATCH(E$3, $P$1:$X$1, 0))</f>
        <v>0.364846</v>
      </c>
      <c r="F47" cm="1">
        <f t="array" ref="F47">INDEX($P$2:$X$60, MATCH(1, ($P$2:$P$60=$A47) * ($Q$2:$Q$60=$B47), 0), MATCH(F$3, $P$1:$X$1, 0))</f>
        <v>7.6234999999999997E-2</v>
      </c>
      <c r="G47" cm="1">
        <f t="array" ref="G47">INDEX($P$2:$X$60, MATCH(1, ($P$2:$P$60=$A47) * ($Q$2:$Q$60=$B47), 0), MATCH(G$3, $P$1:$X$1, 0))</f>
        <v>2.1453E-2</v>
      </c>
      <c r="H47" cm="1">
        <f t="array" ref="H47">INDEX($P$2:$X$60, MATCH(1, ($P$2:$P$60=$A47) * ($Q$2:$Q$60=$B47), 0), MATCH(H$3, $P$1:$X$1, 0))</f>
        <v>1.8523000000000001E-2</v>
      </c>
      <c r="I47" cm="1">
        <f t="array" ref="I47">INDEX($P$2:$X$60, MATCH(1, ($P$2:$P$60=$A47) * ($Q$2:$Q$60=$B47), 0), MATCH(I$3, $P$1:$X$1, 0))</f>
        <v>3.5535822495688247</v>
      </c>
      <c r="J47" cm="1">
        <f t="array" ref="J47">INDEX($P$2:$X$60, MATCH(1, ($P$2:$P$60=$A47) * ($Q$2:$Q$60=$B47), 0), MATCH(J$3, $P$1:$X$1, 0))</f>
        <v>17.006758961450615</v>
      </c>
      <c r="K47" cm="1">
        <f t="array" ref="K47">INDEX($P$2:$X$60, MATCH(1, ($P$2:$P$60=$A47) * ($Q$2:$Q$60=$B47), 0), MATCH(K$3, $P$1:$X$1, 0))</f>
        <v>0.86342236517037252</v>
      </c>
      <c r="L47" t="b" cm="1">
        <f t="array" ref="L47">INDEX($AA$2:$AC$60, MATCH(1, ($P$2:$P$60=$A47) * ($Q$2:$Q$60=$B47), 0), MATCH(I$3, $AA$1:$AC$1, 0))</f>
        <v>1</v>
      </c>
      <c r="M47" t="b" cm="1">
        <f t="array" ref="M47">INDEX($AA$2:$AC$60, MATCH(1, ($P$2:$P$60=$A47) * ($Q$2:$Q$60=$B47), 0), MATCH(J$3, $AA$1:$AC$1, 0))</f>
        <v>1</v>
      </c>
      <c r="N47" t="b" cm="1">
        <f t="array" ref="N47">INDEX($AA$2:$AC$60, MATCH(1, ($P$2:$P$60=$A47) * ($Q$2:$Q$60=$B47), 0), MATCH(K$3, $AA$1:$AC$1, 0))</f>
        <v>0</v>
      </c>
      <c r="P47" t="s">
        <v>77</v>
      </c>
      <c r="Q47" t="s">
        <v>16</v>
      </c>
      <c r="R47">
        <f>large!M6</f>
        <v>2.044222</v>
      </c>
      <c r="S47">
        <f>large!N6</f>
        <v>13.981866</v>
      </c>
      <c r="T47" t="e">
        <f>large!O6</f>
        <v>#N/A</v>
      </c>
      <c r="U47">
        <f>large!P6</f>
        <v>2.0521919999999998</v>
      </c>
      <c r="V47">
        <f>large!Q6</f>
        <v>6.8397003847918674</v>
      </c>
      <c r="W47" t="str">
        <f>large!R6</f>
        <v>DNF</v>
      </c>
      <c r="X47">
        <f>large!S6</f>
        <v>1.0038987937709309</v>
      </c>
      <c r="Y47">
        <v>22</v>
      </c>
      <c r="AA47" t="b">
        <f>large!T29</f>
        <v>1</v>
      </c>
      <c r="AB47" t="b">
        <f>large!U29</f>
        <v>1</v>
      </c>
      <c r="AC47" t="b">
        <f>large!V29</f>
        <v>0</v>
      </c>
    </row>
    <row r="48" spans="1:29" x14ac:dyDescent="0.2">
      <c r="A48" t="s">
        <v>77</v>
      </c>
      <c r="B48" t="s">
        <v>37</v>
      </c>
      <c r="C48" t="s">
        <v>76</v>
      </c>
      <c r="D48" cm="1">
        <f t="array" ref="D48">IF(ISBLANK(INDEX($P$2:$Y$60, MATCH(1, ($P$2:$P$60=$A48) * ($Q$2:$Q$60=$B48), 0), MATCH(D$3, $P$1:$Y$1, 0))), "-", INDEX($P$2:$Y$60, MATCH(1, ($P$2:$P$60=$A48) * ($Q$2:$Q$60=$B48), 0), MATCH(D$3, $P$1:$Y$1, 0)))</f>
        <v>10</v>
      </c>
      <c r="E48" cm="1">
        <f t="array" ref="E48">INDEX($P$2:$X$60, MATCH(1, ($P$2:$P$60=$A48) * ($Q$2:$Q$60=$B48), 0), MATCH(E$3, $P$1:$X$1, 0))</f>
        <v>6.182118</v>
      </c>
      <c r="F48" cm="1">
        <f t="array" ref="F48">INDEX($P$2:$X$60, MATCH(1, ($P$2:$P$60=$A48) * ($Q$2:$Q$60=$B48), 0), MATCH(F$3, $P$1:$X$1, 0))</f>
        <v>0.243452</v>
      </c>
      <c r="G48" cm="1">
        <f t="array" ref="G48">INDEX($P$2:$X$60, MATCH(1, ($P$2:$P$60=$A48) * ($Q$2:$Q$60=$B48), 0), MATCH(G$3, $P$1:$X$1, 0))</f>
        <v>6.8706000000000003E-2</v>
      </c>
      <c r="H48" cm="1">
        <f t="array" ref="H48">INDEX($P$2:$X$60, MATCH(1, ($P$2:$P$60=$A48) * ($Q$2:$Q$60=$B48), 0), MATCH(H$3, $P$1:$X$1, 0))</f>
        <v>6.5031000000000005E-2</v>
      </c>
      <c r="I48" cm="1">
        <f t="array" ref="I48">INDEX($P$2:$X$60, MATCH(1, ($P$2:$P$60=$A48) * ($Q$2:$Q$60=$B48), 0), MATCH(I$3, $P$1:$X$1, 0))</f>
        <v>3.5433877681716299</v>
      </c>
      <c r="J48" cm="1">
        <f t="array" ref="J48">INDEX($P$2:$X$60, MATCH(1, ($P$2:$P$60=$A48) * ($Q$2:$Q$60=$B48), 0), MATCH(J$3, $P$1:$X$1, 0))</f>
        <v>89.979303117631645</v>
      </c>
      <c r="K48" cm="1">
        <f t="array" ref="K48">INDEX($P$2:$X$60, MATCH(1, ($P$2:$P$60=$A48) * ($Q$2:$Q$60=$B48), 0), MATCH(K$3, $P$1:$X$1, 0))</f>
        <v>0.94651122172736013</v>
      </c>
      <c r="L48" t="b" cm="1">
        <f t="array" ref="L48">INDEX($AA$2:$AC$60, MATCH(1, ($P$2:$P$60=$A48) * ($Q$2:$Q$60=$B48), 0), MATCH(I$3, $AA$1:$AC$1, 0))</f>
        <v>1</v>
      </c>
      <c r="M48" t="b" cm="1">
        <f t="array" ref="M48">INDEX($AA$2:$AC$60, MATCH(1, ($P$2:$P$60=$A48) * ($Q$2:$Q$60=$B48), 0), MATCH(J$3, $AA$1:$AC$1, 0))</f>
        <v>1</v>
      </c>
      <c r="N48" t="b" cm="1">
        <f t="array" ref="N48">INDEX($AA$2:$AC$60, MATCH(1, ($P$2:$P$60=$A48) * ($Q$2:$Q$60=$B48), 0), MATCH(K$3, $AA$1:$AC$1, 0))</f>
        <v>0</v>
      </c>
      <c r="P48" t="s">
        <v>77</v>
      </c>
      <c r="Q48" t="s">
        <v>18</v>
      </c>
      <c r="R48">
        <f>large!M7</f>
        <v>2.5248E-2</v>
      </c>
      <c r="S48">
        <f>large!N7</f>
        <v>6.2295000000000003E-2</v>
      </c>
      <c r="T48" t="e">
        <f>large!O7</f>
        <v>#N/A</v>
      </c>
      <c r="U48">
        <f>large!P7</f>
        <v>1.9688000000000001E-2</v>
      </c>
      <c r="V48">
        <f>large!Q7</f>
        <v>2.467324144486692</v>
      </c>
      <c r="W48" t="str">
        <f>large!R7</f>
        <v>DNF</v>
      </c>
      <c r="X48">
        <f>large!S7</f>
        <v>0.77978453738910014</v>
      </c>
      <c r="Y48">
        <v>1</v>
      </c>
      <c r="AA48" t="b">
        <f>large!T30</f>
        <v>1</v>
      </c>
      <c r="AB48" t="b">
        <f>large!U30</f>
        <v>1</v>
      </c>
      <c r="AC48" t="b">
        <f>large!V30</f>
        <v>0</v>
      </c>
    </row>
    <row r="49" spans="1:29" x14ac:dyDescent="0.2">
      <c r="A49" t="s">
        <v>73</v>
      </c>
      <c r="B49" t="s">
        <v>39</v>
      </c>
      <c r="C49" t="s">
        <v>74</v>
      </c>
      <c r="D49" cm="1">
        <f t="array" ref="D49">IF(ISBLANK(INDEX($P$2:$Y$60, MATCH(1, ($P$2:$P$60=$A49) * ($Q$2:$Q$60=$B49), 0), MATCH(D$3, $P$1:$Y$1, 0))), "", INDEX($P$2:$Y$60, MATCH(1, ($P$2:$P$60=$A49) * ($Q$2:$Q$60=$B49), 0), MATCH(D$3, $P$1:$Y$1, 0)))</f>
        <v>7</v>
      </c>
      <c r="E49" cm="1">
        <f t="array" ref="E49">INDEX($P$2:$X$60, MATCH(1, ($P$2:$P$60=$A49) * ($Q$2:$Q$60=$B49), 0), MATCH(E$3, $P$1:$X$1, 0))</f>
        <v>2.2160000000000001E-3</v>
      </c>
      <c r="F49" cm="1">
        <f t="array" ref="F49">INDEX($P$2:$X$60, MATCH(1, ($P$2:$P$60=$A49) * ($Q$2:$Q$60=$B49), 0), MATCH(F$3, $P$1:$X$1, 0))</f>
        <v>0.14585999999999999</v>
      </c>
      <c r="G49" cm="1">
        <f t="array" ref="G49">INDEX($P$2:$X$60, MATCH(1, ($P$2:$P$60=$A49) * ($Q$2:$Q$60=$B49), 0), MATCH(G$3, $P$1:$X$1, 0))</f>
        <v>1.2345E-2</v>
      </c>
      <c r="H49" cm="1">
        <f t="array" ref="H49">INDEX($P$2:$X$60, MATCH(1, ($P$2:$P$60=$A49) * ($Q$2:$Q$60=$B49), 0), MATCH(H$3, $P$1:$X$1, 0))</f>
        <v>7.6759999999999997E-3</v>
      </c>
      <c r="I49" cm="1">
        <f t="array" ref="I49">INDEX($P$2:$X$60, MATCH(1, ($P$2:$P$60=$A49) * ($Q$2:$Q$60=$B49), 0), MATCH(I$3, $P$1:$X$1, 0))</f>
        <v>11.815309842041311</v>
      </c>
      <c r="J49" cm="1">
        <f t="array" ref="J49">INDEX($P$2:$X$60, MATCH(1, ($P$2:$P$60=$A49) * ($Q$2:$Q$60=$B49), 0), MATCH(J$3, $P$1:$X$1, 0))</f>
        <v>0.17950587282300526</v>
      </c>
      <c r="K49" cm="1">
        <f t="array" ref="K49">INDEX($P$2:$X$60, MATCH(1, ($P$2:$P$60=$A49) * ($Q$2:$Q$60=$B49), 0), MATCH(K$3, $P$1:$X$1, 0))</f>
        <v>0.62179019846091532</v>
      </c>
      <c r="L49" t="b" cm="1">
        <f t="array" ref="L49">INDEX($AA$2:$AC$60, MATCH(1, ($P$2:$P$60=$A49) * ($Q$2:$Q$60=$B49), 0), MATCH(I$3, $AA$1:$AC$1, 0))</f>
        <v>1</v>
      </c>
      <c r="M49" t="b" cm="1">
        <f t="array" ref="M49">INDEX($AA$2:$AC$60, MATCH(1, ($P$2:$P$60=$A49) * ($Q$2:$Q$60=$B49), 0), MATCH(J$3, $AA$1:$AC$1, 0))</f>
        <v>1</v>
      </c>
      <c r="N49" t="b" cm="1">
        <f t="array" ref="N49">INDEX($AA$2:$AC$60, MATCH(1, ($P$2:$P$60=$A49) * ($Q$2:$Q$60=$B49), 0), MATCH(K$3, $AA$1:$AC$1, 0))</f>
        <v>0</v>
      </c>
      <c r="P49" t="s">
        <v>77</v>
      </c>
      <c r="Q49" t="s">
        <v>20</v>
      </c>
      <c r="R49">
        <f>large!M8</f>
        <v>0.73938199999999998</v>
      </c>
      <c r="S49">
        <f>large!N8</f>
        <v>0.91816200000000003</v>
      </c>
      <c r="T49">
        <f>large!O8</f>
        <v>33.901957000000003</v>
      </c>
      <c r="U49">
        <f>large!P8</f>
        <v>0.69452899999999995</v>
      </c>
      <c r="V49">
        <f>large!Q8</f>
        <v>1.2417965273701552</v>
      </c>
      <c r="W49">
        <f>large!R8</f>
        <v>45.851747811009737</v>
      </c>
      <c r="X49">
        <f>large!S8</f>
        <v>0.93933717618227108</v>
      </c>
      <c r="Y49">
        <v>3</v>
      </c>
      <c r="AA49" t="b">
        <f>large!T31</f>
        <v>0</v>
      </c>
      <c r="AB49" t="b">
        <f>large!U31</f>
        <v>1</v>
      </c>
      <c r="AC49" t="b">
        <f>large!V31</f>
        <v>0</v>
      </c>
    </row>
    <row r="50" spans="1:29" x14ac:dyDescent="0.2">
      <c r="A50" t="s">
        <v>75</v>
      </c>
      <c r="B50" t="s">
        <v>39</v>
      </c>
      <c r="C50" t="s">
        <v>81</v>
      </c>
      <c r="D50" cm="1">
        <f t="array" ref="D50">IF(ISBLANK(INDEX($P$2:$Y$60, MATCH(1, ($P$2:$P$60=$A50) * ($Q$2:$Q$60=$B50), 0), MATCH(D$3, $P$1:$Y$1, 0))), "-", INDEX($P$2:$Y$60, MATCH(1, ($P$2:$P$60=$A50) * ($Q$2:$Q$60=$B50), 0), MATCH(D$3, $P$1:$Y$1, 0)))</f>
        <v>7</v>
      </c>
      <c r="E50" t="e" cm="1">
        <f t="array" ref="E50">INDEX($P$2:$X$60, MATCH(1, ($P$2:$P$60=$A50) * ($Q$2:$Q$60=$B50), 0), MATCH(E$3, $P$1:$X$1, 0))</f>
        <v>#N/A</v>
      </c>
      <c r="F50" cm="1">
        <f t="array" ref="F50">INDEX($P$2:$X$60, MATCH(1, ($P$2:$P$60=$A50) * ($Q$2:$Q$60=$B50), 0), MATCH(F$3, $P$1:$X$1, 0))</f>
        <v>2.6444559999999999</v>
      </c>
      <c r="G50" cm="1">
        <f t="array" ref="G50">INDEX($P$2:$X$60, MATCH(1, ($P$2:$P$60=$A50) * ($Q$2:$Q$60=$B50), 0), MATCH(G$3, $P$1:$X$1, 0))</f>
        <v>0.12890499999999999</v>
      </c>
      <c r="H50" cm="1">
        <f t="array" ref="H50">INDEX($P$2:$X$60, MATCH(1, ($P$2:$P$60=$A50) * ($Q$2:$Q$60=$B50), 0), MATCH(H$3, $P$1:$X$1, 0))</f>
        <v>0.13126599999999999</v>
      </c>
      <c r="I50" cm="1">
        <f t="array" ref="I50">INDEX($P$2:$X$60, MATCH(1, ($P$2:$P$60=$A50) * ($Q$2:$Q$60=$B50), 0), MATCH(I$3, $P$1:$X$1, 0))</f>
        <v>20.514766688646677</v>
      </c>
      <c r="J50" t="str" cm="1">
        <f t="array" ref="J50">INDEX($P$2:$X$60, MATCH(1, ($P$2:$P$60=$A50) * ($Q$2:$Q$60=$B50), 0), MATCH(J$3, $P$1:$X$1, 0))</f>
        <v>DNF</v>
      </c>
      <c r="K50" cm="1">
        <f t="array" ref="K50">INDEX($P$2:$X$60, MATCH(1, ($P$2:$P$60=$A50) * ($Q$2:$Q$60=$B50), 0), MATCH(K$3, $P$1:$X$1, 0))</f>
        <v>1.0183158139715294</v>
      </c>
      <c r="L50" t="b" cm="1">
        <f t="array" ref="L50">INDEX($AA$2:$AC$60, MATCH(1, ($P$2:$P$60=$A50) * ($Q$2:$Q$60=$B50), 0), MATCH(I$3, $AA$1:$AC$1, 0))</f>
        <v>1</v>
      </c>
      <c r="M50" t="b" cm="1">
        <f t="array" ref="M50">INDEX($AA$2:$AC$60, MATCH(1, ($P$2:$P$60=$A50) * ($Q$2:$Q$60=$B50), 0), MATCH(J$3, $AA$1:$AC$1, 0))</f>
        <v>1</v>
      </c>
      <c r="N50" t="b" cm="1">
        <f t="array" ref="N50">INDEX($AA$2:$AC$60, MATCH(1, ($P$2:$P$60=$A50) * ($Q$2:$Q$60=$B50), 0), MATCH(K$3, $AA$1:$AC$1, 0))</f>
        <v>0</v>
      </c>
      <c r="P50" t="s">
        <v>77</v>
      </c>
      <c r="Q50" t="s">
        <v>22</v>
      </c>
      <c r="R50">
        <f>large!M9</f>
        <v>28.579007000000001</v>
      </c>
      <c r="S50">
        <f>large!N9</f>
        <v>280.45619499999998</v>
      </c>
      <c r="T50" t="e">
        <f>large!O9</f>
        <v>#N/A</v>
      </c>
      <c r="U50">
        <f>large!P9</f>
        <v>28.561720000000001</v>
      </c>
      <c r="V50">
        <f>large!Q9</f>
        <v>9.8133638792978353</v>
      </c>
      <c r="W50" t="str">
        <f>large!R9</f>
        <v>DNF</v>
      </c>
      <c r="X50">
        <f>large!S9</f>
        <v>0.9993951154426044</v>
      </c>
      <c r="Y50">
        <v>14</v>
      </c>
      <c r="AA50" t="b">
        <f>large!T32</f>
        <v>1</v>
      </c>
      <c r="AB50" t="b">
        <f>large!U32</f>
        <v>1</v>
      </c>
      <c r="AC50" t="b">
        <f>large!V32</f>
        <v>0</v>
      </c>
    </row>
    <row r="51" spans="1:29" x14ac:dyDescent="0.2">
      <c r="A51" t="s">
        <v>77</v>
      </c>
      <c r="B51" t="s">
        <v>39</v>
      </c>
      <c r="C51" t="s">
        <v>91</v>
      </c>
      <c r="D51" t="str" cm="1">
        <f t="array" ref="D51">IF(ISBLANK(INDEX($P$2:$Y$60, MATCH(1, ($P$2:$P$60=$A51) * ($Q$2:$Q$60=$B51), 0), MATCH(D$3, $P$1:$Y$1, 0))), "-", INDEX($P$2:$Y$60, MATCH(1, ($P$2:$P$60=$A51) * ($Q$2:$Q$60=$B51), 0), MATCH(D$3, $P$1:$Y$1, 0)))</f>
        <v>-</v>
      </c>
      <c r="E51" t="e" cm="1">
        <f t="array" ref="E51">INDEX($P$2:$X$60, MATCH(1, ($P$2:$P$60=$A51) * ($Q$2:$Q$60=$B51), 0), MATCH(E$3, $P$1:$X$1, 0))</f>
        <v>#N/A</v>
      </c>
      <c r="F51" cm="1">
        <f t="array" ref="F51">INDEX($P$2:$X$60, MATCH(1, ($P$2:$P$60=$A51) * ($Q$2:$Q$60=$B51), 0), MATCH(F$3, $P$1:$X$1, 0))</f>
        <v>9.3028110000000002</v>
      </c>
      <c r="G51" cm="1">
        <f t="array" ref="G51">INDEX($P$2:$X$60, MATCH(1, ($P$2:$P$60=$A51) * ($Q$2:$Q$60=$B51), 0), MATCH(G$3, $P$1:$X$1, 0))</f>
        <v>1.344222</v>
      </c>
      <c r="H51" cm="1">
        <f t="array" ref="H51">INDEX($P$2:$X$60, MATCH(1, ($P$2:$P$60=$A51) * ($Q$2:$Q$60=$B51), 0), MATCH(H$3, $P$1:$X$1, 0))</f>
        <v>1.3505579999999999</v>
      </c>
      <c r="I51" cm="1">
        <f t="array" ref="I51">INDEX($P$2:$X$60, MATCH(1, ($P$2:$P$60=$A51) * ($Q$2:$Q$60=$B51), 0), MATCH(I$3, $P$1:$X$1, 0))</f>
        <v>6.9205912416252673</v>
      </c>
      <c r="J51" t="str" cm="1">
        <f t="array" ref="J51">INDEX($P$2:$X$60, MATCH(1, ($P$2:$P$60=$A51) * ($Q$2:$Q$60=$B51), 0), MATCH(J$3, $P$1:$X$1, 0))</f>
        <v>DNF</v>
      </c>
      <c r="K51" cm="1">
        <f t="array" ref="K51">INDEX($P$2:$X$60, MATCH(1, ($P$2:$P$60=$A51) * ($Q$2:$Q$60=$B51), 0), MATCH(K$3, $P$1:$X$1, 0))</f>
        <v>1.0047135071439093</v>
      </c>
      <c r="L51" t="b" cm="1">
        <f t="array" ref="L51">INDEX($AA$2:$AC$60, MATCH(1, ($P$2:$P$60=$A51) * ($Q$2:$Q$60=$B51), 0), MATCH(I$3, $AA$1:$AC$1, 0))</f>
        <v>1</v>
      </c>
      <c r="M51" t="b" cm="1">
        <f t="array" ref="M51">INDEX($AA$2:$AC$60, MATCH(1, ($P$2:$P$60=$A51) * ($Q$2:$Q$60=$B51), 0), MATCH(J$3, $AA$1:$AC$1, 0))</f>
        <v>1</v>
      </c>
      <c r="N51" t="b" cm="1">
        <f t="array" ref="N51">INDEX($AA$2:$AC$60, MATCH(1, ($P$2:$P$60=$A51) * ($Q$2:$Q$60=$B51), 0), MATCH(K$3, $AA$1:$AC$1, 0))</f>
        <v>0</v>
      </c>
      <c r="P51" t="s">
        <v>77</v>
      </c>
      <c r="Q51" t="s">
        <v>58</v>
      </c>
      <c r="R51">
        <f>large!M10</f>
        <v>1.1264E-2</v>
      </c>
      <c r="S51">
        <f>large!N10</f>
        <v>0.120628</v>
      </c>
      <c r="T51">
        <f>large!O10</f>
        <v>210.90549999999999</v>
      </c>
      <c r="U51">
        <f>large!P10</f>
        <v>1.0271000000000001E-2</v>
      </c>
      <c r="V51">
        <f>large!Q10</f>
        <v>10.709161931818182</v>
      </c>
      <c r="W51">
        <f>large!R10</f>
        <v>18723.854758522728</v>
      </c>
      <c r="X51">
        <f>large!S10</f>
        <v>0.9118430397727274</v>
      </c>
      <c r="Y51">
        <v>5</v>
      </c>
      <c r="AA51" t="b">
        <f>large!T33</f>
        <v>1</v>
      </c>
      <c r="AB51" t="b">
        <f>large!U33</f>
        <v>1</v>
      </c>
      <c r="AC51" t="b">
        <f>large!V33</f>
        <v>0</v>
      </c>
    </row>
    <row r="52" spans="1:29" x14ac:dyDescent="0.2">
      <c r="P52" t="s">
        <v>77</v>
      </c>
      <c r="Q52" t="s">
        <v>25</v>
      </c>
      <c r="R52">
        <f>large!M11</f>
        <v>447.75497200000001</v>
      </c>
      <c r="S52" t="e">
        <f>large!N11</f>
        <v>#N/A</v>
      </c>
      <c r="T52" t="e">
        <f>large!O11</f>
        <v>#N/A</v>
      </c>
      <c r="U52">
        <f>large!P11</f>
        <v>442.861581</v>
      </c>
      <c r="V52" t="str">
        <f>large!Q11</f>
        <v>DNF</v>
      </c>
      <c r="W52" t="str">
        <f>large!R11</f>
        <v>DNF</v>
      </c>
      <c r="X52">
        <f>large!S11</f>
        <v>0.98907127490255986</v>
      </c>
      <c r="AA52" t="b">
        <f>large!T34</f>
        <v>1</v>
      </c>
      <c r="AB52" t="b">
        <f>large!U34</f>
        <v>1</v>
      </c>
      <c r="AC52" t="b">
        <f>large!V34</f>
        <v>0</v>
      </c>
    </row>
    <row r="53" spans="1:29" x14ac:dyDescent="0.2">
      <c r="P53" t="s">
        <v>77</v>
      </c>
      <c r="Q53" t="s">
        <v>27</v>
      </c>
      <c r="R53">
        <f>large!M12</f>
        <v>0.47815000000000002</v>
      </c>
      <c r="S53" t="e">
        <f>large!N12</f>
        <v>#N/A</v>
      </c>
      <c r="T53" t="e">
        <f>large!O12</f>
        <v>#N/A</v>
      </c>
      <c r="U53">
        <f>large!P12</f>
        <v>0.477072</v>
      </c>
      <c r="V53" t="str">
        <f>large!Q12</f>
        <v>DNF</v>
      </c>
      <c r="W53" t="str">
        <f>large!R12</f>
        <v>DNF</v>
      </c>
      <c r="X53">
        <f>large!S12</f>
        <v>0.99774547736066088</v>
      </c>
      <c r="AA53" t="b">
        <f>large!T35</f>
        <v>1</v>
      </c>
      <c r="AB53" t="b">
        <f>large!U35</f>
        <v>1</v>
      </c>
      <c r="AC53" t="b">
        <f>large!V35</f>
        <v>0</v>
      </c>
    </row>
    <row r="54" spans="1:29" x14ac:dyDescent="0.2">
      <c r="P54" t="s">
        <v>77</v>
      </c>
      <c r="Q54" t="s">
        <v>29</v>
      </c>
      <c r="R54">
        <f>large!M13</f>
        <v>0.70641200000000004</v>
      </c>
      <c r="S54">
        <f>large!N13</f>
        <v>0.71664899999999998</v>
      </c>
      <c r="T54" t="e">
        <f>large!O13</f>
        <v>#N/A</v>
      </c>
      <c r="U54">
        <f>large!P13</f>
        <v>0.71308899999999997</v>
      </c>
      <c r="V54">
        <f>large!Q13</f>
        <v>1.0144915431787682</v>
      </c>
      <c r="W54" t="str">
        <f>large!R13</f>
        <v>DNF</v>
      </c>
      <c r="X54">
        <f>large!S13</f>
        <v>1.0094519911892776</v>
      </c>
      <c r="Y54">
        <v>2</v>
      </c>
      <c r="AA54" t="b">
        <f>large!T36</f>
        <v>0</v>
      </c>
      <c r="AB54" t="b">
        <f>large!U36</f>
        <v>1</v>
      </c>
      <c r="AC54" t="b">
        <f>large!V36</f>
        <v>0</v>
      </c>
    </row>
    <row r="55" spans="1:29" x14ac:dyDescent="0.2">
      <c r="P55" t="s">
        <v>77</v>
      </c>
      <c r="Q55" t="s">
        <v>31</v>
      </c>
      <c r="R55">
        <f>large!M14</f>
        <v>0.87323200000000001</v>
      </c>
      <c r="S55">
        <f>large!N14</f>
        <v>3.3688129999999998</v>
      </c>
      <c r="T55" t="e">
        <f>large!O14</f>
        <v>#N/A</v>
      </c>
      <c r="U55">
        <f>large!P14</f>
        <v>0.86595999999999995</v>
      </c>
      <c r="V55">
        <f>large!Q14</f>
        <v>3.8578670960294628</v>
      </c>
      <c r="W55" t="str">
        <f>large!R14</f>
        <v>DNF</v>
      </c>
      <c r="X55">
        <f>large!S14</f>
        <v>0.99167231617714413</v>
      </c>
      <c r="Y55">
        <v>7</v>
      </c>
      <c r="AA55" t="b">
        <f>large!T37</f>
        <v>1</v>
      </c>
      <c r="AB55" t="b">
        <f>large!U37</f>
        <v>1</v>
      </c>
      <c r="AC55" t="b">
        <f>large!V37</f>
        <v>0</v>
      </c>
    </row>
    <row r="56" spans="1:29" ht="65" x14ac:dyDescent="0.75">
      <c r="A56" s="5" t="s">
        <v>132</v>
      </c>
      <c r="B56" s="4"/>
      <c r="C56" s="4"/>
      <c r="D56" s="4"/>
      <c r="E56" s="4"/>
      <c r="F56" s="4"/>
      <c r="G56" s="4"/>
      <c r="H56" s="4"/>
      <c r="I56" s="4"/>
      <c r="J56" s="4"/>
      <c r="P56" t="s">
        <v>77</v>
      </c>
      <c r="Q56" t="s">
        <v>33</v>
      </c>
      <c r="R56">
        <f>large!M15</f>
        <v>2.1882549999999998</v>
      </c>
      <c r="S56" t="e">
        <f>large!N15</f>
        <v>#N/A</v>
      </c>
      <c r="T56" t="e">
        <f>large!O15</f>
        <v>#N/A</v>
      </c>
      <c r="U56">
        <f>large!P15</f>
        <v>2.1123400000000001</v>
      </c>
      <c r="V56" t="str">
        <f>large!Q15</f>
        <v>DNF</v>
      </c>
      <c r="W56" t="str">
        <f>large!R15</f>
        <v>DNF</v>
      </c>
      <c r="X56">
        <f>large!S15</f>
        <v>0.96530797370507559</v>
      </c>
      <c r="AA56" t="b">
        <f>large!T38</f>
        <v>1</v>
      </c>
      <c r="AB56" t="b">
        <f>large!U38</f>
        <v>1</v>
      </c>
      <c r="AC56" t="b">
        <f>large!V38</f>
        <v>0</v>
      </c>
    </row>
    <row r="57" spans="1:29" x14ac:dyDescent="0.2">
      <c r="A57" s="4" t="s">
        <v>1</v>
      </c>
      <c r="B57" s="4" t="s">
        <v>69</v>
      </c>
      <c r="C57" s="4" t="s">
        <v>68</v>
      </c>
      <c r="D57" s="4" t="s">
        <v>4</v>
      </c>
      <c r="E57" s="4" t="s">
        <v>93</v>
      </c>
      <c r="F57" s="4" t="s">
        <v>2</v>
      </c>
      <c r="G57" s="4" t="s">
        <v>5</v>
      </c>
      <c r="H57" s="4" t="s">
        <v>94</v>
      </c>
      <c r="I57" s="4" t="s">
        <v>95</v>
      </c>
      <c r="J57" s="4" t="s">
        <v>96</v>
      </c>
      <c r="P57" t="s">
        <v>77</v>
      </c>
      <c r="Q57" t="s">
        <v>35</v>
      </c>
      <c r="R57">
        <f>large!M16</f>
        <v>0.173037</v>
      </c>
      <c r="S57">
        <f>large!N16</f>
        <v>1.7731779999999999</v>
      </c>
      <c r="T57">
        <f>large!O16</f>
        <v>160.057196</v>
      </c>
      <c r="U57">
        <f>large!P16</f>
        <v>0.17183200000000001</v>
      </c>
      <c r="V57">
        <f>large!Q16</f>
        <v>10.247392176239764</v>
      </c>
      <c r="W57">
        <f>large!R16</f>
        <v>924.98827418413407</v>
      </c>
      <c r="X57">
        <f>large!S16</f>
        <v>0.99303617145466005</v>
      </c>
      <c r="Y57">
        <v>42</v>
      </c>
      <c r="AA57" t="b">
        <f>large!T39</f>
        <v>1</v>
      </c>
      <c r="AB57" t="b">
        <f>large!U39</f>
        <v>1</v>
      </c>
      <c r="AC57" t="b">
        <f>large!V39</f>
        <v>0</v>
      </c>
    </row>
    <row r="58" spans="1:29" x14ac:dyDescent="0.2">
      <c r="A58" s="4" t="s">
        <v>8</v>
      </c>
      <c r="B58" s="4" t="str">
        <f>C4</f>
        <v>0.01MB</v>
      </c>
      <c r="C58" s="4">
        <f>IF(ISBLANK(D4), "-", D4)</f>
        <v>3</v>
      </c>
      <c r="D58" s="4" t="str">
        <f>IF(ISNA(E4), $C$1, TEXT(E4, "0.000"))</f>
        <v>0.001</v>
      </c>
      <c r="E58" s="4" t="str">
        <f>IF(ISNA(F4), $C$1, TEXT(F4, "0.000"))</f>
        <v>0.045</v>
      </c>
      <c r="F58" s="4" t="str">
        <f>IF(ISNA(G4), $C$1, TEXT(G4, "0.000"))</f>
        <v>0.007</v>
      </c>
      <c r="G58" s="4" t="str">
        <f>IF(ISNA(H4), $C$1, TEXT(H4, "0.000"))</f>
        <v>0.006</v>
      </c>
      <c r="H58" s="4" t="str">
        <f>IF($F58=$C$1, $D$1, IF($J4="DNF", "&gt;" &amp; TEXT($B$1/$F58,"0.00") &amp; "X", TEXT($J4, "0.00") &amp; "X" &amp; IF(M4, "", "*")))</f>
        <v>0.19X*</v>
      </c>
      <c r="I58" s="4" t="str">
        <f>IF($F58=$C$1, $D$1, IF($I4="DNF", "&gt;" &amp; TEXT($B$1/$F58,"0.00") &amp; "X", TEXT($I4, "0.00") &amp; "X" &amp; IF(L4, "", "*")))</f>
        <v>6.16X</v>
      </c>
      <c r="J58" s="4" t="str">
        <f>IF($F58=$C$1, $D$1, IF($K4="DNF", "&gt;" &amp; TEXT($B$1/$F58,"0.00") &amp; "X", TEXT($K4, "0.00") &amp; "X" &amp; IF(N4, "", "*")))</f>
        <v>0.79X*</v>
      </c>
      <c r="P58" t="s">
        <v>77</v>
      </c>
      <c r="Q58" t="s">
        <v>37</v>
      </c>
      <c r="R58">
        <f>large!M17</f>
        <v>6.8706000000000003E-2</v>
      </c>
      <c r="S58">
        <f>large!N17</f>
        <v>0.243452</v>
      </c>
      <c r="T58">
        <f>large!O17</f>
        <v>6.182118</v>
      </c>
      <c r="U58">
        <f>large!P17</f>
        <v>6.5031000000000005E-2</v>
      </c>
      <c r="V58">
        <f>large!Q17</f>
        <v>3.5433877681716299</v>
      </c>
      <c r="W58">
        <f>large!R17</f>
        <v>89.979303117631645</v>
      </c>
      <c r="X58">
        <f>large!S17</f>
        <v>0.94651122172736013</v>
      </c>
      <c r="Y58">
        <v>10</v>
      </c>
      <c r="AA58" t="b">
        <f>large!T40</f>
        <v>1</v>
      </c>
      <c r="AB58" t="b">
        <f>large!U40</f>
        <v>1</v>
      </c>
      <c r="AC58" t="b">
        <f>large!V40</f>
        <v>0</v>
      </c>
    </row>
    <row r="59" spans="1:29" x14ac:dyDescent="0.2">
      <c r="A59" s="4"/>
      <c r="B59" s="4" t="str">
        <f>C5</f>
        <v>10MB</v>
      </c>
      <c r="C59" s="4">
        <f>IF(ISBLANK(D5), "-", D5)</f>
        <v>15</v>
      </c>
      <c r="D59" s="4" t="str">
        <f>IF(ISNA(E5), $C$1, TEXT(E5, "0.000"))</f>
        <v>3.440</v>
      </c>
      <c r="E59" s="4" t="str">
        <f>IF(ISNA(F5), $C$1, TEXT(F5, "0.000"))</f>
        <v>0.435</v>
      </c>
      <c r="F59" s="4" t="str">
        <f>IF(ISNA(G5), $C$1, TEXT(G5, "0.000"))</f>
        <v>0.219</v>
      </c>
      <c r="G59" s="4" t="str">
        <f>IF(ISNA(H5), $C$1, TEXT(H5, "0.000"))</f>
        <v>0.233</v>
      </c>
      <c r="H59" s="4" t="str">
        <f>IF($F59=$C$1, $D$1, IF($J5="DNF", "&gt;" &amp; TEXT($B$1/$F59,"0.00") &amp; "X", TEXT($J5, "0.00") &amp; "X" &amp; IF(M5, "", "*")))</f>
        <v>15.69X</v>
      </c>
      <c r="I59" s="4" t="str">
        <f>IF($F59=$C$1, $D$1, IF($I5="DNF", "&gt;" &amp; TEXT($B$1/$F59,"0.00") &amp; "X", TEXT($I5, "0.00") &amp; "X" &amp; IF(L5, "", "*")))</f>
        <v>1.98X</v>
      </c>
      <c r="J59" s="4" t="str">
        <f>IF($F59=$C$1, $D$1, IF($K5="DNF", "&gt;" &amp; TEXT($B$1/$F59,"0.00") &amp; "X", TEXT($K5, "0.00") &amp; "X" &amp; IF(N5, "", "*")))</f>
        <v>1.06X*</v>
      </c>
      <c r="P59" t="s">
        <v>77</v>
      </c>
      <c r="Q59" t="s">
        <v>39</v>
      </c>
      <c r="R59">
        <f>large!M18</f>
        <v>1.344222</v>
      </c>
      <c r="S59">
        <f>large!N18</f>
        <v>9.3028110000000002</v>
      </c>
      <c r="T59" t="e">
        <f>large!O18</f>
        <v>#N/A</v>
      </c>
      <c r="U59">
        <f>large!P18</f>
        <v>1.3505579999999999</v>
      </c>
      <c r="V59">
        <f>large!Q18</f>
        <v>6.9205912416252673</v>
      </c>
      <c r="W59" t="str">
        <f>large!R18</f>
        <v>DNF</v>
      </c>
      <c r="X59">
        <f>large!S18</f>
        <v>1.0047135071439093</v>
      </c>
      <c r="AA59" t="b">
        <f>large!T41</f>
        <v>1</v>
      </c>
      <c r="AB59" t="b">
        <f>large!U41</f>
        <v>1</v>
      </c>
      <c r="AC59" t="b">
        <f>large!V41</f>
        <v>0</v>
      </c>
    </row>
    <row r="60" spans="1:29" x14ac:dyDescent="0.2">
      <c r="A60" s="4"/>
      <c r="B60" s="4" t="str">
        <f>C6</f>
        <v>100MB</v>
      </c>
      <c r="C60" s="4">
        <f>IF(ISBLANK(D6), "-", D6)</f>
        <v>189</v>
      </c>
      <c r="D60" s="4" t="str">
        <f>IF(ISNA(E6), $C$1, TEXT(E6, "0.000"))</f>
        <v>TO</v>
      </c>
      <c r="E60" s="4" t="str">
        <f>IF(ISNA(F6), $C$1, TEXT(F6, "0.000"))</f>
        <v>TO</v>
      </c>
      <c r="F60" s="4" t="str">
        <f>IF(ISNA(G6), $C$1, TEXT(G6, "0.000"))</f>
        <v>39.965</v>
      </c>
      <c r="G60" s="4" t="str">
        <f>IF(ISNA(H6), $C$1, TEXT(H6, "0.000"))</f>
        <v>39.820</v>
      </c>
      <c r="H60" s="4" t="str">
        <f>IF($F60=$C$1, $D$1, IF($J6="DNF", "&gt;" &amp; TEXT($B$1/$F60,"0.00") &amp; "X", TEXT($J6, "0.00") &amp; "X" &amp; IF(M6, "", "*")))</f>
        <v>&gt;15.01X</v>
      </c>
      <c r="I60" s="4" t="str">
        <f>IF($F60=$C$1, $D$1, IF($I6="DNF", "&gt;" &amp; TEXT($B$1/$F60,"0.00") &amp; "X", TEXT($I6, "0.00") &amp; "X" &amp; IF(L6, "", "*")))</f>
        <v>&gt;15.01X</v>
      </c>
      <c r="J60" s="4" t="str">
        <f>IF($F60=$C$1, $D$1, IF($K6="DNF", "&gt;" &amp; TEXT($B$1/$F60,"0.00") &amp; "X", TEXT($K6, "0.00") &amp; "X" &amp; IF(N6, "", "*")))</f>
        <v>1.00X*</v>
      </c>
    </row>
    <row r="61" spans="1:29" x14ac:dyDescent="0.2">
      <c r="A61" s="4" t="s">
        <v>11</v>
      </c>
      <c r="B61" s="4" t="str">
        <f>C7</f>
        <v>0.01MB</v>
      </c>
      <c r="C61" s="4">
        <f>IF(ISBLANK(D7), "-", D7)</f>
        <v>3</v>
      </c>
      <c r="D61" s="4" t="str">
        <f>IF(ISNA(E7), $C$1, TEXT(E7, "0.000"))</f>
        <v>0.001</v>
      </c>
      <c r="E61" s="4" t="str">
        <f>IF(ISNA(F7), $C$1, TEXT(F7, "0.000"))</f>
        <v>0.051</v>
      </c>
      <c r="F61" s="4" t="str">
        <f>IF(ISNA(G7), $C$1, TEXT(G7, "0.000"))</f>
        <v>0.015</v>
      </c>
      <c r="G61" s="4" t="str">
        <f>IF(ISNA(H7), $C$1, TEXT(H7, "0.000"))</f>
        <v>0.014</v>
      </c>
      <c r="H61" s="4" t="str">
        <f>IF($F61=$C$1, $D$1, IF($J7="DNF", "&gt;" &amp; TEXT($B$1/$F61,"0.00") &amp; "X", TEXT($J7, "0.00") &amp; "X" &amp; IF(M7, "", "*")))</f>
        <v>0.10X</v>
      </c>
      <c r="I61" s="4" t="str">
        <f>IF($F61=$C$1, $D$1, IF($I7="DNF", "&gt;" &amp; TEXT($B$1/$F61,"0.00") &amp; "X", TEXT($I7, "0.00") &amp; "X" &amp; IF(L7, "", "*")))</f>
        <v>3.46X</v>
      </c>
      <c r="J61" s="4" t="str">
        <f>IF($F61=$C$1, $D$1, IF($K7="DNF", "&gt;" &amp; TEXT($B$1/$F61,"0.00") &amp; "X", TEXT($K7, "0.00") &amp; "X" &amp; IF(N7, "", "*")))</f>
        <v>0.95X*</v>
      </c>
    </row>
    <row r="62" spans="1:29" x14ac:dyDescent="0.2">
      <c r="A62" s="4"/>
      <c r="B62" s="4" t="str">
        <f>C8</f>
        <v>0.02MB</v>
      </c>
      <c r="C62" s="4">
        <f>IF(ISBLANK(D8), "-", D8)</f>
        <v>4</v>
      </c>
      <c r="D62" s="4" t="str">
        <f>IF(ISNA(E8), $C$1, TEXT(E8, "0.000"))</f>
        <v>3.496</v>
      </c>
      <c r="E62" s="4" t="str">
        <f>IF(ISNA(F8), $C$1, TEXT(F8, "0.000"))</f>
        <v>0.091</v>
      </c>
      <c r="F62" s="4" t="str">
        <f>IF(ISNA(G8), $C$1, TEXT(G8, "0.000"))</f>
        <v>0.019</v>
      </c>
      <c r="G62" s="4" t="str">
        <f>IF(ISNA(H8), $C$1, TEXT(H8, "0.000"))</f>
        <v>0.018</v>
      </c>
      <c r="H62" s="4" t="str">
        <f>IF($F62=$C$1, $D$1, IF($J8="DNF", "&gt;" &amp; TEXT($B$1/$F62,"0.00") &amp; "X", TEXT($J8, "0.00") &amp; "X" &amp; IF(M8, "", "*")))</f>
        <v>183.62X</v>
      </c>
      <c r="I62" s="4" t="str">
        <f>IF($F62=$C$1, $D$1, IF($I8="DNF", "&gt;" &amp; TEXT($B$1/$F62,"0.00") &amp; "X", TEXT($I8, "0.00") &amp; "X" &amp; IF(L8, "", "*")))</f>
        <v>4.77X</v>
      </c>
      <c r="J62" s="4" t="str">
        <f>IF($F62=$C$1, $D$1, IF($K8="DNF", "&gt;" &amp; TEXT($B$1/$F62,"0.00") &amp; "X", TEXT($K8, "0.00") &amp; "X" &amp; IF(N8, "", "*")))</f>
        <v>0.96X*</v>
      </c>
    </row>
    <row r="63" spans="1:29" x14ac:dyDescent="0.2">
      <c r="A63" s="4"/>
      <c r="B63" s="4" t="str">
        <f>C9</f>
        <v>0.04MB</v>
      </c>
      <c r="C63" s="4">
        <f>IF(ISBLANK(D9), "-", D9)</f>
        <v>9</v>
      </c>
      <c r="D63" s="4" t="str">
        <f>IF(ISNA(E9), $C$1, TEXT(E9, "0.000"))</f>
        <v>31.093</v>
      </c>
      <c r="E63" s="4" t="str">
        <f>IF(ISNA(F9), $C$1, TEXT(F9, "0.000"))</f>
        <v>0.212</v>
      </c>
      <c r="F63" s="4" t="str">
        <f>IF(ISNA(G9), $C$1, TEXT(G9, "0.000"))</f>
        <v>0.040</v>
      </c>
      <c r="G63" s="4" t="str">
        <f>IF(ISNA(H9), $C$1, TEXT(H9, "0.000"))</f>
        <v>0.039</v>
      </c>
      <c r="H63" s="4" t="str">
        <f>IF($F63=$C$1, $D$1, IF($J9="DNF", "&gt;" &amp; TEXT($B$1/$F63,"0.00") &amp; "X", TEXT($J9, "0.00") &amp; "X" &amp; IF(M9, "", "*")))</f>
        <v>773.25X</v>
      </c>
      <c r="I63" s="4" t="str">
        <f>IF($F63=$C$1, $D$1, IF($I9="DNF", "&gt;" &amp; TEXT($B$1/$F63,"0.00") &amp; "X", TEXT($I9, "0.00") &amp; "X" &amp; IF(L9, "", "*")))</f>
        <v>5.27X</v>
      </c>
      <c r="J63" s="4" t="str">
        <f>IF($F63=$C$1, $D$1, IF($K9="DNF", "&gt;" &amp; TEXT($B$1/$F63,"0.00") &amp; "X", TEXT($K9, "0.00") &amp; "X" &amp; IF(N9, "", "*")))</f>
        <v>0.97X*</v>
      </c>
    </row>
    <row r="64" spans="1:29" x14ac:dyDescent="0.2">
      <c r="A64" s="4" t="s">
        <v>14</v>
      </c>
      <c r="B64" s="4" t="str">
        <f>C10</f>
        <v>0.01MB</v>
      </c>
      <c r="C64" s="4">
        <f>IF(ISBLANK(D10), "-", D10)</f>
        <v>3</v>
      </c>
      <c r="D64" s="4" t="str">
        <f>IF(ISNA(E10), $C$1, TEXT(E10, "0.000"))</f>
        <v>0.004</v>
      </c>
      <c r="E64" s="4" t="str">
        <f>IF(ISNA(F10), $C$1, TEXT(F10, "0.000"))</f>
        <v>0.041</v>
      </c>
      <c r="F64" s="4" t="str">
        <f>IF(ISNA(G10), $C$1, TEXT(G10, "0.000"))</f>
        <v>0.013</v>
      </c>
      <c r="G64" s="4" t="str">
        <f>IF(ISNA(H10), $C$1, TEXT(H10, "0.000"))</f>
        <v>0.010</v>
      </c>
      <c r="H64" s="4" t="str">
        <f>IF($F64=$C$1, $D$1, IF($J10="DNF", "&gt;" &amp; TEXT($B$1/$F64,"0.00") &amp; "X", TEXT($J10, "0.00") &amp; "X" &amp; IF(M10, "", "*")))</f>
        <v>0.27X</v>
      </c>
      <c r="I64" s="4" t="str">
        <f>IF($F64=$C$1, $D$1, IF($I10="DNF", "&gt;" &amp; TEXT($B$1/$F64,"0.00") &amp; "X", TEXT($I10, "0.00") &amp; "X" &amp; IF(L10, "", "*")))</f>
        <v>3.18X</v>
      </c>
      <c r="J64" s="4" t="str">
        <f>IF($F64=$C$1, $D$1, IF($K10="DNF", "&gt;" &amp; TEXT($B$1/$F64,"0.00") &amp; "X", TEXT($K10, "0.00") &amp; "X" &amp; IF(N10, "", "*")))</f>
        <v>0.76X*</v>
      </c>
    </row>
    <row r="65" spans="1:10" x14ac:dyDescent="0.2">
      <c r="A65" s="4"/>
      <c r="B65" s="4" t="str">
        <f>C11</f>
        <v>1MB</v>
      </c>
      <c r="C65" s="4">
        <f>IF(ISBLANK(D11), "-", D11)</f>
        <v>3</v>
      </c>
      <c r="D65" s="4" t="str">
        <f>IF(ISNA(E11), $C$1, TEXT(E11, "0.000"))</f>
        <v>19.846</v>
      </c>
      <c r="E65" s="4" t="str">
        <f>IF(ISNA(F11), $C$1, TEXT(F11, "0.000"))</f>
        <v>0.185</v>
      </c>
      <c r="F65" s="4" t="str">
        <f>IF(ISNA(G11), $C$1, TEXT(G11, "0.000"))</f>
        <v>0.049</v>
      </c>
      <c r="G65" s="4" t="str">
        <f>IF(ISNA(H11), $C$1, TEXT(H11, "0.000"))</f>
        <v>0.045</v>
      </c>
      <c r="H65" s="4" t="str">
        <f>IF($F65=$C$1, $D$1, IF($J11="DNF", "&gt;" &amp; TEXT($B$1/$F65,"0.00") &amp; "X", TEXT($J11, "0.00") &amp; "X" &amp; IF(M11, "", "*")))</f>
        <v>408.17X</v>
      </c>
      <c r="I65" s="4" t="str">
        <f>IF($F65=$C$1, $D$1, IF($I11="DNF", "&gt;" &amp; TEXT($B$1/$F65,"0.00") &amp; "X", TEXT($I11, "0.00") &amp; "X" &amp; IF(L11, "", "*")))</f>
        <v>3.80X</v>
      </c>
      <c r="J65" s="4" t="str">
        <f>IF($F65=$C$1, $D$1, IF($K11="DNF", "&gt;" &amp; TEXT($B$1/$F65,"0.00") &amp; "X", TEXT($K11, "0.00") &amp; "X" &amp; IF(N11, "", "*")))</f>
        <v>0.93X*</v>
      </c>
    </row>
    <row r="66" spans="1:10" x14ac:dyDescent="0.2">
      <c r="A66" s="4"/>
      <c r="B66" s="4" t="str">
        <f>C12</f>
        <v>5MB</v>
      </c>
      <c r="C66" s="4">
        <f>IF(ISBLANK(D12), "-", D12)</f>
        <v>4</v>
      </c>
      <c r="D66" s="4" t="str">
        <f>IF(ISNA(E12), $C$1, TEXT(E12, "0.000"))</f>
        <v>TO</v>
      </c>
      <c r="E66" s="4" t="str">
        <f>IF(ISNA(F12), $C$1, TEXT(F12, "0.000"))</f>
        <v>0.663</v>
      </c>
      <c r="F66" s="4" t="str">
        <f>IF(ISNA(G12), $C$1, TEXT(G12, "0.000"))</f>
        <v>0.174</v>
      </c>
      <c r="G66" s="4" t="str">
        <f>IF(ISNA(H12), $C$1, TEXT(H12, "0.000"))</f>
        <v>0.178</v>
      </c>
      <c r="H66" s="4" t="str">
        <f>IF($F66=$C$1, $D$1, IF($J12="DNF", "&gt;" &amp; TEXT($B$1/$F66,"0.00") &amp; "X", TEXT($J12, "0.00") &amp; "X" &amp; IF(M12, "", "*")))</f>
        <v>&gt;3448.28X</v>
      </c>
      <c r="I66" s="4" t="str">
        <f>IF($F66=$C$1, $D$1, IF($I12="DNF", "&gt;" &amp; TEXT($B$1/$F66,"0.00") &amp; "X", TEXT($I12, "0.00") &amp; "X" &amp; IF(L12, "", "*")))</f>
        <v>3.81X</v>
      </c>
      <c r="J66" s="4" t="str">
        <f>IF($F66=$C$1, $D$1, IF($K12="DNF", "&gt;" &amp; TEXT($B$1/$F66,"0.00") &amp; "X", TEXT($K12, "0.00") &amp; "X" &amp; IF(N12, "", "*")))</f>
        <v>1.03X*</v>
      </c>
    </row>
    <row r="67" spans="1:10" x14ac:dyDescent="0.2">
      <c r="A67" s="4" t="s">
        <v>16</v>
      </c>
      <c r="B67" s="4" t="str">
        <f>C13</f>
        <v>0.01MB</v>
      </c>
      <c r="C67" s="4">
        <f>IF(ISBLANK(D13), "-", D13)</f>
        <v>2</v>
      </c>
      <c r="D67" s="4" t="str">
        <f>IF(ISNA(E13), $C$1, TEXT(E13, "0.000"))</f>
        <v>0.002</v>
      </c>
      <c r="E67" s="4" t="str">
        <f>IF(ISNA(F13), $C$1, TEXT(F13, "0.000"))</f>
        <v>0.038</v>
      </c>
      <c r="F67" s="4" t="str">
        <f>IF(ISNA(G13), $C$1, TEXT(G13, "0.000"))</f>
        <v>0.009</v>
      </c>
      <c r="G67" s="4" t="str">
        <f>IF(ISNA(H13), $C$1, TEXT(H13, "0.000"))</f>
        <v>0.009</v>
      </c>
      <c r="H67" s="4" t="str">
        <f>IF($F67=$C$1, $D$1, IF($J13="DNF", "&gt;" &amp; TEXT($B$1/$F67,"0.00") &amp; "X", TEXT($J13, "0.00") &amp; "X" &amp; IF(M13, "", "*")))</f>
        <v>0.21X*</v>
      </c>
      <c r="I67" s="4" t="str">
        <f>IF($F67=$C$1, $D$1, IF($I13="DNF", "&gt;" &amp; TEXT($B$1/$F67,"0.00") &amp; "X", TEXT($I13, "0.00") &amp; "X" &amp; IF(L13, "", "*")))</f>
        <v>4.36X</v>
      </c>
      <c r="J67" s="4" t="str">
        <f>IF($F67=$C$1, $D$1, IF($K13="DNF", "&gt;" &amp; TEXT($B$1/$F67,"0.00") &amp; "X", TEXT($K13, "0.00") &amp; "X" &amp; IF(N13, "", "*")))</f>
        <v>0.99X*</v>
      </c>
    </row>
    <row r="68" spans="1:10" x14ac:dyDescent="0.2">
      <c r="A68" s="4"/>
      <c r="B68" s="4" t="str">
        <f>C14</f>
        <v>2MB</v>
      </c>
      <c r="C68" s="4">
        <f>IF(ISBLANK(D14), "-", D14)</f>
        <v>5</v>
      </c>
      <c r="D68" s="4" t="str">
        <f>IF(ISNA(E14), $C$1, TEXT(E14, "0.000"))</f>
        <v>136.253</v>
      </c>
      <c r="E68" s="4" t="str">
        <f>IF(ISNA(F14), $C$1, TEXT(F14, "0.000"))</f>
        <v>0.566</v>
      </c>
      <c r="F68" s="4" t="str">
        <f>IF(ISNA(G14), $C$1, TEXT(G14, "0.000"))</f>
        <v>0.088</v>
      </c>
      <c r="G68" s="4" t="str">
        <f>IF(ISNA(H14), $C$1, TEXT(H14, "0.000"))</f>
        <v>0.090</v>
      </c>
      <c r="H68" s="4" t="str">
        <f>IF($F68=$C$1, $D$1, IF($J14="DNF", "&gt;" &amp; TEXT($B$1/$F68,"0.00") &amp; "X", TEXT($J14, "0.00") &amp; "X" &amp; IF(M14, "", "*")))</f>
        <v>1541.17X</v>
      </c>
      <c r="I68" s="4" t="str">
        <f>IF($F68=$C$1, $D$1, IF($I14="DNF", "&gt;" &amp; TEXT($B$1/$F68,"0.00") &amp; "X", TEXT($I14, "0.00") &amp; "X" &amp; IF(L14, "", "*")))</f>
        <v>6.40X</v>
      </c>
      <c r="J68" s="4" t="str">
        <f>IF($F68=$C$1, $D$1, IF($K14="DNF", "&gt;" &amp; TEXT($B$1/$F68,"0.00") &amp; "X", TEXT($K14, "0.00") &amp; "X" &amp; IF(N14, "", "*")))</f>
        <v>1.02X*</v>
      </c>
    </row>
    <row r="69" spans="1:10" x14ac:dyDescent="0.2">
      <c r="A69" s="4"/>
      <c r="B69" s="4" t="str">
        <f>C15</f>
        <v>20MB</v>
      </c>
      <c r="C69" s="4">
        <f>IF(ISBLANK(D15), "-", D15)</f>
        <v>22</v>
      </c>
      <c r="D69" s="4" t="str">
        <f>IF(ISNA(E15), $C$1, TEXT(E15, "0.000"))</f>
        <v>TO</v>
      </c>
      <c r="E69" s="4" t="str">
        <f>IF(ISNA(F15), $C$1, TEXT(F15, "0.000"))</f>
        <v>13.982</v>
      </c>
      <c r="F69" s="4" t="str">
        <f>IF(ISNA(G15), $C$1, TEXT(G15, "0.000"))</f>
        <v>2.044</v>
      </c>
      <c r="G69" s="4" t="str">
        <f>IF(ISNA(H15), $C$1, TEXT(H15, "0.000"))</f>
        <v>2.052</v>
      </c>
      <c r="H69" s="4" t="str">
        <f>IF($F69=$C$1, $D$1, IF($J15="DNF", "&gt;" &amp; TEXT($B$1/$F69,"0.00") &amp; "X", TEXT($J15, "0.00") &amp; "X" &amp; IF(M15, "", "*")))</f>
        <v>&gt;293.54X</v>
      </c>
      <c r="I69" s="4" t="str">
        <f>IF($F69=$C$1, $D$1, IF($I15="DNF", "&gt;" &amp; TEXT($B$1/$F69,"0.00") &amp; "X", TEXT($I15, "0.00") &amp; "X" &amp; IF(L15, "", "*")))</f>
        <v>6.84X</v>
      </c>
      <c r="J69" s="4" t="str">
        <f>IF($F69=$C$1, $D$1, IF($K15="DNF", "&gt;" &amp; TEXT($B$1/$F69,"0.00") &amp; "X", TEXT($K15, "0.00") &amp; "X" &amp; IF(N15, "", "*")))</f>
        <v>1.00X*</v>
      </c>
    </row>
    <row r="70" spans="1:10" x14ac:dyDescent="0.2">
      <c r="A70" s="4" t="s">
        <v>18</v>
      </c>
      <c r="B70" s="4" t="str">
        <f>C16</f>
        <v>0.02MB</v>
      </c>
      <c r="C70" s="4">
        <f>IF(ISBLANK(D16), "-", D16)</f>
        <v>9</v>
      </c>
      <c r="D70" s="4" t="str">
        <f>IF(ISNA(E16), $C$1, TEXT(E16, "0.000"))</f>
        <v>0.006</v>
      </c>
      <c r="E70" s="4" t="str">
        <f>IF(ISNA(F16), $C$1, TEXT(F16, "0.000"))</f>
        <v>0.368</v>
      </c>
      <c r="F70" s="4" t="str">
        <f>IF(ISNA(G16), $C$1, TEXT(G16, "0.000"))</f>
        <v>0.031</v>
      </c>
      <c r="G70" s="4" t="str">
        <f>IF(ISNA(H16), $C$1, TEXT(H16, "0.000"))</f>
        <v>0.028</v>
      </c>
      <c r="H70" s="4" t="str">
        <f>IF($F70=$C$1, $D$1, IF($J16="DNF", "&gt;" &amp; TEXT($B$1/$F70,"0.00") &amp; "X", TEXT($J16, "0.00") &amp; "X" &amp; IF(M16, "", "*")))</f>
        <v>0.19X</v>
      </c>
      <c r="I70" s="4" t="str">
        <f>IF($F70=$C$1, $D$1, IF($I16="DNF", "&gt;" &amp; TEXT($B$1/$F70,"0.00") &amp; "X", TEXT($I16, "0.00") &amp; "X" &amp; IF(L16, "", "*")))</f>
        <v>11.89X</v>
      </c>
      <c r="J70" s="4" t="str">
        <f>IF($F70=$C$1, $D$1, IF($K16="DNF", "&gt;" &amp; TEXT($B$1/$F70,"0.00") &amp; "X", TEXT($K16, "0.00") &amp; "X" &amp; IF(N16, "", "*")))</f>
        <v>0.91X*</v>
      </c>
    </row>
    <row r="71" spans="1:10" x14ac:dyDescent="0.2">
      <c r="A71" s="4"/>
      <c r="B71" s="4" t="str">
        <f>C17</f>
        <v>0.1MB</v>
      </c>
      <c r="C71" s="4">
        <f>IF(ISBLANK(D17), "-", D17)</f>
        <v>1</v>
      </c>
      <c r="D71" s="4" t="str">
        <f>IF(ISNA(E17), $C$1, TEXT(E17, "0.000"))</f>
        <v>TO</v>
      </c>
      <c r="E71" s="4" t="str">
        <f>IF(ISNA(F17), $C$1, TEXT(F17, "0.000"))</f>
        <v>0.071</v>
      </c>
      <c r="F71" s="4" t="str">
        <f>IF(ISNA(G17), $C$1, TEXT(G17, "0.000"))</f>
        <v>0.024</v>
      </c>
      <c r="G71" s="4" t="str">
        <f>IF(ISNA(H17), $C$1, TEXT(H17, "0.000"))</f>
        <v>0.018</v>
      </c>
      <c r="H71" s="4" t="str">
        <f>IF($F71=$C$1, $D$1, IF($J17="DNF", "&gt;" &amp; TEXT($B$1/$F71,"0.00") &amp; "X", TEXT($J17, "0.00") &amp; "X" &amp; IF(M17, "", "*")))</f>
        <v>&gt;25000.00X</v>
      </c>
      <c r="I71" s="4" t="str">
        <f>IF($F71=$C$1, $D$1, IF($I17="DNF", "&gt;" &amp; TEXT($B$1/$F71,"0.00") &amp; "X", TEXT($I17, "0.00") &amp; "X" &amp; IF(L17, "", "*")))</f>
        <v>2.98X</v>
      </c>
      <c r="J71" s="4" t="str">
        <f>IF($F71=$C$1, $D$1, IF($K17="DNF", "&gt;" &amp; TEXT($B$1/$F71,"0.00") &amp; "X", TEXT($K17, "0.00") &amp; "X" &amp; IF(N17, "", "*")))</f>
        <v>0.76X*</v>
      </c>
    </row>
    <row r="72" spans="1:10" x14ac:dyDescent="0.2">
      <c r="A72" s="4"/>
      <c r="B72" s="4" t="str">
        <f>C18</f>
        <v>0.2MB</v>
      </c>
      <c r="C72" s="4">
        <f>IF(ISBLANK(D18), "-", D18)</f>
        <v>1</v>
      </c>
      <c r="D72" s="4" t="str">
        <f>IF(ISNA(E18), $C$1, TEXT(E18, "0.000"))</f>
        <v>TO</v>
      </c>
      <c r="E72" s="4" t="str">
        <f>IF(ISNA(F18), $C$1, TEXT(F18, "0.000"))</f>
        <v>0.062</v>
      </c>
      <c r="F72" s="4" t="str">
        <f>IF(ISNA(G18), $C$1, TEXT(G18, "0.000"))</f>
        <v>0.025</v>
      </c>
      <c r="G72" s="4" t="str">
        <f>IF(ISNA(H18), $C$1, TEXT(H18, "0.000"))</f>
        <v>0.020</v>
      </c>
      <c r="H72" s="4" t="str">
        <f>IF($F72=$C$1, $D$1, IF($J18="DNF", "&gt;" &amp; TEXT($B$1/$F72,"0.00") &amp; "X", TEXT($J18, "0.00") &amp; "X" &amp; IF(M18, "", "*")))</f>
        <v>&gt;24000.00X</v>
      </c>
      <c r="I72" s="4" t="str">
        <f>IF($F72=$C$1, $D$1, IF($I18="DNF", "&gt;" &amp; TEXT($B$1/$F72,"0.00") &amp; "X", TEXT($I18, "0.00") &amp; "X" &amp; IF(L18, "", "*")))</f>
        <v>2.47X</v>
      </c>
      <c r="J72" s="4" t="str">
        <f>IF($F72=$C$1, $D$1, IF($K18="DNF", "&gt;" &amp; TEXT($B$1/$F72,"0.00") &amp; "X", TEXT($K18, "0.00") &amp; "X" &amp; IF(N18, "", "*")))</f>
        <v>0.78X*</v>
      </c>
    </row>
    <row r="73" spans="1:10" x14ac:dyDescent="0.2">
      <c r="A73" s="4" t="s">
        <v>20</v>
      </c>
      <c r="B73" s="4" t="str">
        <f>C19</f>
        <v>0.01MB</v>
      </c>
      <c r="C73" s="4">
        <f>IF(ISBLANK(D19), "-", D19)</f>
        <v>3</v>
      </c>
      <c r="D73" s="4" t="str">
        <f>IF(ISNA(E19), $C$1, TEXT(E19, "0.000"))</f>
        <v>0.002</v>
      </c>
      <c r="E73" s="4" t="str">
        <f>IF(ISNA(F19), $C$1, TEXT(F19, "0.000"))</f>
        <v>0.067</v>
      </c>
      <c r="F73" s="4" t="str">
        <f>IF(ISNA(G19), $C$1, TEXT(G19, "0.000"))</f>
        <v>0.010</v>
      </c>
      <c r="G73" s="4" t="str">
        <f>IF(ISNA(H19), $C$1, TEXT(H19, "0.000"))</f>
        <v>0.011</v>
      </c>
      <c r="H73" s="4" t="str">
        <f>IF($F73=$C$1, $D$1, IF($J19="DNF", "&gt;" &amp; TEXT($B$1/$F73,"0.00") &amp; "X", TEXT($J19, "0.00") &amp; "X" &amp; IF(M19, "", "*")))</f>
        <v>0.24X*</v>
      </c>
      <c r="I73" s="4" t="str">
        <f>IF($F73=$C$1, $D$1, IF($I19="DNF", "&gt;" &amp; TEXT($B$1/$F73,"0.00") &amp; "X", TEXT($I19, "0.00") &amp; "X" &amp; IF(L19, "", "*")))</f>
        <v>6.82X</v>
      </c>
      <c r="J73" s="4" t="str">
        <f>IF($F73=$C$1, $D$1, IF($K19="DNF", "&gt;" &amp; TEXT($B$1/$F73,"0.00") &amp; "X", TEXT($K19, "0.00") &amp; "X" &amp; IF(N19, "", "*")))</f>
        <v>1.08X*</v>
      </c>
    </row>
    <row r="74" spans="1:10" x14ac:dyDescent="0.2">
      <c r="A74" s="4"/>
      <c r="B74" s="4" t="str">
        <f>C20</f>
        <v>1MB</v>
      </c>
      <c r="C74" s="4">
        <f>IF(ISBLANK(D20), "-", D20)</f>
        <v>3</v>
      </c>
      <c r="D74" s="4" t="str">
        <f>IF(ISNA(E20), $C$1, TEXT(E20, "0.000"))</f>
        <v>14.768</v>
      </c>
      <c r="E74" s="4" t="str">
        <f>IF(ISNA(F20), $C$1, TEXT(F20, "0.000"))</f>
        <v>0.766</v>
      </c>
      <c r="F74" s="4" t="str">
        <f>IF(ISNA(G20), $C$1, TEXT(G20, "0.000"))</f>
        <v>0.303</v>
      </c>
      <c r="G74" s="4" t="str">
        <f>IF(ISNA(H20), $C$1, TEXT(H20, "0.000"))</f>
        <v>0.292</v>
      </c>
      <c r="H74" s="4" t="str">
        <f>IF($F74=$C$1, $D$1, IF($J20="DNF", "&gt;" &amp; TEXT($B$1/$F74,"0.00") &amp; "X", TEXT($J20, "0.00") &amp; "X" &amp; IF(M20, "", "*")))</f>
        <v>48.82X</v>
      </c>
      <c r="I74" s="4" t="str">
        <f>IF($F74=$C$1, $D$1, IF($I20="DNF", "&gt;" &amp; TEXT($B$1/$F74,"0.00") &amp; "X", TEXT($I20, "0.00") &amp; "X" &amp; IF(L20, "", "*")))</f>
        <v>2.53X</v>
      </c>
      <c r="J74" s="4" t="str">
        <f>IF($F74=$C$1, $D$1, IF($K20="DNF", "&gt;" &amp; TEXT($B$1/$F74,"0.00") &amp; "X", TEXT($K20, "0.00") &amp; "X" &amp; IF(N20, "", "*")))</f>
        <v>0.96X*</v>
      </c>
    </row>
    <row r="75" spans="1:10" x14ac:dyDescent="0.2">
      <c r="A75" s="4"/>
      <c r="B75" s="4" t="str">
        <f>C21</f>
        <v>1.5MB</v>
      </c>
      <c r="C75" s="4">
        <f>IF(ISBLANK(D21), "-", D21)</f>
        <v>3</v>
      </c>
      <c r="D75" s="4" t="str">
        <f>IF(ISNA(E21), $C$1, TEXT(E21, "0.000"))</f>
        <v>33.902</v>
      </c>
      <c r="E75" s="4" t="str">
        <f>IF(ISNA(F21), $C$1, TEXT(F21, "0.000"))</f>
        <v>0.918</v>
      </c>
      <c r="F75" s="4" t="str">
        <f>IF(ISNA(G21), $C$1, TEXT(G21, "0.000"))</f>
        <v>0.739</v>
      </c>
      <c r="G75" s="4" t="str">
        <f>IF(ISNA(H21), $C$1, TEXT(H21, "0.000"))</f>
        <v>0.695</v>
      </c>
      <c r="H75" s="4" t="str">
        <f>IF($F75=$C$1, $D$1, IF($J21="DNF", "&gt;" &amp; TEXT($B$1/$F75,"0.00") &amp; "X", TEXT($J21, "0.00") &amp; "X" &amp; IF(M21, "", "*")))</f>
        <v>45.85X</v>
      </c>
      <c r="I75" s="4" t="str">
        <f>IF($F75=$C$1, $D$1, IF($I21="DNF", "&gt;" &amp; TEXT($B$1/$F75,"0.00") &amp; "X", TEXT($I21, "0.00") &amp; "X" &amp; IF(L21, "", "*")))</f>
        <v>1.24X*</v>
      </c>
      <c r="J75" s="4" t="str">
        <f>IF($F75=$C$1, $D$1, IF($K21="DNF", "&gt;" &amp; TEXT($B$1/$F75,"0.00") &amp; "X", TEXT($K21, "0.00") &amp; "X" &amp; IF(N21, "", "*")))</f>
        <v>0.94X*</v>
      </c>
    </row>
    <row r="76" spans="1:10" x14ac:dyDescent="0.2">
      <c r="A76" s="4" t="s">
        <v>22</v>
      </c>
      <c r="B76" s="4" t="str">
        <f>C22</f>
        <v>0.01MB</v>
      </c>
      <c r="C76" s="4">
        <f>IF(ISBLANK(D22), "-", D22)</f>
        <v>5</v>
      </c>
      <c r="D76" s="4" t="str">
        <f>IF(ISNA(E22), $C$1, TEXT(E22, "0.000"))</f>
        <v>0.002</v>
      </c>
      <c r="E76" s="4" t="str">
        <f>IF(ISNA(F22), $C$1, TEXT(F22, "0.000"))</f>
        <v>0.155</v>
      </c>
      <c r="F76" s="4" t="str">
        <f>IF(ISNA(G22), $C$1, TEXT(G22, "0.000"))</f>
        <v>0.026</v>
      </c>
      <c r="G76" s="4" t="str">
        <f>IF(ISNA(H22), $C$1, TEXT(H22, "0.000"))</f>
        <v>0.021</v>
      </c>
      <c r="H76" s="4" t="str">
        <f>IF($F76=$C$1, $D$1, IF($J22="DNF", "&gt;" &amp; TEXT($B$1/$F76,"0.00") &amp; "X", TEXT($J22, "0.00") &amp; "X" &amp; IF(M22, "", "*")))</f>
        <v>0.09X</v>
      </c>
      <c r="I76" s="4" t="str">
        <f>IF($F76=$C$1, $D$1, IF($I22="DNF", "&gt;" &amp; TEXT($B$1/$F76,"0.00") &amp; "X", TEXT($I22, "0.00") &amp; "X" &amp; IF(L22, "", "*")))</f>
        <v>5.90X</v>
      </c>
      <c r="J76" s="4" t="str">
        <f>IF($F76=$C$1, $D$1, IF($K22="DNF", "&gt;" &amp; TEXT($B$1/$F76,"0.00") &amp; "X", TEXT($K22, "0.00") &amp; "X" &amp; IF(N22, "", "*")))</f>
        <v>0.80X*</v>
      </c>
    </row>
    <row r="77" spans="1:10" x14ac:dyDescent="0.2">
      <c r="A77" s="4"/>
      <c r="B77" s="4" t="str">
        <f>C23</f>
        <v>2MB</v>
      </c>
      <c r="C77" s="4">
        <f>IF(ISBLANK(D23), "-", D23)</f>
        <v>11</v>
      </c>
      <c r="D77" s="4" t="str">
        <f>IF(ISNA(E23), $C$1, TEXT(E23, "0.000"))</f>
        <v>TO</v>
      </c>
      <c r="E77" s="4" t="str">
        <f>IF(ISNA(F23), $C$1, TEXT(F23, "0.000"))</f>
        <v>5.713</v>
      </c>
      <c r="F77" s="4" t="str">
        <f>IF(ISNA(G23), $C$1, TEXT(G23, "0.000"))</f>
        <v>1.110</v>
      </c>
      <c r="G77" s="4" t="str">
        <f>IF(ISNA(H23), $C$1, TEXT(H23, "0.000"))</f>
        <v>1.059</v>
      </c>
      <c r="H77" s="4" t="str">
        <f>IF($F77=$C$1, $D$1, IF($J23="DNF", "&gt;" &amp; TEXT($B$1/$F77,"0.00") &amp; "X", TEXT($J23, "0.00") &amp; "X" &amp; IF(M23, "", "*")))</f>
        <v>&gt;540.54X</v>
      </c>
      <c r="I77" s="4" t="str">
        <f>IF($F77=$C$1, $D$1, IF($I23="DNF", "&gt;" &amp; TEXT($B$1/$F77,"0.00") &amp; "X", TEXT($I23, "0.00") &amp; "X" &amp; IF(L23, "", "*")))</f>
        <v>5.15X</v>
      </c>
      <c r="J77" s="4" t="str">
        <f>IF($F77=$C$1, $D$1, IF($K23="DNF", "&gt;" &amp; TEXT($B$1/$F77,"0.00") &amp; "X", TEXT($K23, "0.00") &amp; "X" &amp; IF(N23, "", "*")))</f>
        <v>0.95X*</v>
      </c>
    </row>
    <row r="78" spans="1:10" x14ac:dyDescent="0.2">
      <c r="A78" s="4"/>
      <c r="B78" s="4" t="str">
        <f>C24</f>
        <v>10MB</v>
      </c>
      <c r="C78" s="4">
        <f>IF(ISBLANK(D24), "-", D24)</f>
        <v>14</v>
      </c>
      <c r="D78" s="4" t="str">
        <f>IF(ISNA(E24), $C$1, TEXT(E24, "0.000"))</f>
        <v>TO</v>
      </c>
      <c r="E78" s="4" t="str">
        <f>IF(ISNA(F24), $C$1, TEXT(F24, "0.000"))</f>
        <v>280.456</v>
      </c>
      <c r="F78" s="4" t="str">
        <f>IF(ISNA(G24), $C$1, TEXT(G24, "0.000"))</f>
        <v>28.579</v>
      </c>
      <c r="G78" s="4" t="str">
        <f>IF(ISNA(H24), $C$1, TEXT(H24, "0.000"))</f>
        <v>28.562</v>
      </c>
      <c r="H78" s="4" t="str">
        <f>IF($F78=$C$1, $D$1, IF($J24="DNF", "&gt;" &amp; TEXT($B$1/$F78,"0.00") &amp; "X", TEXT($J24, "0.00") &amp; "X" &amp; IF(M24, "", "*")))</f>
        <v>&gt;20.99X</v>
      </c>
      <c r="I78" s="4" t="str">
        <f>IF($F78=$C$1, $D$1, IF($I24="DNF", "&gt;" &amp; TEXT($B$1/$F78,"0.00") &amp; "X", TEXT($I24, "0.00") &amp; "X" &amp; IF(L24, "", "*")))</f>
        <v>9.81X</v>
      </c>
      <c r="J78" s="4" t="str">
        <f>IF($F78=$C$1, $D$1, IF($K24="DNF", "&gt;" &amp; TEXT($B$1/$F78,"0.00") &amp; "X", TEXT($K24, "0.00") &amp; "X" &amp; IF(N24, "", "*")))</f>
        <v>1.00X*</v>
      </c>
    </row>
    <row r="79" spans="1:10" x14ac:dyDescent="0.2">
      <c r="A79" s="4" t="s">
        <v>58</v>
      </c>
      <c r="B79" s="4" t="str">
        <f>C25</f>
        <v>0.01MB</v>
      </c>
      <c r="C79" s="4">
        <f>IF(ISBLANK(D25), "-", D25)</f>
        <v>3</v>
      </c>
      <c r="D79" s="4" t="str">
        <f>IF(ISNA(E25), $C$1, TEXT(E25, "0.000"))</f>
        <v>0.002</v>
      </c>
      <c r="E79" s="4" t="str">
        <f>IF(ISNA(F25), $C$1, TEXT(F25, "0.000"))</f>
        <v>0.045</v>
      </c>
      <c r="F79" s="4" t="str">
        <f>IF(ISNA(G25), $C$1, TEXT(G25, "0.000"))</f>
        <v>0.007</v>
      </c>
      <c r="G79" s="4" t="str">
        <f>IF(ISNA(H25), $C$1, TEXT(H25, "0.000"))</f>
        <v>0.005</v>
      </c>
      <c r="H79" s="4" t="str">
        <f>IF($F79=$C$1, $D$1, IF($J25="DNF", "&gt;" &amp; TEXT($B$1/$F79,"0.00") &amp; "X", TEXT($J25, "0.00") &amp; "X" &amp; IF(M25, "", "*")))</f>
        <v>0.29X*</v>
      </c>
      <c r="I79" s="4" t="str">
        <f>IF($F79=$C$1, $D$1, IF($I25="DNF", "&gt;" &amp; TEXT($B$1/$F79,"0.00") &amp; "X", TEXT($I25, "0.00") &amp; "X" &amp; IF(L25, "", "*")))</f>
        <v>6.34X</v>
      </c>
      <c r="J79" s="4" t="str">
        <f>IF($F79=$C$1, $D$1, IF($K25="DNF", "&gt;" &amp; TEXT($B$1/$F79,"0.00") &amp; "X", TEXT($K25, "0.00") &amp; "X" &amp; IF(N25, "", "*")))</f>
        <v>0.65X*</v>
      </c>
    </row>
    <row r="80" spans="1:10" x14ac:dyDescent="0.2">
      <c r="A80" s="4"/>
      <c r="B80" s="4" t="str">
        <f>C26</f>
        <v>0.03MB</v>
      </c>
      <c r="C80" s="4">
        <f>IF(ISBLANK(D26), "-", D26)</f>
        <v>3</v>
      </c>
      <c r="D80" s="4" t="str">
        <f>IF(ISNA(E26), $C$1, TEXT(E26, "0.000"))</f>
        <v>18.281</v>
      </c>
      <c r="E80" s="4" t="str">
        <f>IF(ISNA(F26), $C$1, TEXT(F26, "0.000"))</f>
        <v>0.064</v>
      </c>
      <c r="F80" s="4" t="str">
        <f>IF(ISNA(G26), $C$1, TEXT(G26, "0.000"))</f>
        <v>0.008</v>
      </c>
      <c r="G80" s="4" t="str">
        <f>IF(ISNA(H26), $C$1, TEXT(H26, "0.000"))</f>
        <v>0.008</v>
      </c>
      <c r="H80" s="4" t="str">
        <f>IF($F80=$C$1, $D$1, IF($J26="DNF", "&gt;" &amp; TEXT($B$1/$F80,"0.00") &amp; "X", TEXT($J26, "0.00") &amp; "X" &amp; IF(M26, "", "*")))</f>
        <v>2380.08X</v>
      </c>
      <c r="I80" s="4" t="str">
        <f>IF($F80=$C$1, $D$1, IF($I26="DNF", "&gt;" &amp; TEXT($B$1/$F80,"0.00") &amp; "X", TEXT($I26, "0.00") &amp; "X" &amp; IF(L26, "", "*")))</f>
        <v>8.33X</v>
      </c>
      <c r="J80" s="4" t="str">
        <f>IF($F80=$C$1, $D$1, IF($K26="DNF", "&gt;" &amp; TEXT($B$1/$F80,"0.00") &amp; "X", TEXT($K26, "0.00") &amp; "X" &amp; IF(N26, "", "*")))</f>
        <v>1.06X*</v>
      </c>
    </row>
    <row r="81" spans="1:10" x14ac:dyDescent="0.2">
      <c r="A81" s="4"/>
      <c r="B81" s="4" t="str">
        <f>C27</f>
        <v>0.05MB</v>
      </c>
      <c r="C81" s="4">
        <f>IF(ISBLANK(D27), "-", D27)</f>
        <v>5</v>
      </c>
      <c r="D81" s="4" t="str">
        <f>IF(ISNA(E27), $C$1, TEXT(E27, "0.000"))</f>
        <v>210.906</v>
      </c>
      <c r="E81" s="4" t="str">
        <f>IF(ISNA(F27), $C$1, TEXT(F27, "0.000"))</f>
        <v>0.121</v>
      </c>
      <c r="F81" s="4" t="str">
        <f>IF(ISNA(G27), $C$1, TEXT(G27, "0.000"))</f>
        <v>0.011</v>
      </c>
      <c r="G81" s="4" t="str">
        <f>IF(ISNA(H27), $C$1, TEXT(H27, "0.000"))</f>
        <v>0.010</v>
      </c>
      <c r="H81" s="4" t="str">
        <f>IF($F81=$C$1, $D$1, IF($J27="DNF", "&gt;" &amp; TEXT($B$1/$F81,"0.00") &amp; "X", TEXT($J27, "0.00") &amp; "X" &amp; IF(M27, "", "*")))</f>
        <v>18723.85X</v>
      </c>
      <c r="I81" s="4" t="str">
        <f>IF($F81=$C$1, $D$1, IF($I27="DNF", "&gt;" &amp; TEXT($B$1/$F81,"0.00") &amp; "X", TEXT($I27, "0.00") &amp; "X" &amp; IF(L27, "", "*")))</f>
        <v>10.71X</v>
      </c>
      <c r="J81" s="4" t="str">
        <f>IF($F81=$C$1, $D$1, IF($K27="DNF", "&gt;" &amp; TEXT($B$1/$F81,"0.00") &amp; "X", TEXT($K27, "0.00") &amp; "X" &amp; IF(N27, "", "*")))</f>
        <v>0.91X*</v>
      </c>
    </row>
    <row r="82" spans="1:10" x14ac:dyDescent="0.2">
      <c r="A82" s="4" t="s">
        <v>25</v>
      </c>
      <c r="B82" s="4" t="str">
        <f>C28</f>
        <v>0.01MB</v>
      </c>
      <c r="C82" s="4">
        <f>IF(ISBLANK(D28), "-", D28)</f>
        <v>17</v>
      </c>
      <c r="D82" s="4" t="str">
        <f>IF(ISNA(E28), $C$1, TEXT(E28, "0.000"))</f>
        <v>0.002</v>
      </c>
      <c r="E82" s="4" t="str">
        <f>IF(ISNA(F28), $C$1, TEXT(F28, "0.000"))</f>
        <v>0.295</v>
      </c>
      <c r="F82" s="4" t="str">
        <f>IF(ISNA(G28), $C$1, TEXT(G28, "0.000"))</f>
        <v>0.011</v>
      </c>
      <c r="G82" s="4" t="str">
        <f>IF(ISNA(H28), $C$1, TEXT(H28, "0.000"))</f>
        <v>0.010</v>
      </c>
      <c r="H82" s="4" t="str">
        <f>IF($F82=$C$1, $D$1, IF($J28="DNF", "&gt;" &amp; TEXT($B$1/$F82,"0.00") &amp; "X", TEXT($J28, "0.00") &amp; "X" &amp; IF(M28, "", "*")))</f>
        <v>0.22X*</v>
      </c>
      <c r="I82" s="4" t="str">
        <f>IF($F82=$C$1, $D$1, IF($I28="DNF", "&gt;" &amp; TEXT($B$1/$F82,"0.00") &amp; "X", TEXT($I28, "0.00") &amp; "X" &amp; IF(L28, "", "*")))</f>
        <v>26.31X</v>
      </c>
      <c r="J82" s="4" t="str">
        <f>IF($F82=$C$1, $D$1, IF($K28="DNF", "&gt;" &amp; TEXT($B$1/$F82,"0.00") &amp; "X", TEXT($K28, "0.00") &amp; "X" &amp; IF(N28, "", "*")))</f>
        <v>0.85X*</v>
      </c>
    </row>
    <row r="83" spans="1:10" x14ac:dyDescent="0.2">
      <c r="A83" s="4"/>
      <c r="B83" s="4" t="str">
        <f>C29</f>
        <v>1MB</v>
      </c>
      <c r="C83" s="4" t="str">
        <f>IF(ISBLANK(D29), "-", D29)</f>
        <v>-</v>
      </c>
      <c r="D83" s="4" t="str">
        <f>IF(ISNA(E29), $C$1, TEXT(E29, "0.000"))</f>
        <v>TO</v>
      </c>
      <c r="E83" s="4" t="str">
        <f>IF(ISNA(F29), $C$1, TEXT(F29, "0.000"))</f>
        <v>TO</v>
      </c>
      <c r="F83" s="4" t="str">
        <f>IF(ISNA(G29), $C$1, TEXT(G29, "0.000"))</f>
        <v>182.745</v>
      </c>
      <c r="G83" s="4" t="str">
        <f>IF(ISNA(H29), $C$1, TEXT(H29, "0.000"))</f>
        <v>183.960</v>
      </c>
      <c r="H83" s="4" t="str">
        <f>IF($F83=$C$1, $D$1, IF($J29="DNF", "&gt;" &amp; TEXT($B$1/$F83,"0.00") &amp; "X", TEXT($J29, "0.00") &amp; "X" &amp; IF(M29, "", "*")))</f>
        <v>&gt;3.28X</v>
      </c>
      <c r="I83" s="4" t="str">
        <f>IF($F83=$C$1, $D$1, IF($I29="DNF", "&gt;" &amp; TEXT($B$1/$F83,"0.00") &amp; "X", TEXT($I29, "0.00") &amp; "X" &amp; IF(L29, "", "*")))</f>
        <v>&gt;3.28X</v>
      </c>
      <c r="J83" s="4" t="str">
        <f>IF($F83=$C$1, $D$1, IF($K29="DNF", "&gt;" &amp; TEXT($B$1/$F83,"0.00") &amp; "X", TEXT($K29, "0.00") &amp; "X" &amp; IF(N29, "", "*")))</f>
        <v>1.01X*</v>
      </c>
    </row>
    <row r="84" spans="1:10" x14ac:dyDescent="0.2">
      <c r="A84" s="4"/>
      <c r="B84" s="4" t="str">
        <f>C30</f>
        <v>2MB</v>
      </c>
      <c r="C84" s="4" t="str">
        <f>IF(ISBLANK(D30), "-", D30)</f>
        <v>-</v>
      </c>
      <c r="D84" s="4" t="str">
        <f>IF(ISNA(E30), $C$1, TEXT(E30, "0.000"))</f>
        <v>TO</v>
      </c>
      <c r="E84" s="4" t="str">
        <f>IF(ISNA(F30), $C$1, TEXT(F30, "0.000"))</f>
        <v>TO</v>
      </c>
      <c r="F84" s="4" t="str">
        <f>IF(ISNA(G30), $C$1, TEXT(G30, "0.000"))</f>
        <v>447.755</v>
      </c>
      <c r="G84" s="4" t="str">
        <f>IF(ISNA(H30), $C$1, TEXT(H30, "0.000"))</f>
        <v>442.862</v>
      </c>
      <c r="H84" s="4" t="str">
        <f>IF($F84=$C$1, $D$1, IF($J30="DNF", "&gt;" &amp; TEXT($B$1/$F84,"0.00") &amp; "X", TEXT($J30, "0.00") &amp; "X" &amp; IF(M30, "", "*")))</f>
        <v>&gt;1.34X</v>
      </c>
      <c r="I84" s="4" t="str">
        <f>IF($F84=$C$1, $D$1, IF($I30="DNF", "&gt;" &amp; TEXT($B$1/$F84,"0.00") &amp; "X", TEXT($I30, "0.00") &amp; "X" &amp; IF(L30, "", "*")))</f>
        <v>&gt;1.34X</v>
      </c>
      <c r="J84" s="4" t="str">
        <f>IF($F84=$C$1, $D$1, IF($K30="DNF", "&gt;" &amp; TEXT($B$1/$F84,"0.00") &amp; "X", TEXT($K30, "0.00") &amp; "X" &amp; IF(N30, "", "*")))</f>
        <v>0.99X*</v>
      </c>
    </row>
    <row r="85" spans="1:10" x14ac:dyDescent="0.2">
      <c r="A85" s="4" t="s">
        <v>27</v>
      </c>
      <c r="B85" s="4" t="str">
        <f>C31</f>
        <v>0.02MB</v>
      </c>
      <c r="C85" s="4">
        <f>IF(ISBLANK(D31), "-", D31)</f>
        <v>3</v>
      </c>
      <c r="D85" s="4" t="str">
        <f>IF(ISNA(E31), $C$1, TEXT(E31, "0.000"))</f>
        <v>0.002</v>
      </c>
      <c r="E85" s="4" t="str">
        <f>IF(ISNA(F31), $C$1, TEXT(F31, "0.000"))</f>
        <v>0.071</v>
      </c>
      <c r="F85" s="4" t="str">
        <f>IF(ISNA(G31), $C$1, TEXT(G31, "0.000"))</f>
        <v>0.018</v>
      </c>
      <c r="G85" s="4" t="str">
        <f>IF(ISNA(H31), $C$1, TEXT(H31, "0.000"))</f>
        <v>0.013</v>
      </c>
      <c r="H85" s="4" t="str">
        <f>IF($F85=$C$1, $D$1, IF($J31="DNF", "&gt;" &amp; TEXT($B$1/$F85,"0.00") &amp; "X", TEXT($J31, "0.00") &amp; "X" &amp; IF(M31, "", "*")))</f>
        <v>0.12X</v>
      </c>
      <c r="I85" s="4" t="str">
        <f>IF($F85=$C$1, $D$1, IF($I31="DNF", "&gt;" &amp; TEXT($B$1/$F85,"0.00") &amp; "X", TEXT($I31, "0.00") &amp; "X" &amp; IF(L31, "", "*")))</f>
        <v>4.06X</v>
      </c>
      <c r="J85" s="4" t="str">
        <f>IF($F85=$C$1, $D$1, IF($K31="DNF", "&gt;" &amp; TEXT($B$1/$F85,"0.00") &amp; "X", TEXT($K31, "0.00") &amp; "X" &amp; IF(N31, "", "*")))</f>
        <v>0.73X*</v>
      </c>
    </row>
    <row r="86" spans="1:10" x14ac:dyDescent="0.2">
      <c r="A86" s="4"/>
      <c r="B86" s="4" t="str">
        <f>C32</f>
        <v>0.05MB</v>
      </c>
      <c r="C86" s="4">
        <f>IF(ISBLANK(D32), "-", D32)</f>
        <v>16</v>
      </c>
      <c r="D86" s="4" t="str">
        <f>IF(ISNA(E32), $C$1, TEXT(E32, "0.000"))</f>
        <v>TO</v>
      </c>
      <c r="E86" s="4" t="str">
        <f>IF(ISNA(F32), $C$1, TEXT(F32, "0.000"))</f>
        <v>0.828</v>
      </c>
      <c r="F86" s="4" t="str">
        <f>IF(ISNA(G32), $C$1, TEXT(G32, "0.000"))</f>
        <v>0.055</v>
      </c>
      <c r="G86" s="4" t="str">
        <f>IF(ISNA(H32), $C$1, TEXT(H32, "0.000"))</f>
        <v>0.053</v>
      </c>
      <c r="H86" s="4" t="str">
        <f>IF($F86=$C$1, $D$1, IF($J32="DNF", "&gt;" &amp; TEXT($B$1/$F86,"0.00") &amp; "X", TEXT($J32, "0.00") &amp; "X" &amp; IF(M32, "", "*")))</f>
        <v>&gt;10909.09X</v>
      </c>
      <c r="I86" s="4" t="str">
        <f>IF($F86=$C$1, $D$1, IF($I32="DNF", "&gt;" &amp; TEXT($B$1/$F86,"0.00") &amp; "X", TEXT($I32, "0.00") &amp; "X" &amp; IF(L32, "", "*")))</f>
        <v>14.94X</v>
      </c>
      <c r="J86" s="4" t="str">
        <f>IF($F86=$C$1, $D$1, IF($K32="DNF", "&gt;" &amp; TEXT($B$1/$F86,"0.00") &amp; "X", TEXT($K32, "0.00") &amp; "X" &amp; IF(N32, "", "*")))</f>
        <v>0.96X*</v>
      </c>
    </row>
    <row r="87" spans="1:10" x14ac:dyDescent="0.2">
      <c r="A87" s="4"/>
      <c r="B87" s="4" t="str">
        <f>C33</f>
        <v>0.1MB</v>
      </c>
      <c r="C87" s="4" t="str">
        <f>IF(ISBLANK(D33), "-", D33)</f>
        <v>-</v>
      </c>
      <c r="D87" s="4" t="str">
        <f>IF(ISNA(E33), $C$1, TEXT(E33, "0.000"))</f>
        <v>TO</v>
      </c>
      <c r="E87" s="4" t="str">
        <f>IF(ISNA(F33), $C$1, TEXT(F33, "0.000"))</f>
        <v>TO</v>
      </c>
      <c r="F87" s="4" t="str">
        <f>IF(ISNA(G33), $C$1, TEXT(G33, "0.000"))</f>
        <v>0.478</v>
      </c>
      <c r="G87" s="4" t="str">
        <f>IF(ISNA(H33), $C$1, TEXT(H33, "0.000"))</f>
        <v>0.477</v>
      </c>
      <c r="H87" s="4" t="str">
        <f>IF($F87=$C$1, $D$1, IF($J33="DNF", "&gt;" &amp; TEXT($B$1/$F87,"0.00") &amp; "X", TEXT($J33, "0.00") &amp; "X" &amp; IF(M33, "", "*")))</f>
        <v>&gt;1255.23X</v>
      </c>
      <c r="I87" s="4" t="str">
        <f>IF($F87=$C$1, $D$1, IF($I33="DNF", "&gt;" &amp; TEXT($B$1/$F87,"0.00") &amp; "X", TEXT($I33, "0.00") &amp; "X" &amp; IF(L33, "", "*")))</f>
        <v>&gt;1255.23X</v>
      </c>
      <c r="J87" s="4" t="str">
        <f>IF($F87=$C$1, $D$1, IF($K33="DNF", "&gt;" &amp; TEXT($B$1/$F87,"0.00") &amp; "X", TEXT($K33, "0.00") &amp; "X" &amp; IF(N33, "", "*")))</f>
        <v>1.00X*</v>
      </c>
    </row>
    <row r="88" spans="1:10" x14ac:dyDescent="0.2">
      <c r="A88" s="4" t="s">
        <v>29</v>
      </c>
      <c r="B88" s="4" t="str">
        <f>C34</f>
        <v>0.01MB</v>
      </c>
      <c r="C88" s="4">
        <f>IF(ISBLANK(D34), "-", D34)</f>
        <v>2</v>
      </c>
      <c r="D88" s="4" t="str">
        <f>IF(ISNA(E34), $C$1, TEXT(E34, "0.000"))</f>
        <v>0.002</v>
      </c>
      <c r="E88" s="4" t="str">
        <f>IF(ISNA(F34), $C$1, TEXT(F34, "0.000"))</f>
        <v>0.037</v>
      </c>
      <c r="F88" s="4" t="str">
        <f>IF(ISNA(G34), $C$1, TEXT(G34, "0.000"))</f>
        <v>0.007</v>
      </c>
      <c r="G88" s="4" t="str">
        <f>IF(ISNA(H34), $C$1, TEXT(H34, "0.000"))</f>
        <v>0.006</v>
      </c>
      <c r="H88" s="4" t="str">
        <f>IF($F88=$C$1, $D$1, IF($J34="DNF", "&gt;" &amp; TEXT($B$1/$F88,"0.00") &amp; "X", TEXT($J34, "0.00") &amp; "X" &amp; IF(M34, "", "*")))</f>
        <v>0.32X*</v>
      </c>
      <c r="I88" s="4" t="str">
        <f>IF($F88=$C$1, $D$1, IF($I34="DNF", "&gt;" &amp; TEXT($B$1/$F88,"0.00") &amp; "X", TEXT($I34, "0.00") &amp; "X" &amp; IF(L34, "", "*")))</f>
        <v>5.44X</v>
      </c>
      <c r="J88" s="4" t="str">
        <f>IF($F88=$C$1, $D$1, IF($K34="DNF", "&gt;" &amp; TEXT($B$1/$F88,"0.00") &amp; "X", TEXT($K34, "0.00") &amp; "X" &amp; IF(N34, "", "*")))</f>
        <v>0.85X*</v>
      </c>
    </row>
    <row r="89" spans="1:10" x14ac:dyDescent="0.2">
      <c r="A89" s="4"/>
      <c r="B89" s="4" t="str">
        <f>C35</f>
        <v>1MB</v>
      </c>
      <c r="C89" s="4">
        <f>IF(ISBLANK(D35), "-", D35)</f>
        <v>2</v>
      </c>
      <c r="D89" s="4" t="str">
        <f>IF(ISNA(E35), $C$1, TEXT(E35, "0.000"))</f>
        <v>TO</v>
      </c>
      <c r="E89" s="4" t="str">
        <f>IF(ISNA(F35), $C$1, TEXT(F35, "0.000"))</f>
        <v>0.392</v>
      </c>
      <c r="F89" s="4" t="str">
        <f>IF(ISNA(G35), $C$1, TEXT(G35, "0.000"))</f>
        <v>0.067</v>
      </c>
      <c r="G89" s="4" t="str">
        <f>IF(ISNA(H35), $C$1, TEXT(H35, "0.000"))</f>
        <v>0.069</v>
      </c>
      <c r="H89" s="4" t="str">
        <f>IF($F89=$C$1, $D$1, IF($J35="DNF", "&gt;" &amp; TEXT($B$1/$F89,"0.00") &amp; "X", TEXT($J35, "0.00") &amp; "X" &amp; IF(M35, "", "*")))</f>
        <v>&gt;8955.22X</v>
      </c>
      <c r="I89" s="4" t="str">
        <f>IF($F89=$C$1, $D$1, IF($I35="DNF", "&gt;" &amp; TEXT($B$1/$F89,"0.00") &amp; "X", TEXT($I35, "0.00") &amp; "X" &amp; IF(L35, "", "*")))</f>
        <v>5.89X</v>
      </c>
      <c r="J89" s="4" t="str">
        <f>IF($F89=$C$1, $D$1, IF($K35="DNF", "&gt;" &amp; TEXT($B$1/$F89,"0.00") &amp; "X", TEXT($K35, "0.00") &amp; "X" &amp; IF(N35, "", "*")))</f>
        <v>1.04X*</v>
      </c>
    </row>
    <row r="90" spans="1:10" x14ac:dyDescent="0.2">
      <c r="A90" s="4"/>
      <c r="B90" s="4" t="str">
        <f>C36</f>
        <v>10MB</v>
      </c>
      <c r="C90" s="4">
        <f>IF(ISBLANK(D36), "-", D36)</f>
        <v>2</v>
      </c>
      <c r="D90" s="4" t="str">
        <f>IF(ISNA(E36), $C$1, TEXT(E36, "0.000"))</f>
        <v>TO</v>
      </c>
      <c r="E90" s="4" t="str">
        <f>IF(ISNA(F36), $C$1, TEXT(F36, "0.000"))</f>
        <v>0.717</v>
      </c>
      <c r="F90" s="4" t="str">
        <f>IF(ISNA(G36), $C$1, TEXT(G36, "0.000"))</f>
        <v>0.706</v>
      </c>
      <c r="G90" s="4" t="str">
        <f>IF(ISNA(H36), $C$1, TEXT(H36, "0.000"))</f>
        <v>0.713</v>
      </c>
      <c r="H90" s="4" t="str">
        <f>IF($F90=$C$1, $D$1, IF($J36="DNF", "&gt;" &amp; TEXT($B$1/$F90,"0.00") &amp; "X", TEXT($J36, "0.00") &amp; "X" &amp; IF(M36, "", "*")))</f>
        <v>&gt;849.86X</v>
      </c>
      <c r="I90" s="4" t="str">
        <f>IF($F90=$C$1, $D$1, IF($I36="DNF", "&gt;" &amp; TEXT($B$1/$F90,"0.00") &amp; "X", TEXT($I36, "0.00") &amp; "X" &amp; IF(L36, "", "*")))</f>
        <v>1.01X*</v>
      </c>
      <c r="J90" s="4" t="str">
        <f>IF($F90=$C$1, $D$1, IF($K36="DNF", "&gt;" &amp; TEXT($B$1/$F90,"0.00") &amp; "X", TEXT($K36, "0.00") &amp; "X" &amp; IF(N36, "", "*")))</f>
        <v>1.01X*</v>
      </c>
    </row>
    <row r="91" spans="1:10" x14ac:dyDescent="0.2">
      <c r="A91" s="4" t="s">
        <v>31</v>
      </c>
      <c r="B91" s="4" t="str">
        <f>C37</f>
        <v>0.01MB</v>
      </c>
      <c r="C91" s="4">
        <f>IF(ISBLANK(D37), "-", D37)</f>
        <v>5</v>
      </c>
      <c r="D91" s="4" t="str">
        <f>IF(ISNA(E37), $C$1, TEXT(E37, "0.000"))</f>
        <v>0.003</v>
      </c>
      <c r="E91" s="4" t="str">
        <f>IF(ISNA(F37), $C$1, TEXT(F37, "0.000"))</f>
        <v>0.074</v>
      </c>
      <c r="F91" s="4" t="str">
        <f>IF(ISNA(G37), $C$1, TEXT(G37, "0.000"))</f>
        <v>0.009</v>
      </c>
      <c r="G91" s="4" t="str">
        <f>IF(ISNA(H37), $C$1, TEXT(H37, "0.000"))</f>
        <v>0.006</v>
      </c>
      <c r="H91" s="4" t="str">
        <f>IF($F91=$C$1, $D$1, IF($J37="DNF", "&gt;" &amp; TEXT($B$1/$F91,"0.00") &amp; "X", TEXT($J37, "0.00") &amp; "X" &amp; IF(M37, "", "*")))</f>
        <v>0.39X*</v>
      </c>
      <c r="I91" s="4" t="str">
        <f>IF($F91=$C$1, $D$1, IF($I37="DNF", "&gt;" &amp; TEXT($B$1/$F91,"0.00") &amp; "X", TEXT($I37, "0.00") &amp; "X" &amp; IF(L37, "", "*")))</f>
        <v>8.34X</v>
      </c>
      <c r="J91" s="4" t="str">
        <f>IF($F91=$C$1, $D$1, IF($K37="DNF", "&gt;" &amp; TEXT($B$1/$F91,"0.00") &amp; "X", TEXT($K37, "0.00") &amp; "X" &amp; IF(N37, "", "*")))</f>
        <v>0.67X*</v>
      </c>
    </row>
    <row r="92" spans="1:10" x14ac:dyDescent="0.2">
      <c r="A92" s="4"/>
      <c r="B92" s="4" t="str">
        <f>C38</f>
        <v>2MB</v>
      </c>
      <c r="C92" s="4">
        <f>IF(ISBLANK(D38), "-", D38)</f>
        <v>5</v>
      </c>
      <c r="D92" s="4" t="str">
        <f>IF(ISNA(E38), $C$1, TEXT(E38, "0.000"))</f>
        <v>TO</v>
      </c>
      <c r="E92" s="4" t="str">
        <f>IF(ISNA(F38), $C$1, TEXT(F38, "0.000"))</f>
        <v>0.650</v>
      </c>
      <c r="F92" s="4" t="str">
        <f>IF(ISNA(G38), $C$1, TEXT(G38, "0.000"))</f>
        <v>0.091</v>
      </c>
      <c r="G92" s="4" t="str">
        <f>IF(ISNA(H38), $C$1, TEXT(H38, "0.000"))</f>
        <v>0.087</v>
      </c>
      <c r="H92" s="4" t="str">
        <f>IF($F92=$C$1, $D$1, IF($J38="DNF", "&gt;" &amp; TEXT($B$1/$F92,"0.00") &amp; "X", TEXT($J38, "0.00") &amp; "X" &amp; IF(M38, "", "*")))</f>
        <v>&gt;6593.41X</v>
      </c>
      <c r="I92" s="4" t="str">
        <f>IF($F92=$C$1, $D$1, IF($I38="DNF", "&gt;" &amp; TEXT($B$1/$F92,"0.00") &amp; "X", TEXT($I38, "0.00") &amp; "X" &amp; IF(L38, "", "*")))</f>
        <v>7.17X</v>
      </c>
      <c r="J92" s="4" t="str">
        <f>IF($F92=$C$1, $D$1, IF($K38="DNF", "&gt;" &amp; TEXT($B$1/$F92,"0.00") &amp; "X", TEXT($K38, "0.00") &amp; "X" &amp; IF(N38, "", "*")))</f>
        <v>0.96X*</v>
      </c>
    </row>
    <row r="93" spans="1:10" x14ac:dyDescent="0.2">
      <c r="A93" s="4"/>
      <c r="B93" s="4" t="str">
        <f>C39</f>
        <v>20MB</v>
      </c>
      <c r="C93" s="4">
        <f>IF(ISBLANK(D39), "-", D39)</f>
        <v>7</v>
      </c>
      <c r="D93" s="4" t="str">
        <f>IF(ISNA(E39), $C$1, TEXT(E39, "0.000"))</f>
        <v>TO</v>
      </c>
      <c r="E93" s="4" t="str">
        <f>IF(ISNA(F39), $C$1, TEXT(F39, "0.000"))</f>
        <v>3.369</v>
      </c>
      <c r="F93" s="4" t="str">
        <f>IF(ISNA(G39), $C$1, TEXT(G39, "0.000"))</f>
        <v>0.873</v>
      </c>
      <c r="G93" s="4" t="str">
        <f>IF(ISNA(H39), $C$1, TEXT(H39, "0.000"))</f>
        <v>0.866</v>
      </c>
      <c r="H93" s="4" t="str">
        <f>IF($F93=$C$1, $D$1, IF($J39="DNF", "&gt;" &amp; TEXT($B$1/$F93,"0.00") &amp; "X", TEXT($J39, "0.00") &amp; "X" &amp; IF(M39, "", "*")))</f>
        <v>&gt;687.29X</v>
      </c>
      <c r="I93" s="4" t="str">
        <f>IF($F93=$C$1, $D$1, IF($I39="DNF", "&gt;" &amp; TEXT($B$1/$F93,"0.00") &amp; "X", TEXT($I39, "0.00") &amp; "X" &amp; IF(L39, "", "*")))</f>
        <v>3.86X</v>
      </c>
      <c r="J93" s="4" t="str">
        <f>IF($F93=$C$1, $D$1, IF($K39="DNF", "&gt;" &amp; TEXT($B$1/$F93,"0.00") &amp; "X", TEXT($K39, "0.00") &amp; "X" &amp; IF(N39, "", "*")))</f>
        <v>0.99X*</v>
      </c>
    </row>
    <row r="94" spans="1:10" x14ac:dyDescent="0.2">
      <c r="A94" s="4" t="s">
        <v>33</v>
      </c>
      <c r="B94" s="4" t="str">
        <f>C40</f>
        <v>0.02MB</v>
      </c>
      <c r="C94" s="4">
        <f>IF(ISBLANK(D40), "-", D40)</f>
        <v>3</v>
      </c>
      <c r="D94" s="4" t="str">
        <f>IF(ISNA(E40), $C$1, TEXT(E40, "0.000"))</f>
        <v>0.002</v>
      </c>
      <c r="E94" s="4" t="str">
        <f>IF(ISNA(F40), $C$1, TEXT(F40, "0.000"))</f>
        <v>0.079</v>
      </c>
      <c r="F94" s="4" t="str">
        <f>IF(ISNA(G40), $C$1, TEXT(G40, "0.000"))</f>
        <v>0.014</v>
      </c>
      <c r="G94" s="4" t="str">
        <f>IF(ISNA(H40), $C$1, TEXT(H40, "0.000"))</f>
        <v>0.014</v>
      </c>
      <c r="H94" s="4" t="str">
        <f>IF($F94=$C$1, $D$1, IF($J40="DNF", "&gt;" &amp; TEXT($B$1/$F94,"0.00") &amp; "X", TEXT($J40, "0.00") &amp; "X" &amp; IF(M40, "", "*")))</f>
        <v>0.15X</v>
      </c>
      <c r="I94" s="4" t="str">
        <f>IF($F94=$C$1, $D$1, IF($I40="DNF", "&gt;" &amp; TEXT($B$1/$F94,"0.00") &amp; "X", TEXT($I40, "0.00") &amp; "X" &amp; IF(L40, "", "*")))</f>
        <v>5.59X</v>
      </c>
      <c r="J94" s="4" t="str">
        <f>IF($F94=$C$1, $D$1, IF($K40="DNF", "&gt;" &amp; TEXT($B$1/$F94,"0.00") &amp; "X", TEXT($K40, "0.00") &amp; "X" &amp; IF(N40, "", "*")))</f>
        <v>1.02X*</v>
      </c>
    </row>
    <row r="95" spans="1:10" x14ac:dyDescent="0.2">
      <c r="A95" s="4"/>
      <c r="B95" s="4" t="str">
        <f>C41</f>
        <v>0.05MB</v>
      </c>
      <c r="C95" s="4">
        <f>IF(ISBLANK(D41), "-", D41)</f>
        <v>16</v>
      </c>
      <c r="D95" s="4" t="str">
        <f>IF(ISNA(E41), $C$1, TEXT(E41, "0.000"))</f>
        <v>TO</v>
      </c>
      <c r="E95" s="4" t="str">
        <f>IF(ISNA(F41), $C$1, TEXT(F41, "0.000"))</f>
        <v>0.860</v>
      </c>
      <c r="F95" s="4" t="str">
        <f>IF(ISNA(G41), $C$1, TEXT(G41, "0.000"))</f>
        <v>0.054</v>
      </c>
      <c r="G95" s="4" t="str">
        <f>IF(ISNA(H41), $C$1, TEXT(H41, "0.000"))</f>
        <v>0.052</v>
      </c>
      <c r="H95" s="4" t="str">
        <f>IF($F95=$C$1, $D$1, IF($J41="DNF", "&gt;" &amp; TEXT($B$1/$F95,"0.00") &amp; "X", TEXT($J41, "0.00") &amp; "X" &amp; IF(M41, "", "*")))</f>
        <v>&gt;11111.11X</v>
      </c>
      <c r="I95" s="4" t="str">
        <f>IF($F95=$C$1, $D$1, IF($I41="DNF", "&gt;" &amp; TEXT($B$1/$F95,"0.00") &amp; "X", TEXT($I41, "0.00") &amp; "X" &amp; IF(L41, "", "*")))</f>
        <v>16.02X</v>
      </c>
      <c r="J95" s="4" t="str">
        <f>IF($F95=$C$1, $D$1, IF($K41="DNF", "&gt;" &amp; TEXT($B$1/$F95,"0.00") &amp; "X", TEXT($K41, "0.00") &amp; "X" &amp; IF(N41, "", "*")))</f>
        <v>0.97X*</v>
      </c>
    </row>
    <row r="96" spans="1:10" x14ac:dyDescent="0.2">
      <c r="A96" s="4"/>
      <c r="B96" s="4" t="str">
        <f>C42</f>
        <v>0.1MB</v>
      </c>
      <c r="C96" s="4" t="str">
        <f>IF(ISBLANK(D42), "-", D42)</f>
        <v>-</v>
      </c>
      <c r="D96" s="4" t="str">
        <f>IF(ISNA(E42), $C$1, TEXT(E42, "0.000"))</f>
        <v>TO</v>
      </c>
      <c r="E96" s="4" t="str">
        <f>IF(ISNA(F42), $C$1, TEXT(F42, "0.000"))</f>
        <v>TO</v>
      </c>
      <c r="F96" s="4" t="str">
        <f>IF(ISNA(G42), $C$1, TEXT(G42, "0.000"))</f>
        <v>2.188</v>
      </c>
      <c r="G96" s="4" t="str">
        <f>IF(ISNA(H42), $C$1, TEXT(H42, "0.000"))</f>
        <v>2.112</v>
      </c>
      <c r="H96" s="4" t="str">
        <f>IF($F96=$C$1, $D$1, IF($J42="DNF", "&gt;" &amp; TEXT($B$1/$F96,"0.00") &amp; "X", TEXT($J42, "0.00") &amp; "X" &amp; IF(M42, "", "*")))</f>
        <v>&gt;274.22X</v>
      </c>
      <c r="I96" s="4" t="str">
        <f>IF($F96=$C$1, $D$1, IF($I42="DNF", "&gt;" &amp; TEXT($B$1/$F96,"0.00") &amp; "X", TEXT($I42, "0.00") &amp; "X" &amp; IF(L42, "", "*")))</f>
        <v>&gt;274.22X</v>
      </c>
      <c r="J96" s="4" t="str">
        <f>IF($F96=$C$1, $D$1, IF($K42="DNF", "&gt;" &amp; TEXT($B$1/$F96,"0.00") &amp; "X", TEXT($K42, "0.00") &amp; "X" &amp; IF(N42, "", "*")))</f>
        <v>0.97X*</v>
      </c>
    </row>
    <row r="97" spans="1:10" x14ac:dyDescent="0.2">
      <c r="A97" s="4" t="s">
        <v>35</v>
      </c>
      <c r="B97" s="4" t="str">
        <f>C43</f>
        <v>0.01MB</v>
      </c>
      <c r="C97" s="4">
        <f>IF(ISBLANK(D43), "-", D43)</f>
        <v>5</v>
      </c>
      <c r="D97" s="4" t="str">
        <f>IF(ISNA(E43), $C$1, TEXT(E43, "0.000"))</f>
        <v>0.002</v>
      </c>
      <c r="E97" s="4" t="str">
        <f>IF(ISNA(F43), $C$1, TEXT(F43, "0.000"))</f>
        <v>0.064</v>
      </c>
      <c r="F97" s="4" t="str">
        <f>IF(ISNA(G43), $C$1, TEXT(G43, "0.000"))</f>
        <v>0.012</v>
      </c>
      <c r="G97" s="4" t="str">
        <f>IF(ISNA(H43), $C$1, TEXT(H43, "0.000"))</f>
        <v>0.008</v>
      </c>
      <c r="H97" s="4" t="str">
        <f>IF($F97=$C$1, $D$1, IF($J43="DNF", "&gt;" &amp; TEXT($B$1/$F97,"0.00") &amp; "X", TEXT($J43, "0.00") &amp; "X" &amp; IF(M43, "", "*")))</f>
        <v>0.19X</v>
      </c>
      <c r="I97" s="4" t="str">
        <f>IF($F97=$C$1, $D$1, IF($I43="DNF", "&gt;" &amp; TEXT($B$1/$F97,"0.00") &amp; "X", TEXT($I43, "0.00") &amp; "X" &amp; IF(L43, "", "*")))</f>
        <v>5.34X</v>
      </c>
      <c r="J97" s="4" t="str">
        <f>IF($F97=$C$1, $D$1, IF($K43="DNF", "&gt;" &amp; TEXT($B$1/$F97,"0.00") &amp; "X", TEXT($K43, "0.00") &amp; "X" &amp; IF(N43, "", "*")))</f>
        <v>0.71X*</v>
      </c>
    </row>
    <row r="98" spans="1:10" x14ac:dyDescent="0.2">
      <c r="A98" s="4"/>
      <c r="B98" s="4" t="str">
        <f>C44</f>
        <v>10MB</v>
      </c>
      <c r="C98" s="4">
        <f>IF(ISBLANK(D44), "-", D44)</f>
        <v>9</v>
      </c>
      <c r="D98" s="4" t="str">
        <f>IF(ISNA(E44), $C$1, TEXT(E44, "0.000"))</f>
        <v>0.513</v>
      </c>
      <c r="E98" s="4" t="str">
        <f>IF(ISNA(F44), $C$1, TEXT(F44, "0.000"))</f>
        <v>0.161</v>
      </c>
      <c r="F98" s="4" t="str">
        <f>IF(ISNA(G44), $C$1, TEXT(G44, "0.000"))</f>
        <v>0.029</v>
      </c>
      <c r="G98" s="4" t="str">
        <f>IF(ISNA(H44), $C$1, TEXT(H44, "0.000"))</f>
        <v>0.027</v>
      </c>
      <c r="H98" s="4" t="str">
        <f>IF($F98=$C$1, $D$1, IF($J44="DNF", "&gt;" &amp; TEXT($B$1/$F98,"0.00") &amp; "X", TEXT($J44, "0.00") &amp; "X" &amp; IF(M44, "", "*")))</f>
        <v>17.44X</v>
      </c>
      <c r="I98" s="4" t="str">
        <f>IF($F98=$C$1, $D$1, IF($I44="DNF", "&gt;" &amp; TEXT($B$1/$F98,"0.00") &amp; "X", TEXT($I44, "0.00") &amp; "X" &amp; IF(L44, "", "*")))</f>
        <v>5.49X</v>
      </c>
      <c r="J98" s="4" t="str">
        <f>IF($F98=$C$1, $D$1, IF($K44="DNF", "&gt;" &amp; TEXT($B$1/$F98,"0.00") &amp; "X", TEXT($K44, "0.00") &amp; "X" &amp; IF(N44, "", "*")))</f>
        <v>0.93X*</v>
      </c>
    </row>
    <row r="99" spans="1:10" x14ac:dyDescent="0.2">
      <c r="A99" s="4"/>
      <c r="B99" s="4" t="str">
        <f>C45</f>
        <v>25MB</v>
      </c>
      <c r="C99" s="4">
        <f>IF(ISBLANK(D45), "-", D45)</f>
        <v>42</v>
      </c>
      <c r="D99" s="4" t="str">
        <f>IF(ISNA(E45), $C$1, TEXT(E45, "0.000"))</f>
        <v>160.057</v>
      </c>
      <c r="E99" s="4" t="str">
        <f>IF(ISNA(F45), $C$1, TEXT(F45, "0.000"))</f>
        <v>1.773</v>
      </c>
      <c r="F99" s="4" t="str">
        <f>IF(ISNA(G45), $C$1, TEXT(G45, "0.000"))</f>
        <v>0.173</v>
      </c>
      <c r="G99" s="4" t="str">
        <f>IF(ISNA(H45), $C$1, TEXT(H45, "0.000"))</f>
        <v>0.172</v>
      </c>
      <c r="H99" s="4" t="str">
        <f>IF($F99=$C$1, $D$1, IF($J45="DNF", "&gt;" &amp; TEXT($B$1/$F99,"0.00") &amp; "X", TEXT($J45, "0.00") &amp; "X" &amp; IF(M45, "", "*")))</f>
        <v>924.99X</v>
      </c>
      <c r="I99" s="4" t="str">
        <f>IF($F99=$C$1, $D$1, IF($I45="DNF", "&gt;" &amp; TEXT($B$1/$F99,"0.00") &amp; "X", TEXT($I45, "0.00") &amp; "X" &amp; IF(L45, "", "*")))</f>
        <v>10.25X</v>
      </c>
      <c r="J99" s="4" t="str">
        <f>IF($F99=$C$1, $D$1, IF($K45="DNF", "&gt;" &amp; TEXT($B$1/$F99,"0.00") &amp; "X", TEXT($K45, "0.00") &amp; "X" &amp; IF(N45, "", "*")))</f>
        <v>0.99X*</v>
      </c>
    </row>
    <row r="100" spans="1:10" x14ac:dyDescent="0.2">
      <c r="A100" s="4" t="s">
        <v>37</v>
      </c>
      <c r="B100" s="4" t="str">
        <f>C46</f>
        <v>0.01MB</v>
      </c>
      <c r="C100" s="4">
        <f>IF(ISBLANK(D46), "-", D46)</f>
        <v>2</v>
      </c>
      <c r="D100" s="4" t="str">
        <f>IF(ISNA(E46), $C$1, TEXT(E46, "0.000"))</f>
        <v>0.001</v>
      </c>
      <c r="E100" s="4" t="str">
        <f>IF(ISNA(F46), $C$1, TEXT(F46, "0.000"))</f>
        <v>0.030</v>
      </c>
      <c r="F100" s="4" t="str">
        <f>IF(ISNA(G46), $C$1, TEXT(G46, "0.000"))</f>
        <v>0.009</v>
      </c>
      <c r="G100" s="4" t="str">
        <f>IF(ISNA(H46), $C$1, TEXT(H46, "0.000"))</f>
        <v>0.004</v>
      </c>
      <c r="H100" s="4" t="str">
        <f>IF($F100=$C$1, $D$1, IF($J46="DNF", "&gt;" &amp; TEXT($B$1/$F100,"0.00") &amp; "X", TEXT($J46, "0.00") &amp; "X" &amp; IF(M46, "", "*")))</f>
        <v>0.10X</v>
      </c>
      <c r="I100" s="4" t="str">
        <f>IF($F100=$C$1, $D$1, IF($I46="DNF", "&gt;" &amp; TEXT($B$1/$F100,"0.00") &amp; "X", TEXT($I46, "0.00") &amp; "X" &amp; IF(L46, "", "*")))</f>
        <v>3.36X*</v>
      </c>
      <c r="J100" s="4" t="str">
        <f>IF($F100=$C$1, $D$1, IF($K46="DNF", "&gt;" &amp; TEXT($B$1/$F100,"0.00") &amp; "X", TEXT($K46, "0.00") &amp; "X" &amp; IF(N46, "", "*")))</f>
        <v>0.47X*</v>
      </c>
    </row>
    <row r="101" spans="1:10" x14ac:dyDescent="0.2">
      <c r="A101" s="4"/>
      <c r="B101" s="4" t="str">
        <f>C47</f>
        <v>5MB</v>
      </c>
      <c r="C101" s="4">
        <f>IF(ISBLANK(D47), "-", D47)</f>
        <v>5</v>
      </c>
      <c r="D101" s="4" t="str">
        <f>IF(ISNA(E47), $C$1, TEXT(E47, "0.000"))</f>
        <v>0.365</v>
      </c>
      <c r="E101" s="4" t="str">
        <f>IF(ISNA(F47), $C$1, TEXT(F47, "0.000"))</f>
        <v>0.076</v>
      </c>
      <c r="F101" s="4" t="str">
        <f>IF(ISNA(G47), $C$1, TEXT(G47, "0.000"))</f>
        <v>0.021</v>
      </c>
      <c r="G101" s="4" t="str">
        <f>IF(ISNA(H47), $C$1, TEXT(H47, "0.000"))</f>
        <v>0.019</v>
      </c>
      <c r="H101" s="4" t="str">
        <f>IF($F101=$C$1, $D$1, IF($J47="DNF", "&gt;" &amp; TEXT($B$1/$F101,"0.00") &amp; "X", TEXT($J47, "0.00") &amp; "X" &amp; IF(M47, "", "*")))</f>
        <v>17.01X</v>
      </c>
      <c r="I101" s="4" t="str">
        <f>IF($F101=$C$1, $D$1, IF($I47="DNF", "&gt;" &amp; TEXT($B$1/$F101,"0.00") &amp; "X", TEXT($I47, "0.00") &amp; "X" &amp; IF(L47, "", "*")))</f>
        <v>3.55X</v>
      </c>
      <c r="J101" s="4" t="str">
        <f>IF($F101=$C$1, $D$1, IF($K47="DNF", "&gt;" &amp; TEXT($B$1/$F101,"0.00") &amp; "X", TEXT($K47, "0.00") &amp; "X" &amp; IF(N47, "", "*")))</f>
        <v>0.86X*</v>
      </c>
    </row>
    <row r="102" spans="1:10" x14ac:dyDescent="0.2">
      <c r="A102" s="4"/>
      <c r="B102" s="4" t="str">
        <f>C48</f>
        <v>10MB</v>
      </c>
      <c r="C102" s="4">
        <f>IF(ISBLANK(D48), "-", D48)</f>
        <v>10</v>
      </c>
      <c r="D102" s="4" t="str">
        <f>IF(ISNA(E48), $C$1, TEXT(E48, "0.000"))</f>
        <v>6.182</v>
      </c>
      <c r="E102" s="4" t="str">
        <f>IF(ISNA(F48), $C$1, TEXT(F48, "0.000"))</f>
        <v>0.243</v>
      </c>
      <c r="F102" s="4" t="str">
        <f>IF(ISNA(G48), $C$1, TEXT(G48, "0.000"))</f>
        <v>0.069</v>
      </c>
      <c r="G102" s="4" t="str">
        <f>IF(ISNA(H48), $C$1, TEXT(H48, "0.000"))</f>
        <v>0.065</v>
      </c>
      <c r="H102" s="4" t="str">
        <f>IF($F102=$C$1, $D$1, IF($J48="DNF", "&gt;" &amp; TEXT($B$1/$F102,"0.00") &amp; "X", TEXT($J48, "0.00") &amp; "X" &amp; IF(M48, "", "*")))</f>
        <v>89.98X</v>
      </c>
      <c r="I102" s="4" t="str">
        <f>IF($F102=$C$1, $D$1, IF($I48="DNF", "&gt;" &amp; TEXT($B$1/$F102,"0.00") &amp; "X", TEXT($I48, "0.00") &amp; "X" &amp; IF(L48, "", "*")))</f>
        <v>3.54X</v>
      </c>
      <c r="J102" s="4" t="str">
        <f>IF($F102=$C$1, $D$1, IF($K48="DNF", "&gt;" &amp; TEXT($B$1/$F102,"0.00") &amp; "X", TEXT($K48, "0.00") &amp; "X" &amp; IF(N48, "", "*")))</f>
        <v>0.95X*</v>
      </c>
    </row>
    <row r="103" spans="1:10" x14ac:dyDescent="0.2">
      <c r="A103" s="4" t="s">
        <v>39</v>
      </c>
      <c r="B103" s="4" t="str">
        <f>C49</f>
        <v>0.01MB</v>
      </c>
      <c r="C103" s="4">
        <f>IF(ISBLANK(D49), "-", D49)</f>
        <v>7</v>
      </c>
      <c r="D103" s="4" t="str">
        <f>IF(ISNA(E49), $C$1, TEXT(E49, "0.000"))</f>
        <v>0.002</v>
      </c>
      <c r="E103" s="4" t="str">
        <f>IF(ISNA(F49), $C$1, TEXT(F49, "0.000"))</f>
        <v>0.146</v>
      </c>
      <c r="F103" s="4" t="str">
        <f>IF(ISNA(G49), $C$1, TEXT(G49, "0.000"))</f>
        <v>0.012</v>
      </c>
      <c r="G103" s="4" t="str">
        <f>IF(ISNA(H49), $C$1, TEXT(H49, "0.000"))</f>
        <v>0.008</v>
      </c>
      <c r="H103" s="4" t="str">
        <f>IF($F103=$C$1, $D$1, IF($J49="DNF", "&gt;" &amp; TEXT($B$1/$F103,"0.00") &amp; "X", TEXT($J49, "0.00") &amp; "X" &amp; IF(M49, "", "*")))</f>
        <v>0.18X</v>
      </c>
      <c r="I103" s="4" t="str">
        <f>IF($F103=$C$1, $D$1, IF($I49="DNF", "&gt;" &amp; TEXT($B$1/$F103,"0.00") &amp; "X", TEXT($I49, "0.00") &amp; "X" &amp; IF(L49, "", "*")))</f>
        <v>11.82X</v>
      </c>
      <c r="J103" s="4" t="str">
        <f>IF($F103=$C$1, $D$1, IF($K49="DNF", "&gt;" &amp; TEXT($B$1/$F103,"0.00") &amp; "X", TEXT($K49, "0.00") &amp; "X" &amp; IF(N49, "", "*")))</f>
        <v>0.62X*</v>
      </c>
    </row>
    <row r="104" spans="1:10" x14ac:dyDescent="0.2">
      <c r="A104" s="4"/>
      <c r="B104" s="4" t="str">
        <f>C50</f>
        <v>1MB</v>
      </c>
      <c r="C104" s="4">
        <f>IF(ISBLANK(D50), "-", D50)</f>
        <v>7</v>
      </c>
      <c r="D104" s="4" t="str">
        <f>IF(ISNA(E50), $C$1, TEXT(E50, "0.000"))</f>
        <v>TO</v>
      </c>
      <c r="E104" s="4" t="str">
        <f>IF(ISNA(F50), $C$1, TEXT(F50, "0.000"))</f>
        <v>2.644</v>
      </c>
      <c r="F104" s="4" t="str">
        <f>IF(ISNA(G50), $C$1, TEXT(G50, "0.000"))</f>
        <v>0.129</v>
      </c>
      <c r="G104" s="4" t="str">
        <f>IF(ISNA(H50), $C$1, TEXT(H50, "0.000"))</f>
        <v>0.131</v>
      </c>
      <c r="H104" s="4" t="str">
        <f>IF($F104=$C$1, $D$1, IF($J50="DNF", "&gt;" &amp; TEXT($B$1/$F104,"0.00") &amp; "X", TEXT($J50, "0.00") &amp; "X" &amp; IF(M50, "", "*")))</f>
        <v>&gt;4651.16X</v>
      </c>
      <c r="I104" s="4" t="str">
        <f>IF($F104=$C$1, $D$1, IF($I50="DNF", "&gt;" &amp; TEXT($B$1/$F104,"0.00") &amp; "X", TEXT($I50, "0.00") &amp; "X" &amp; IF(L50, "", "*")))</f>
        <v>20.51X</v>
      </c>
      <c r="J104" s="4" t="str">
        <f>IF($F104=$C$1, $D$1, IF($K50="DNF", "&gt;" &amp; TEXT($B$1/$F104,"0.00") &amp; "X", TEXT($K50, "0.00") &amp; "X" &amp; IF(N50, "", "*")))</f>
        <v>1.02X*</v>
      </c>
    </row>
    <row r="105" spans="1:10" x14ac:dyDescent="0.2">
      <c r="A105" s="4"/>
      <c r="B105" s="4" t="str">
        <f>C51</f>
        <v>15MB</v>
      </c>
      <c r="C105" s="4" t="str">
        <f>IF(ISBLANK(D51), "-", D51)</f>
        <v>-</v>
      </c>
      <c r="D105" s="4" t="str">
        <f>IF(ISNA(E51), $C$1, TEXT(E51, "0.000"))</f>
        <v>TO</v>
      </c>
      <c r="E105" s="4" t="str">
        <f>IF(ISNA(F51), $C$1, TEXT(F51, "0.000"))</f>
        <v>9.303</v>
      </c>
      <c r="F105" s="4" t="str">
        <f>IF(ISNA(G51), $C$1, TEXT(G51, "0.000"))</f>
        <v>1.344</v>
      </c>
      <c r="G105" s="4" t="str">
        <f>IF(ISNA(H51), $C$1, TEXT(H51, "0.000"))</f>
        <v>1.351</v>
      </c>
      <c r="H105" s="4" t="str">
        <f>IF($F105=$C$1, $D$1, IF($J51="DNF", "&gt;" &amp; TEXT($B$1/$F105,"0.00") &amp; "X", TEXT($J51, "0.00") &amp; "X" &amp; IF(M51, "", "*")))</f>
        <v>&gt;446.43X</v>
      </c>
      <c r="I105" s="4" t="str">
        <f>IF($F105=$C$1, $D$1, IF($I51="DNF", "&gt;" &amp; TEXT($B$1/$F105,"0.00") &amp; "X", TEXT($I51, "0.00") &amp; "X" &amp; IF(L51, "", "*")))</f>
        <v>6.92X</v>
      </c>
      <c r="J105" s="4" t="str">
        <f>IF($F105=$C$1, $D$1, IF($K51="DNF", "&gt;" &amp; TEXT($B$1/$F105,"0.00") &amp; "X", TEXT($K51, "0.00") &amp; "X" &amp; IF(N51, "", "*")))</f>
        <v>1.00X*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C913-1F83-7E44-989F-64ED19CD97FE}">
  <dimension ref="A1:AC110"/>
  <sheetViews>
    <sheetView topLeftCell="A32" workbookViewId="0">
      <selection activeCell="I116" sqref="I116"/>
    </sheetView>
  </sheetViews>
  <sheetFormatPr baseColWidth="10" defaultRowHeight="16" x14ac:dyDescent="0.2"/>
  <cols>
    <col min="1" max="1" width="11" bestFit="1" customWidth="1"/>
    <col min="2" max="2" width="9.33203125" bestFit="1" customWidth="1"/>
    <col min="3" max="3" width="9" bestFit="1" customWidth="1"/>
    <col min="4" max="4" width="10.5" bestFit="1" customWidth="1"/>
    <col min="5" max="5" width="16.83203125" bestFit="1" customWidth="1"/>
    <col min="6" max="6" width="12.83203125" bestFit="1" customWidth="1"/>
    <col min="7" max="7" width="11.1640625" bestFit="1" customWidth="1"/>
    <col min="8" max="8" width="18" bestFit="1" customWidth="1"/>
    <col min="9" max="9" width="28.33203125" bestFit="1" customWidth="1"/>
    <col min="10" max="10" width="22" bestFit="1" customWidth="1"/>
    <col min="11" max="11" width="55.33203125" bestFit="1" customWidth="1"/>
    <col min="12" max="12" width="21.1640625" bestFit="1" customWidth="1"/>
    <col min="13" max="13" width="14.83203125" bestFit="1" customWidth="1"/>
    <col min="14" max="14" width="9.33203125" bestFit="1" customWidth="1"/>
    <col min="16" max="16" width="7.6640625" bestFit="1" customWidth="1"/>
    <col min="17" max="17" width="12" bestFit="1" customWidth="1"/>
    <col min="18" max="21" width="11.1640625" bestFit="1" customWidth="1"/>
    <col min="22" max="22" width="28.33203125" bestFit="1" customWidth="1"/>
    <col min="23" max="23" width="22" bestFit="1" customWidth="1"/>
    <col min="24" max="24" width="16.33203125" bestFit="1" customWidth="1"/>
    <col min="25" max="25" width="9" bestFit="1" customWidth="1"/>
    <col min="27" max="27" width="28.33203125" bestFit="1" customWidth="1"/>
    <col min="28" max="28" width="22" bestFit="1" customWidth="1"/>
    <col min="29" max="29" width="16.33203125" bestFit="1" customWidth="1"/>
  </cols>
  <sheetData>
    <row r="1" spans="1:29" x14ac:dyDescent="0.2">
      <c r="A1" t="s">
        <v>65</v>
      </c>
      <c r="B1">
        <v>600</v>
      </c>
      <c r="C1" t="s">
        <v>66</v>
      </c>
      <c r="D1" t="s">
        <v>67</v>
      </c>
      <c r="Q1" t="s">
        <v>51</v>
      </c>
      <c r="R1" t="s">
        <v>2</v>
      </c>
      <c r="S1" t="s">
        <v>3</v>
      </c>
      <c r="T1" t="s">
        <v>4</v>
      </c>
      <c r="U1" t="s">
        <v>5</v>
      </c>
      <c r="V1" t="s">
        <v>52</v>
      </c>
      <c r="W1" t="s">
        <v>53</v>
      </c>
      <c r="X1" t="s">
        <v>55</v>
      </c>
      <c r="Y1" t="s">
        <v>68</v>
      </c>
      <c r="AA1" t="s">
        <v>52</v>
      </c>
      <c r="AB1" t="s">
        <v>53</v>
      </c>
      <c r="AC1" t="s">
        <v>55</v>
      </c>
    </row>
    <row r="3" spans="1:29" x14ac:dyDescent="0.2">
      <c r="B3" t="s">
        <v>1</v>
      </c>
      <c r="C3" t="s">
        <v>69</v>
      </c>
      <c r="D3" t="s">
        <v>68</v>
      </c>
      <c r="E3" t="s">
        <v>4</v>
      </c>
      <c r="F3" t="s">
        <v>3</v>
      </c>
      <c r="G3" t="s">
        <v>2</v>
      </c>
      <c r="H3" t="s">
        <v>5</v>
      </c>
      <c r="I3" t="s">
        <v>52</v>
      </c>
      <c r="J3" t="s">
        <v>53</v>
      </c>
      <c r="K3" t="s">
        <v>55</v>
      </c>
      <c r="L3" t="s">
        <v>70</v>
      </c>
      <c r="M3" t="s">
        <v>71</v>
      </c>
      <c r="N3" t="s">
        <v>101</v>
      </c>
      <c r="P3" t="s">
        <v>9</v>
      </c>
    </row>
    <row r="4" spans="1:29" x14ac:dyDescent="0.2">
      <c r="A4" t="s">
        <v>73</v>
      </c>
      <c r="B4" t="s">
        <v>8</v>
      </c>
      <c r="C4" t="s">
        <v>74</v>
      </c>
      <c r="D4" cm="1">
        <f t="array" ref="D4">IF(ISBLANK(INDEX($P$2:$Y$60, MATCH(1, ($P$2:$P$60=$A4) * ($Q$2:$Q$60=$B4), 0), MATCH(D$3, $P$1:$Y$1, 0))), "", INDEX($P$2:$Y$60, MATCH(1, ($P$2:$P$60=$A4) * ($Q$2:$Q$60=$B4), 0), MATCH(D$3, $P$1:$Y$1, 0)))</f>
        <v>3</v>
      </c>
      <c r="E4" cm="1">
        <f t="array" ref="E4">INDEX($P$2:$X$60, MATCH(1, ($P$2:$P$60=$A4) * ($Q$2:$Q$60=$B4), 0), MATCH(E$3, $P$1:$X$1, 0))</f>
        <v>1.3849999999999999E-3</v>
      </c>
      <c r="F4" cm="1">
        <f t="array" ref="F4">INDEX($P$2:$X$60, MATCH(1, ($P$2:$P$60=$A4) * ($Q$2:$Q$60=$B4), 0), MATCH(F$3, $P$1:$X$1, 0))</f>
        <v>4.4766E-2</v>
      </c>
      <c r="G4" cm="1">
        <f t="array" ref="G4">INDEX($P$2:$X$60, MATCH(1, ($P$2:$P$60=$A4) * ($Q$2:$Q$60=$B4), 0), MATCH(G$3, $P$1:$X$1, 0))</f>
        <v>7.273E-3</v>
      </c>
      <c r="H4" cm="1">
        <f t="array" ref="H4">INDEX($P$2:$X$60, MATCH(1, ($P$2:$P$60=$A4) * ($Q$2:$Q$60=$B4), 0), MATCH(H$3, $P$1:$X$1, 0))</f>
        <v>5.7429999999999998E-3</v>
      </c>
      <c r="I4" cm="1">
        <f t="array" ref="I4">INDEX($P$2:$X$60, MATCH(1, ($P$2:$P$60=$A4) * ($Q$2:$Q$60=$B4), 0), MATCH(I$3, $P$1:$X$1, 0))</f>
        <v>7.7948807243600911</v>
      </c>
      <c r="J4" cm="1">
        <f t="array" ref="J4">INDEX($P$2:$X$60, MATCH(1, ($P$2:$P$60=$A4) * ($Q$2:$Q$60=$B4), 0), MATCH(J$3, $P$1:$X$1, 0))</f>
        <v>0.24116315514539438</v>
      </c>
      <c r="K4" cm="1">
        <f t="array" ref="K4">INDEX($P$2:$X$60, MATCH(1, ($P$2:$P$60=$A4) * ($Q$2:$Q$60=$B4), 0), MATCH(K$3, $P$1:$X$1, 0))</f>
        <v>1.2664112833014105</v>
      </c>
      <c r="L4" t="b" cm="1">
        <f t="array" ref="L4">INDEX($AA$2:$AC$60, MATCH(1, ($P$2:$P$60=$A4) * ($Q$2:$Q$60=$B4), 0), MATCH(I$3, $AA$1:$AC$1, 0))</f>
        <v>1</v>
      </c>
      <c r="M4" t="b" cm="1">
        <f t="array" ref="M4">INDEX($AA$2:$AC$60, MATCH(1, ($P$2:$P$60=$A4) * ($Q$2:$Q$60=$B4), 0), MATCH(J$3, $AA$1:$AC$1, 0))</f>
        <v>1</v>
      </c>
      <c r="N4" t="b" cm="1">
        <f t="array" ref="N4">INDEX($AA$2:$AC$60, MATCH(1, ($P$2:$P$60=$A4) * ($Q$2:$Q$60=$B4), 0), MATCH(K$3, $AA$1:$AC$1, 0))</f>
        <v>0</v>
      </c>
      <c r="P4" t="s">
        <v>73</v>
      </c>
      <c r="Q4" t="s">
        <v>8</v>
      </c>
      <c r="R4">
        <f>small!M3</f>
        <v>7.273E-3</v>
      </c>
      <c r="S4">
        <f>small!N3</f>
        <v>4.4766E-2</v>
      </c>
      <c r="T4">
        <f>small!O3</f>
        <v>1.3849999999999999E-3</v>
      </c>
      <c r="U4">
        <f>small!P3</f>
        <v>5.7429999999999998E-3</v>
      </c>
      <c r="V4">
        <f>small!U3</f>
        <v>7.7948807243600911</v>
      </c>
      <c r="W4">
        <f>small!V3</f>
        <v>0.24116315514539438</v>
      </c>
      <c r="X4">
        <f>small!W3</f>
        <v>1.2664112833014105</v>
      </c>
      <c r="Y4">
        <v>3</v>
      </c>
      <c r="AA4" t="b">
        <f>small!X26</f>
        <v>1</v>
      </c>
      <c r="AB4" t="b">
        <f>small!Y26</f>
        <v>1</v>
      </c>
      <c r="AC4" t="b">
        <f>small!Z26</f>
        <v>0</v>
      </c>
    </row>
    <row r="5" spans="1:29" x14ac:dyDescent="0.2">
      <c r="A5" t="s">
        <v>75</v>
      </c>
      <c r="B5" t="s">
        <v>8</v>
      </c>
      <c r="C5" t="s">
        <v>76</v>
      </c>
      <c r="D5" cm="1">
        <f t="array" ref="D5">IF(ISBLANK(INDEX($P$2:$Y$60, MATCH(1, ($P$2:$P$60=$A5) * ($Q$2:$Q$60=$B5), 0), MATCH(D$3, $P$1:$Y$1, 0))), "-", INDEX($P$2:$Y$60, MATCH(1, ($P$2:$P$60=$A5) * ($Q$2:$Q$60=$B5), 0), MATCH(D$3, $P$1:$Y$1, 0)))</f>
        <v>15</v>
      </c>
      <c r="E5" cm="1">
        <f t="array" ref="E5">INDEX($P$2:$X$60, MATCH(1, ($P$2:$P$60=$A5) * ($Q$2:$Q$60=$B5), 0), MATCH(E$3, $P$1:$X$1, 0))</f>
        <v>3.4401489999999999</v>
      </c>
      <c r="F5" cm="1">
        <f t="array" ref="F5">INDEX($P$2:$X$60, MATCH(1, ($P$2:$P$60=$A5) * ($Q$2:$Q$60=$B5), 0), MATCH(F$3, $P$1:$X$1, 0))</f>
        <v>0.43465300000000001</v>
      </c>
      <c r="G5" cm="1">
        <f t="array" ref="G5">INDEX($P$2:$X$60, MATCH(1, ($P$2:$P$60=$A5) * ($Q$2:$Q$60=$B5), 0), MATCH(G$3, $P$1:$X$1, 0))</f>
        <v>0.219246</v>
      </c>
      <c r="H5" cm="1">
        <f t="array" ref="H5">INDEX($P$2:$X$60, MATCH(1, ($P$2:$P$60=$A5) * ($Q$2:$Q$60=$B5), 0), MATCH(H$3, $P$1:$X$1, 0))</f>
        <v>0.23339399999999999</v>
      </c>
      <c r="I5" cm="1">
        <f t="array" ref="I5">INDEX($P$2:$X$60, MATCH(1, ($P$2:$P$60=$A5) * ($Q$2:$Q$60=$B5), 0), MATCH(I$3, $P$1:$X$1, 0))</f>
        <v>1.8623143696924516</v>
      </c>
      <c r="J5" cm="1">
        <f t="array" ref="J5">INDEX($P$2:$X$60, MATCH(1, ($P$2:$P$60=$A5) * ($Q$2:$Q$60=$B5), 0), MATCH(J$3, $P$1:$X$1, 0))</f>
        <v>14.739663401801247</v>
      </c>
      <c r="K5" cm="1">
        <f t="array" ref="K5">INDEX($P$2:$X$60, MATCH(1, ($P$2:$P$60=$A5) * ($Q$2:$Q$60=$B5), 0), MATCH(K$3, $P$1:$X$1, 0))</f>
        <v>0.93938147510218772</v>
      </c>
      <c r="L5" t="b" cm="1">
        <f t="array" ref="L5">INDEX($AA$2:$AC$60, MATCH(1, ($P$2:$P$60=$A5) * ($Q$2:$Q$60=$B5), 0), MATCH(I$3, $AA$1:$AC$1, 0))</f>
        <v>1</v>
      </c>
      <c r="M5" t="b" cm="1">
        <f t="array" ref="M5">INDEX($AA$2:$AC$60, MATCH(1, ($P$2:$P$60=$A5) * ($Q$2:$Q$60=$B5), 0), MATCH(J$3, $AA$1:$AC$1, 0))</f>
        <v>1</v>
      </c>
      <c r="N5" t="b" cm="1">
        <f t="array" ref="N5">INDEX($AA$2:$AC$60, MATCH(1, ($P$2:$P$60=$A5) * ($Q$2:$Q$60=$B5), 0), MATCH(K$3, $AA$1:$AC$1, 0))</f>
        <v>0</v>
      </c>
      <c r="P5" t="s">
        <v>73</v>
      </c>
      <c r="Q5" t="s">
        <v>11</v>
      </c>
      <c r="R5">
        <f>small!M4</f>
        <v>1.4848E-2</v>
      </c>
      <c r="S5">
        <f>small!N4</f>
        <v>5.1443000000000003E-2</v>
      </c>
      <c r="T5">
        <f>small!O4</f>
        <v>1.4400000000000001E-3</v>
      </c>
      <c r="U5">
        <f>small!P4</f>
        <v>1.4127000000000001E-2</v>
      </c>
      <c r="V5">
        <f>small!U4</f>
        <v>3.6414666949812418</v>
      </c>
      <c r="W5">
        <f>small!V4</f>
        <v>0.10193246973879805</v>
      </c>
      <c r="X5">
        <f>small!W4</f>
        <v>1.0510370213067175</v>
      </c>
      <c r="Y5">
        <v>3</v>
      </c>
      <c r="AA5" t="b">
        <f>small!X27</f>
        <v>1</v>
      </c>
      <c r="AB5" t="b">
        <f>small!Y27</f>
        <v>0</v>
      </c>
      <c r="AC5" t="b">
        <f>small!Z27</f>
        <v>0</v>
      </c>
    </row>
    <row r="6" spans="1:29" x14ac:dyDescent="0.2">
      <c r="A6" t="s">
        <v>77</v>
      </c>
      <c r="B6" t="s">
        <v>8</v>
      </c>
      <c r="C6" t="s">
        <v>78</v>
      </c>
      <c r="D6" cm="1">
        <f t="array" ref="D6">IF(ISBLANK(INDEX($P$2:$Y$60, MATCH(1, ($P$2:$P$60=$A6) * ($Q$2:$Q$60=$B6), 0), MATCH(D$3, $P$1:$Y$1, 0))), "-", INDEX($P$2:$Y$60, MATCH(1, ($P$2:$P$60=$A6) * ($Q$2:$Q$60=$B6), 0), MATCH(D$3, $P$1:$Y$1, 0)))</f>
        <v>189</v>
      </c>
      <c r="E6" t="e" cm="1">
        <f t="array" ref="E6">INDEX($P$2:$X$60, MATCH(1, ($P$2:$P$60=$A6) * ($Q$2:$Q$60=$B6), 0), MATCH(E$3, $P$1:$X$1, 0))</f>
        <v>#N/A</v>
      </c>
      <c r="F6" t="e" cm="1">
        <f t="array" ref="F6">INDEX($P$2:$X$60, MATCH(1, ($P$2:$P$60=$A6) * ($Q$2:$Q$60=$B6), 0), MATCH(F$3, $P$1:$X$1, 0))</f>
        <v>#N/A</v>
      </c>
      <c r="G6" cm="1">
        <f t="array" ref="G6">INDEX($P$2:$X$60, MATCH(1, ($P$2:$P$60=$A6) * ($Q$2:$Q$60=$B6), 0), MATCH(G$3, $P$1:$X$1, 0))</f>
        <v>39.964737</v>
      </c>
      <c r="H6" cm="1">
        <f t="array" ref="H6">INDEX($P$2:$X$60, MATCH(1, ($P$2:$P$60=$A6) * ($Q$2:$Q$60=$B6), 0), MATCH(H$3, $P$1:$X$1, 0))</f>
        <v>39.820056000000001</v>
      </c>
      <c r="I6" t="str" cm="1">
        <f t="array" ref="I6">INDEX($P$2:$X$60, MATCH(1, ($P$2:$P$60=$A6) * ($Q$2:$Q$60=$B6), 0), MATCH(I$3, $P$1:$X$1, 0))</f>
        <v>DNF</v>
      </c>
      <c r="J6" t="str" cm="1">
        <f t="array" ref="J6">INDEX($P$2:$X$60, MATCH(1, ($P$2:$P$60=$A6) * ($Q$2:$Q$60=$B6), 0), MATCH(J$3, $P$1:$X$1, 0))</f>
        <v>DNF</v>
      </c>
      <c r="K6" cm="1">
        <f t="array" ref="K6">INDEX($P$2:$X$60, MATCH(1, ($P$2:$P$60=$A6) * ($Q$2:$Q$60=$B6), 0), MATCH(K$3, $P$1:$X$1, 0))</f>
        <v>1.0036333700786357</v>
      </c>
      <c r="L6" t="b" cm="1">
        <f t="array" ref="L6">INDEX($AA$2:$AC$60, MATCH(1, ($P$2:$P$60=$A6) * ($Q$2:$Q$60=$B6), 0), MATCH(I$3, $AA$1:$AC$1, 0))</f>
        <v>1</v>
      </c>
      <c r="M6" t="b" cm="1">
        <f t="array" ref="M6">INDEX($AA$2:$AC$60, MATCH(1, ($P$2:$P$60=$A6) * ($Q$2:$Q$60=$B6), 0), MATCH(J$3, $AA$1:$AC$1, 0))</f>
        <v>1</v>
      </c>
      <c r="N6" t="b" cm="1">
        <f t="array" ref="N6">INDEX($AA$2:$AC$60, MATCH(1, ($P$2:$P$60=$A6) * ($Q$2:$Q$60=$B6), 0), MATCH(K$3, $AA$1:$AC$1, 0))</f>
        <v>0</v>
      </c>
      <c r="P6" t="s">
        <v>73</v>
      </c>
      <c r="Q6" t="s">
        <v>14</v>
      </c>
      <c r="R6">
        <f>small!M5</f>
        <v>1.3015000000000001E-2</v>
      </c>
      <c r="S6">
        <f>small!N5</f>
        <v>4.1396000000000002E-2</v>
      </c>
      <c r="T6">
        <f>small!O5</f>
        <v>3.532E-3</v>
      </c>
      <c r="U6">
        <f>small!P5</f>
        <v>9.861E-3</v>
      </c>
      <c r="V6">
        <f>small!U5</f>
        <v>4.1979515262143803</v>
      </c>
      <c r="W6">
        <f>small!V5</f>
        <v>0.35817868370347833</v>
      </c>
      <c r="X6">
        <f>small!W5</f>
        <v>1.3198458574181118</v>
      </c>
      <c r="Y6">
        <v>3</v>
      </c>
      <c r="AA6" t="b">
        <f>small!X28</f>
        <v>1</v>
      </c>
      <c r="AB6" t="b">
        <f>small!Y28</f>
        <v>0</v>
      </c>
      <c r="AC6" t="b">
        <f>small!Z28</f>
        <v>0</v>
      </c>
    </row>
    <row r="7" spans="1:29" x14ac:dyDescent="0.2">
      <c r="A7" t="s">
        <v>73</v>
      </c>
      <c r="B7" t="s">
        <v>11</v>
      </c>
      <c r="C7" t="s">
        <v>74</v>
      </c>
      <c r="D7" cm="1">
        <f t="array" ref="D7">IF(ISBLANK(INDEX($P$2:$Y$60, MATCH(1, ($P$2:$P$60=$A7) * ($Q$2:$Q$60=$B7), 0), MATCH(D$3, $P$1:$Y$1, 0))), "", INDEX($P$2:$Y$60, MATCH(1, ($P$2:$P$60=$A7) * ($Q$2:$Q$60=$B7), 0), MATCH(D$3, $P$1:$Y$1, 0)))</f>
        <v>3</v>
      </c>
      <c r="E7" cm="1">
        <f t="array" ref="E7">INDEX($P$2:$X$60, MATCH(1, ($P$2:$P$60=$A7) * ($Q$2:$Q$60=$B7), 0), MATCH(E$3, $P$1:$X$1, 0))</f>
        <v>1.4400000000000001E-3</v>
      </c>
      <c r="F7" cm="1">
        <f t="array" ref="F7">INDEX($P$2:$X$60, MATCH(1, ($P$2:$P$60=$A7) * ($Q$2:$Q$60=$B7), 0), MATCH(F$3, $P$1:$X$1, 0))</f>
        <v>5.1443000000000003E-2</v>
      </c>
      <c r="G7" cm="1">
        <f t="array" ref="G7">INDEX($P$2:$X$60, MATCH(1, ($P$2:$P$60=$A7) * ($Q$2:$Q$60=$B7), 0), MATCH(G$3, $P$1:$X$1, 0))</f>
        <v>1.4848E-2</v>
      </c>
      <c r="H7" cm="1">
        <f t="array" ref="H7">INDEX($P$2:$X$60, MATCH(1, ($P$2:$P$60=$A7) * ($Q$2:$Q$60=$B7), 0), MATCH(H$3, $P$1:$X$1, 0))</f>
        <v>1.4127000000000001E-2</v>
      </c>
      <c r="I7" cm="1">
        <f t="array" ref="I7">INDEX($P$2:$X$60, MATCH(1, ($P$2:$P$60=$A7) * ($Q$2:$Q$60=$B7), 0), MATCH(I$3, $P$1:$X$1, 0))</f>
        <v>3.6414666949812418</v>
      </c>
      <c r="J7" cm="1">
        <f t="array" ref="J7">INDEX($P$2:$X$60, MATCH(1, ($P$2:$P$60=$A7) * ($Q$2:$Q$60=$B7), 0), MATCH(J$3, $P$1:$X$1, 0))</f>
        <v>0.10193246973879805</v>
      </c>
      <c r="K7" cm="1">
        <f t="array" ref="K7">INDEX($P$2:$X$60, MATCH(1, ($P$2:$P$60=$A7) * ($Q$2:$Q$60=$B7), 0), MATCH(K$3, $P$1:$X$1, 0))</f>
        <v>1.0510370213067175</v>
      </c>
      <c r="L7" t="b" cm="1">
        <f t="array" ref="L7">INDEX($AA$2:$AC$60, MATCH(1, ($P$2:$P$60=$A7) * ($Q$2:$Q$60=$B7), 0), MATCH(I$3, $AA$1:$AC$1, 0))</f>
        <v>1</v>
      </c>
      <c r="M7" t="b" cm="1">
        <f t="array" ref="M7">INDEX($AA$2:$AC$60, MATCH(1, ($P$2:$P$60=$A7) * ($Q$2:$Q$60=$B7), 0), MATCH(J$3, $AA$1:$AC$1, 0))</f>
        <v>0</v>
      </c>
      <c r="N7" t="b" cm="1">
        <f t="array" ref="N7">INDEX($AA$2:$AC$60, MATCH(1, ($P$2:$P$60=$A7) * ($Q$2:$Q$60=$B7), 0), MATCH(K$3, $AA$1:$AC$1, 0))</f>
        <v>0</v>
      </c>
      <c r="P7" t="s">
        <v>73</v>
      </c>
      <c r="Q7" t="s">
        <v>16</v>
      </c>
      <c r="R7">
        <f>small!M6</f>
        <v>8.6029999999999995E-3</v>
      </c>
      <c r="S7">
        <f>small!N6</f>
        <v>3.7509000000000001E-2</v>
      </c>
      <c r="T7">
        <f>small!O6</f>
        <v>1.8079999999999999E-3</v>
      </c>
      <c r="U7">
        <f>small!P6</f>
        <v>8.5369999999999994E-3</v>
      </c>
      <c r="V7">
        <f>small!U6</f>
        <v>4.3936980203818674</v>
      </c>
      <c r="W7">
        <f>small!V6</f>
        <v>0.21178399906290266</v>
      </c>
      <c r="X7">
        <f>small!W6</f>
        <v>1.0077310530631369</v>
      </c>
      <c r="Y7">
        <v>2</v>
      </c>
      <c r="AA7" t="b">
        <f>small!X29</f>
        <v>1</v>
      </c>
      <c r="AB7" t="b">
        <f>small!Y29</f>
        <v>1</v>
      </c>
      <c r="AC7" t="b">
        <f>small!Z29</f>
        <v>0</v>
      </c>
    </row>
    <row r="8" spans="1:29" x14ac:dyDescent="0.2">
      <c r="A8" t="s">
        <v>75</v>
      </c>
      <c r="B8" t="s">
        <v>11</v>
      </c>
      <c r="C8" t="s">
        <v>79</v>
      </c>
      <c r="D8" cm="1">
        <f t="array" ref="D8">IF(ISBLANK(INDEX($P$2:$Y$60, MATCH(1, ($P$2:$P$60=$A8) * ($Q$2:$Q$60=$B8), 0), MATCH(D$3, $P$1:$Y$1, 0))), "-", INDEX($P$2:$Y$60, MATCH(1, ($P$2:$P$60=$A8) * ($Q$2:$Q$60=$B8), 0), MATCH(D$3, $P$1:$Y$1, 0)))</f>
        <v>4</v>
      </c>
      <c r="E8" cm="1">
        <f t="array" ref="E8">INDEX($P$2:$X$60, MATCH(1, ($P$2:$P$60=$A8) * ($Q$2:$Q$60=$B8), 0), MATCH(E$3, $P$1:$X$1, 0))</f>
        <v>3.4955729999999998</v>
      </c>
      <c r="F8" cm="1">
        <f t="array" ref="F8">INDEX($P$2:$X$60, MATCH(1, ($P$2:$P$60=$A8) * ($Q$2:$Q$60=$B8), 0), MATCH(F$3, $P$1:$X$1, 0))</f>
        <v>9.0839000000000003E-2</v>
      </c>
      <c r="G8" cm="1">
        <f t="array" ref="G8">INDEX($P$2:$X$60, MATCH(1, ($P$2:$P$60=$A8) * ($Q$2:$Q$60=$B8), 0), MATCH(G$3, $P$1:$X$1, 0))</f>
        <v>1.9036999999999998E-2</v>
      </c>
      <c r="H8" cm="1">
        <f t="array" ref="H8">INDEX($P$2:$X$60, MATCH(1, ($P$2:$P$60=$A8) * ($Q$2:$Q$60=$B8), 0), MATCH(H$3, $P$1:$X$1, 0))</f>
        <v>1.8297000000000001E-2</v>
      </c>
      <c r="I8" cm="1">
        <f t="array" ref="I8">INDEX($P$2:$X$60, MATCH(1, ($P$2:$P$60=$A8) * ($Q$2:$Q$60=$B8), 0), MATCH(I$3, $P$1:$X$1, 0))</f>
        <v>4.9646936656282454</v>
      </c>
      <c r="J8" cm="1">
        <f t="array" ref="J8">INDEX($P$2:$X$60, MATCH(1, ($P$2:$P$60=$A8) * ($Q$2:$Q$60=$B8), 0), MATCH(J$3, $P$1:$X$1, 0))</f>
        <v>191.04623708804721</v>
      </c>
      <c r="K8" cm="1">
        <f t="array" ref="K8">INDEX($P$2:$X$60, MATCH(1, ($P$2:$P$60=$A8) * ($Q$2:$Q$60=$B8), 0), MATCH(K$3, $P$1:$X$1, 0))</f>
        <v>1.0404437885992237</v>
      </c>
      <c r="L8" t="b" cm="1">
        <f t="array" ref="L8">INDEX($AA$2:$AC$60, MATCH(1, ($P$2:$P$60=$A8) * ($Q$2:$Q$60=$B8), 0), MATCH(I$3, $AA$1:$AC$1, 0))</f>
        <v>1</v>
      </c>
      <c r="M8" t="b" cm="1">
        <f t="array" ref="M8">INDEX($AA$2:$AC$60, MATCH(1, ($P$2:$P$60=$A8) * ($Q$2:$Q$60=$B8), 0), MATCH(J$3, $AA$1:$AC$1, 0))</f>
        <v>1</v>
      </c>
      <c r="N8" t="b" cm="1">
        <f t="array" ref="N8">INDEX($AA$2:$AC$60, MATCH(1, ($P$2:$P$60=$A8) * ($Q$2:$Q$60=$B8), 0), MATCH(K$3, $AA$1:$AC$1, 0))</f>
        <v>0</v>
      </c>
      <c r="P8" t="s">
        <v>73</v>
      </c>
      <c r="Q8" t="s">
        <v>18</v>
      </c>
      <c r="R8">
        <f>small!M7</f>
        <v>3.0929000000000002E-2</v>
      </c>
      <c r="S8">
        <f>small!N7</f>
        <v>0.36768899999999999</v>
      </c>
      <c r="T8">
        <f>small!O7</f>
        <v>5.9589999999999999E-3</v>
      </c>
      <c r="U8">
        <f>small!P7</f>
        <v>2.8028000000000001E-2</v>
      </c>
      <c r="V8">
        <f>small!U7</f>
        <v>13.118631368631368</v>
      </c>
      <c r="W8">
        <f>small!V7</f>
        <v>0.21260881975167689</v>
      </c>
      <c r="X8">
        <f>small!W7</f>
        <v>1.1035036392179249</v>
      </c>
      <c r="Y8">
        <v>9</v>
      </c>
      <c r="AA8" t="b">
        <f>small!X30</f>
        <v>1</v>
      </c>
      <c r="AB8" t="b">
        <f>small!Y30</f>
        <v>1</v>
      </c>
      <c r="AC8" t="b">
        <f>small!Z30</f>
        <v>0</v>
      </c>
    </row>
    <row r="9" spans="1:29" x14ac:dyDescent="0.2">
      <c r="A9" t="s">
        <v>77</v>
      </c>
      <c r="B9" t="s">
        <v>11</v>
      </c>
      <c r="C9" t="s">
        <v>80</v>
      </c>
      <c r="D9" cm="1">
        <f t="array" ref="D9">IF(ISBLANK(INDEX($P$2:$Y$60, MATCH(1, ($P$2:$P$60=$A9) * ($Q$2:$Q$60=$B9), 0), MATCH(D$3, $P$1:$Y$1, 0))), "-", INDEX($P$2:$Y$60, MATCH(1, ($P$2:$P$60=$A9) * ($Q$2:$Q$60=$B9), 0), MATCH(D$3, $P$1:$Y$1, 0)))</f>
        <v>9</v>
      </c>
      <c r="E9" cm="1">
        <f t="array" ref="E9">INDEX($P$2:$X$60, MATCH(1, ($P$2:$P$60=$A9) * ($Q$2:$Q$60=$B9), 0), MATCH(E$3, $P$1:$X$1, 0))</f>
        <v>31.093031</v>
      </c>
      <c r="F9" cm="1">
        <f t="array" ref="F9">INDEX($P$2:$X$60, MATCH(1, ($P$2:$P$60=$A9) * ($Q$2:$Q$60=$B9), 0), MATCH(F$3, $P$1:$X$1, 0))</f>
        <v>0.21196699999999999</v>
      </c>
      <c r="G9" cm="1">
        <f t="array" ref="G9">INDEX($P$2:$X$60, MATCH(1, ($P$2:$P$60=$A9) * ($Q$2:$Q$60=$B9), 0), MATCH(G$3, $P$1:$X$1, 0))</f>
        <v>4.0210999999999997E-2</v>
      </c>
      <c r="H9" cm="1">
        <f t="array" ref="H9">INDEX($P$2:$X$60, MATCH(1, ($P$2:$P$60=$A9) * ($Q$2:$Q$60=$B9), 0), MATCH(H$3, $P$1:$X$1, 0))</f>
        <v>3.9167E-2</v>
      </c>
      <c r="I9" cm="1">
        <f t="array" ref="I9">INDEX($P$2:$X$60, MATCH(1, ($P$2:$P$60=$A9) * ($Q$2:$Q$60=$B9), 0), MATCH(I$3, $P$1:$X$1, 0))</f>
        <v>5.4118773457247169</v>
      </c>
      <c r="J9" cm="1">
        <f t="array" ref="J9">INDEX($P$2:$X$60, MATCH(1, ($P$2:$P$60=$A9) * ($Q$2:$Q$60=$B9), 0), MATCH(J$3, $P$1:$X$1, 0))</f>
        <v>793.85786503944644</v>
      </c>
      <c r="K9" cm="1">
        <f t="array" ref="K9">INDEX($P$2:$X$60, MATCH(1, ($P$2:$P$60=$A9) * ($Q$2:$Q$60=$B9), 0), MATCH(K$3, $P$1:$X$1, 0))</f>
        <v>1.0266550922970867</v>
      </c>
      <c r="L9" t="b" cm="1">
        <f t="array" ref="L9">INDEX($AA$2:$AC$60, MATCH(1, ($P$2:$P$60=$A9) * ($Q$2:$Q$60=$B9), 0), MATCH(I$3, $AA$1:$AC$1, 0))</f>
        <v>1</v>
      </c>
      <c r="M9" t="b" cm="1">
        <f t="array" ref="M9">INDEX($AA$2:$AC$60, MATCH(1, ($P$2:$P$60=$A9) * ($Q$2:$Q$60=$B9), 0), MATCH(J$3, $AA$1:$AC$1, 0))</f>
        <v>1</v>
      </c>
      <c r="N9" t="b" cm="1">
        <f t="array" ref="N9">INDEX($AA$2:$AC$60, MATCH(1, ($P$2:$P$60=$A9) * ($Q$2:$Q$60=$B9), 0), MATCH(K$3, $AA$1:$AC$1, 0))</f>
        <v>0</v>
      </c>
      <c r="P9" t="s">
        <v>73</v>
      </c>
      <c r="Q9" t="s">
        <v>20</v>
      </c>
      <c r="R9">
        <f>small!M8</f>
        <v>9.8840000000000004E-3</v>
      </c>
      <c r="S9">
        <f>small!N8</f>
        <v>6.7365999999999995E-2</v>
      </c>
      <c r="T9">
        <f>small!O8</f>
        <v>2.3890000000000001E-3</v>
      </c>
      <c r="U9">
        <f>small!P8</f>
        <v>1.0655E-2</v>
      </c>
      <c r="V9">
        <f>small!U8</f>
        <v>6.3224777099953071</v>
      </c>
      <c r="W9">
        <f>small!V8</f>
        <v>0.22421398404504927</v>
      </c>
      <c r="X9">
        <f>small!W8</f>
        <v>0.92763960581886451</v>
      </c>
      <c r="Y9">
        <v>3</v>
      </c>
      <c r="AA9" t="b">
        <f>small!X31</f>
        <v>1</v>
      </c>
      <c r="AB9" t="b">
        <f>small!Y31</f>
        <v>0</v>
      </c>
      <c r="AC9" t="b">
        <f>small!Z31</f>
        <v>0</v>
      </c>
    </row>
    <row r="10" spans="1:29" x14ac:dyDescent="0.2">
      <c r="A10" t="s">
        <v>73</v>
      </c>
      <c r="B10" t="s">
        <v>14</v>
      </c>
      <c r="C10" t="s">
        <v>74</v>
      </c>
      <c r="D10" cm="1">
        <f t="array" ref="D10">IF(ISBLANK(INDEX($P$2:$Y$60, MATCH(1, ($P$2:$P$60=$A10) * ($Q$2:$Q$60=$B10), 0), MATCH(D$3, $P$1:$Y$1, 0))), "", INDEX($P$2:$Y$60, MATCH(1, ($P$2:$P$60=$A10) * ($Q$2:$Q$60=$B10), 0), MATCH(D$3, $P$1:$Y$1, 0)))</f>
        <v>3</v>
      </c>
      <c r="E10" cm="1">
        <f t="array" ref="E10">INDEX($P$2:$X$60, MATCH(1, ($P$2:$P$60=$A10) * ($Q$2:$Q$60=$B10), 0), MATCH(E$3, $P$1:$X$1, 0))</f>
        <v>3.532E-3</v>
      </c>
      <c r="F10" cm="1">
        <f t="array" ref="F10">INDEX($P$2:$X$60, MATCH(1, ($P$2:$P$60=$A10) * ($Q$2:$Q$60=$B10), 0), MATCH(F$3, $P$1:$X$1, 0))</f>
        <v>4.1396000000000002E-2</v>
      </c>
      <c r="G10" cm="1">
        <f t="array" ref="G10">INDEX($P$2:$X$60, MATCH(1, ($P$2:$P$60=$A10) * ($Q$2:$Q$60=$B10), 0), MATCH(G$3, $P$1:$X$1, 0))</f>
        <v>1.3015000000000001E-2</v>
      </c>
      <c r="H10" cm="1">
        <f t="array" ref="H10">INDEX($P$2:$X$60, MATCH(1, ($P$2:$P$60=$A10) * ($Q$2:$Q$60=$B10), 0), MATCH(H$3, $P$1:$X$1, 0))</f>
        <v>9.861E-3</v>
      </c>
      <c r="I10" cm="1">
        <f t="array" ref="I10">INDEX($P$2:$X$60, MATCH(1, ($P$2:$P$60=$A10) * ($Q$2:$Q$60=$B10), 0), MATCH(I$3, $P$1:$X$1, 0))</f>
        <v>4.1979515262143803</v>
      </c>
      <c r="J10" cm="1">
        <f t="array" ref="J10">INDEX($P$2:$X$60, MATCH(1, ($P$2:$P$60=$A10) * ($Q$2:$Q$60=$B10), 0), MATCH(J$3, $P$1:$X$1, 0))</f>
        <v>0.35817868370347833</v>
      </c>
      <c r="K10" cm="1">
        <f t="array" ref="K10">INDEX($P$2:$X$60, MATCH(1, ($P$2:$P$60=$A10) * ($Q$2:$Q$60=$B10), 0), MATCH(K$3, $P$1:$X$1, 0))</f>
        <v>1.3198458574181118</v>
      </c>
      <c r="L10" t="b" cm="1">
        <f t="array" ref="L10">INDEX($AA$2:$AC$60, MATCH(1, ($P$2:$P$60=$A10) * ($Q$2:$Q$60=$B10), 0), MATCH(I$3, $AA$1:$AC$1, 0))</f>
        <v>1</v>
      </c>
      <c r="M10" t="b" cm="1">
        <f t="array" ref="M10">INDEX($AA$2:$AC$60, MATCH(1, ($P$2:$P$60=$A10) * ($Q$2:$Q$60=$B10), 0), MATCH(J$3, $AA$1:$AC$1, 0))</f>
        <v>0</v>
      </c>
      <c r="N10" t="b" cm="1">
        <f t="array" ref="N10">INDEX($AA$2:$AC$60, MATCH(1, ($P$2:$P$60=$A10) * ($Q$2:$Q$60=$B10), 0), MATCH(K$3, $AA$1:$AC$1, 0))</f>
        <v>0</v>
      </c>
      <c r="P10" t="s">
        <v>73</v>
      </c>
      <c r="Q10" t="s">
        <v>22</v>
      </c>
      <c r="R10">
        <f>small!M9</f>
        <v>2.6327E-2</v>
      </c>
      <c r="S10">
        <f>small!N9</f>
        <v>0.15540200000000001</v>
      </c>
      <c r="T10">
        <f>small!O9</f>
        <v>2.454E-3</v>
      </c>
      <c r="U10">
        <f>small!P9</f>
        <v>2.0951999999999998E-2</v>
      </c>
      <c r="V10">
        <f>small!U9</f>
        <v>7.4170484917907613</v>
      </c>
      <c r="W10">
        <f>small!V9</f>
        <v>0.11712485681557848</v>
      </c>
      <c r="X10">
        <f>small!W9</f>
        <v>1.2565387552500955</v>
      </c>
      <c r="Y10">
        <v>5</v>
      </c>
      <c r="AA10" t="b">
        <f>small!X32</f>
        <v>1</v>
      </c>
      <c r="AB10" t="b">
        <f>small!Y32</f>
        <v>1</v>
      </c>
      <c r="AC10" t="b">
        <f>small!Z32</f>
        <v>0</v>
      </c>
    </row>
    <row r="11" spans="1:29" x14ac:dyDescent="0.2">
      <c r="A11" t="s">
        <v>75</v>
      </c>
      <c r="B11" t="s">
        <v>14</v>
      </c>
      <c r="C11" t="s">
        <v>81</v>
      </c>
      <c r="D11" cm="1">
        <f t="array" ref="D11">IF(ISBLANK(INDEX($P$2:$Y$60, MATCH(1, ($P$2:$P$60=$A11) * ($Q$2:$Q$60=$B11), 0), MATCH(D$3, $P$1:$Y$1, 0))), "-", INDEX($P$2:$Y$60, MATCH(1, ($P$2:$P$60=$A11) * ($Q$2:$Q$60=$B11), 0), MATCH(D$3, $P$1:$Y$1, 0)))</f>
        <v>3</v>
      </c>
      <c r="E11" cm="1">
        <f t="array" ref="E11">INDEX($P$2:$X$60, MATCH(1, ($P$2:$P$60=$A11) * ($Q$2:$Q$60=$B11), 0), MATCH(E$3, $P$1:$X$1, 0))</f>
        <v>19.845801999999999</v>
      </c>
      <c r="F11" cm="1">
        <f t="array" ref="F11">INDEX($P$2:$X$60, MATCH(1, ($P$2:$P$60=$A11) * ($Q$2:$Q$60=$B11), 0), MATCH(F$3, $P$1:$X$1, 0))</f>
        <v>0.18498500000000001</v>
      </c>
      <c r="G11" cm="1">
        <f t="array" ref="G11">INDEX($P$2:$X$60, MATCH(1, ($P$2:$P$60=$A11) * ($Q$2:$Q$60=$B11), 0), MATCH(G$3, $P$1:$X$1, 0))</f>
        <v>4.8621999999999999E-2</v>
      </c>
      <c r="H11" cm="1">
        <f t="array" ref="H11">INDEX($P$2:$X$60, MATCH(1, ($P$2:$P$60=$A11) * ($Q$2:$Q$60=$B11), 0), MATCH(H$3, $P$1:$X$1, 0))</f>
        <v>4.5088000000000003E-2</v>
      </c>
      <c r="I11" cm="1">
        <f t="array" ref="I11">INDEX($P$2:$X$60, MATCH(1, ($P$2:$P$60=$A11) * ($Q$2:$Q$60=$B11), 0), MATCH(I$3, $P$1:$X$1, 0))</f>
        <v>4.1027546132008519</v>
      </c>
      <c r="J11" cm="1">
        <f t="array" ref="J11">INDEX($P$2:$X$60, MATCH(1, ($P$2:$P$60=$A11) * ($Q$2:$Q$60=$B11), 0), MATCH(J$3, $P$1:$X$1, 0))</f>
        <v>440.15707061745911</v>
      </c>
      <c r="K11" cm="1">
        <f t="array" ref="K11">INDEX($P$2:$X$60, MATCH(1, ($P$2:$P$60=$A11) * ($Q$2:$Q$60=$B11), 0), MATCH(K$3, $P$1:$X$1, 0))</f>
        <v>1.0783800567778565</v>
      </c>
      <c r="L11" t="b" cm="1">
        <f t="array" ref="L11">INDEX($AA$2:$AC$60, MATCH(1, ($P$2:$P$60=$A11) * ($Q$2:$Q$60=$B11), 0), MATCH(I$3, $AA$1:$AC$1, 0))</f>
        <v>1</v>
      </c>
      <c r="M11" t="b" cm="1">
        <f t="array" ref="M11">INDEX($AA$2:$AC$60, MATCH(1, ($P$2:$P$60=$A11) * ($Q$2:$Q$60=$B11), 0), MATCH(J$3, $AA$1:$AC$1, 0))</f>
        <v>1</v>
      </c>
      <c r="N11" t="b" cm="1">
        <f t="array" ref="N11">INDEX($AA$2:$AC$60, MATCH(1, ($P$2:$P$60=$A11) * ($Q$2:$Q$60=$B11), 0), MATCH(K$3, $AA$1:$AC$1, 0))</f>
        <v>0</v>
      </c>
      <c r="P11" t="s">
        <v>73</v>
      </c>
      <c r="Q11" t="s">
        <v>58</v>
      </c>
      <c r="R11">
        <f>small!M10</f>
        <v>7.1630000000000001E-3</v>
      </c>
      <c r="S11">
        <f>small!N10</f>
        <v>4.5449000000000003E-2</v>
      </c>
      <c r="T11">
        <f>small!O10</f>
        <v>2.0929999999999998E-3</v>
      </c>
      <c r="U11">
        <f>small!P10</f>
        <v>4.6569999999999997E-3</v>
      </c>
      <c r="V11">
        <f>small!U10</f>
        <v>9.7592870946961572</v>
      </c>
      <c r="W11">
        <f>small!V10</f>
        <v>0.44943096414000427</v>
      </c>
      <c r="X11">
        <f>small!W10</f>
        <v>1.5381146660940521</v>
      </c>
      <c r="Y11">
        <v>3</v>
      </c>
      <c r="AA11" t="b">
        <f>small!X33</f>
        <v>1</v>
      </c>
      <c r="AB11" t="b">
        <f>small!Y33</f>
        <v>0</v>
      </c>
      <c r="AC11" t="b">
        <f>small!Z33</f>
        <v>0</v>
      </c>
    </row>
    <row r="12" spans="1:29" x14ac:dyDescent="0.2">
      <c r="A12" t="s">
        <v>77</v>
      </c>
      <c r="B12" t="s">
        <v>14</v>
      </c>
      <c r="C12" t="s">
        <v>82</v>
      </c>
      <c r="D12" cm="1">
        <f t="array" ref="D12">IF(ISBLANK(INDEX($P$2:$Y$60, MATCH(1, ($P$2:$P$60=$A12) * ($Q$2:$Q$60=$B12), 0), MATCH(D$3, $P$1:$Y$1, 0))), "-", INDEX($P$2:$Y$60, MATCH(1, ($P$2:$P$60=$A12) * ($Q$2:$Q$60=$B12), 0), MATCH(D$3, $P$1:$Y$1, 0)))</f>
        <v>4</v>
      </c>
      <c r="E12" t="e" cm="1">
        <f t="array" ref="E12">INDEX($P$2:$X$60, MATCH(1, ($P$2:$P$60=$A12) * ($Q$2:$Q$60=$B12), 0), MATCH(E$3, $P$1:$X$1, 0))</f>
        <v>#N/A</v>
      </c>
      <c r="F12" cm="1">
        <f t="array" ref="F12">INDEX($P$2:$X$60, MATCH(1, ($P$2:$P$60=$A12) * ($Q$2:$Q$60=$B12), 0), MATCH(F$3, $P$1:$X$1, 0))</f>
        <v>0.66326399999999996</v>
      </c>
      <c r="G12" cm="1">
        <f t="array" ref="G12">INDEX($P$2:$X$60, MATCH(1, ($P$2:$P$60=$A12) * ($Q$2:$Q$60=$B12), 0), MATCH(G$3, $P$1:$X$1, 0))</f>
        <v>0.173898</v>
      </c>
      <c r="H12" cm="1">
        <f t="array" ref="H12">INDEX($P$2:$X$60, MATCH(1, ($P$2:$P$60=$A12) * ($Q$2:$Q$60=$B12), 0), MATCH(H$3, $P$1:$X$1, 0))</f>
        <v>0.178314</v>
      </c>
      <c r="I12" cm="1">
        <f t="array" ref="I12">INDEX($P$2:$X$60, MATCH(1, ($P$2:$P$60=$A12) * ($Q$2:$Q$60=$B12), 0), MATCH(I$3, $P$1:$X$1, 0))</f>
        <v>3.7196406339378845</v>
      </c>
      <c r="J12" t="str" cm="1">
        <f t="array" ref="J12">INDEX($P$2:$X$60, MATCH(1, ($P$2:$P$60=$A12) * ($Q$2:$Q$60=$B12), 0), MATCH(J$3, $P$1:$X$1, 0))</f>
        <v>DNF</v>
      </c>
      <c r="K12" cm="1">
        <f t="array" ref="K12">INDEX($P$2:$X$60, MATCH(1, ($P$2:$P$60=$A12) * ($Q$2:$Q$60=$B12), 0), MATCH(K$3, $P$1:$X$1, 0))</f>
        <v>0.97523469834112853</v>
      </c>
      <c r="L12" t="b" cm="1">
        <f t="array" ref="L12">INDEX($AA$2:$AC$60, MATCH(1, ($P$2:$P$60=$A12) * ($Q$2:$Q$60=$B12), 0), MATCH(I$3, $AA$1:$AC$1, 0))</f>
        <v>1</v>
      </c>
      <c r="M12" t="b" cm="1">
        <f t="array" ref="M12">INDEX($AA$2:$AC$60, MATCH(1, ($P$2:$P$60=$A12) * ($Q$2:$Q$60=$B12), 0), MATCH(J$3, $AA$1:$AC$1, 0))</f>
        <v>1</v>
      </c>
      <c r="N12" t="b" cm="1">
        <f t="array" ref="N12">INDEX($AA$2:$AC$60, MATCH(1, ($P$2:$P$60=$A12) * ($Q$2:$Q$60=$B12), 0), MATCH(K$3, $AA$1:$AC$1, 0))</f>
        <v>0</v>
      </c>
      <c r="P12" t="s">
        <v>73</v>
      </c>
      <c r="Q12" t="s">
        <v>25</v>
      </c>
      <c r="R12">
        <f>small!M11</f>
        <v>1.1209999999999999E-2</v>
      </c>
      <c r="S12">
        <f>small!N11</f>
        <v>0.29497800000000002</v>
      </c>
      <c r="T12">
        <f>small!O11</f>
        <v>2.4810000000000001E-3</v>
      </c>
      <c r="U12">
        <f>small!P11</f>
        <v>9.5390000000000006E-3</v>
      </c>
      <c r="V12">
        <f>small!U11</f>
        <v>30.923367229269317</v>
      </c>
      <c r="W12">
        <f>small!V11</f>
        <v>0.26009015620085962</v>
      </c>
      <c r="X12">
        <f>small!W11</f>
        <v>1.1751755949260927</v>
      </c>
      <c r="Y12">
        <v>17</v>
      </c>
      <c r="AA12" t="b">
        <f>small!X34</f>
        <v>1</v>
      </c>
      <c r="AB12" t="b">
        <f>small!Y34</f>
        <v>0</v>
      </c>
      <c r="AC12" t="b">
        <f>small!Z34</f>
        <v>0</v>
      </c>
    </row>
    <row r="13" spans="1:29" x14ac:dyDescent="0.2">
      <c r="A13" t="s">
        <v>73</v>
      </c>
      <c r="B13" t="s">
        <v>16</v>
      </c>
      <c r="C13" t="s">
        <v>74</v>
      </c>
      <c r="D13" cm="1">
        <f t="array" ref="D13">IF(ISBLANK(INDEX($P$2:$Y$60, MATCH(1, ($P$2:$P$60=$A13) * ($Q$2:$Q$60=$B13), 0), MATCH(D$3, $P$1:$Y$1, 0))), "", INDEX($P$2:$Y$60, MATCH(1, ($P$2:$P$60=$A13) * ($Q$2:$Q$60=$B13), 0), MATCH(D$3, $P$1:$Y$1, 0)))</f>
        <v>2</v>
      </c>
      <c r="E13" cm="1">
        <f t="array" ref="E13">INDEX($P$2:$X$60, MATCH(1, ($P$2:$P$60=$A13) * ($Q$2:$Q$60=$B13), 0), MATCH(E$3, $P$1:$X$1, 0))</f>
        <v>1.8079999999999999E-3</v>
      </c>
      <c r="F13" cm="1">
        <f t="array" ref="F13">INDEX($P$2:$X$60, MATCH(1, ($P$2:$P$60=$A13) * ($Q$2:$Q$60=$B13), 0), MATCH(F$3, $P$1:$X$1, 0))</f>
        <v>3.7509000000000001E-2</v>
      </c>
      <c r="G13" cm="1">
        <f t="array" ref="G13">INDEX($P$2:$X$60, MATCH(1, ($P$2:$P$60=$A13) * ($Q$2:$Q$60=$B13), 0), MATCH(G$3, $P$1:$X$1, 0))</f>
        <v>8.6029999999999995E-3</v>
      </c>
      <c r="H13" cm="1">
        <f t="array" ref="H13">INDEX($P$2:$X$60, MATCH(1, ($P$2:$P$60=$A13) * ($Q$2:$Q$60=$B13), 0), MATCH(H$3, $P$1:$X$1, 0))</f>
        <v>8.5369999999999994E-3</v>
      </c>
      <c r="I13" cm="1">
        <f t="array" ref="I13">INDEX($P$2:$X$60, MATCH(1, ($P$2:$P$60=$A13) * ($Q$2:$Q$60=$B13), 0), MATCH(I$3, $P$1:$X$1, 0))</f>
        <v>4.3936980203818674</v>
      </c>
      <c r="J13" cm="1">
        <f t="array" ref="J13">INDEX($P$2:$X$60, MATCH(1, ($P$2:$P$60=$A13) * ($Q$2:$Q$60=$B13), 0), MATCH(J$3, $P$1:$X$1, 0))</f>
        <v>0.21178399906290266</v>
      </c>
      <c r="K13" cm="1">
        <f t="array" ref="K13">INDEX($P$2:$X$60, MATCH(1, ($P$2:$P$60=$A13) * ($Q$2:$Q$60=$B13), 0), MATCH(K$3, $P$1:$X$1, 0))</f>
        <v>1.0077310530631369</v>
      </c>
      <c r="L13" t="b" cm="1">
        <f t="array" ref="L13">INDEX($AA$2:$AC$60, MATCH(1, ($P$2:$P$60=$A13) * ($Q$2:$Q$60=$B13), 0), MATCH(I$3, $AA$1:$AC$1, 0))</f>
        <v>1</v>
      </c>
      <c r="M13" t="b" cm="1">
        <f t="array" ref="M13">INDEX($AA$2:$AC$60, MATCH(1, ($P$2:$P$60=$A13) * ($Q$2:$Q$60=$B13), 0), MATCH(J$3, $AA$1:$AC$1, 0))</f>
        <v>1</v>
      </c>
      <c r="N13" t="b" cm="1">
        <f t="array" ref="N13">INDEX($AA$2:$AC$60, MATCH(1, ($P$2:$P$60=$A13) * ($Q$2:$Q$60=$B13), 0), MATCH(K$3, $AA$1:$AC$1, 0))</f>
        <v>0</v>
      </c>
      <c r="P13" t="s">
        <v>73</v>
      </c>
      <c r="Q13" t="s">
        <v>27</v>
      </c>
      <c r="R13">
        <f>small!M12</f>
        <v>1.7599E-2</v>
      </c>
      <c r="S13">
        <f>small!N12</f>
        <v>7.1494000000000002E-2</v>
      </c>
      <c r="T13">
        <f>small!O12</f>
        <v>2.1250000000000002E-3</v>
      </c>
      <c r="U13">
        <f>small!P12</f>
        <v>1.2775999999999999E-2</v>
      </c>
      <c r="V13">
        <f>small!U12</f>
        <v>5.5959611772072639</v>
      </c>
      <c r="W13">
        <f>small!V12</f>
        <v>0.16632748904195369</v>
      </c>
      <c r="X13">
        <f>small!W12</f>
        <v>1.377504696305573</v>
      </c>
      <c r="Y13">
        <v>3</v>
      </c>
      <c r="AA13" t="b">
        <f>small!X35</f>
        <v>1</v>
      </c>
      <c r="AB13" t="b">
        <f>small!Y35</f>
        <v>1</v>
      </c>
      <c r="AC13" t="b">
        <f>small!Z35</f>
        <v>0</v>
      </c>
    </row>
    <row r="14" spans="1:29" x14ac:dyDescent="0.2">
      <c r="A14" t="s">
        <v>75</v>
      </c>
      <c r="B14" t="s">
        <v>16</v>
      </c>
      <c r="C14" t="s">
        <v>83</v>
      </c>
      <c r="D14" cm="1">
        <f t="array" ref="D14">IF(ISBLANK(INDEX($P$2:$Y$60, MATCH(1, ($P$2:$P$60=$A14) * ($Q$2:$Q$60=$B14), 0), MATCH(D$3, $P$1:$Y$1, 0))), "-", INDEX($P$2:$Y$60, MATCH(1, ($P$2:$P$60=$A14) * ($Q$2:$Q$60=$B14), 0), MATCH(D$3, $P$1:$Y$1, 0)))</f>
        <v>5</v>
      </c>
      <c r="E14" cm="1">
        <f t="array" ref="E14">INDEX($P$2:$X$60, MATCH(1, ($P$2:$P$60=$A14) * ($Q$2:$Q$60=$B14), 0), MATCH(E$3, $P$1:$X$1, 0))</f>
        <v>136.25333699999999</v>
      </c>
      <c r="F14" cm="1">
        <f t="array" ref="F14">INDEX($P$2:$X$60, MATCH(1, ($P$2:$P$60=$A14) * ($Q$2:$Q$60=$B14), 0), MATCH(F$3, $P$1:$X$1, 0))</f>
        <v>0.56551700000000005</v>
      </c>
      <c r="G14" cm="1">
        <f t="array" ref="G14">INDEX($P$2:$X$60, MATCH(1, ($P$2:$P$60=$A14) * ($Q$2:$Q$60=$B14), 0), MATCH(G$3, $P$1:$X$1, 0))</f>
        <v>8.8409000000000001E-2</v>
      </c>
      <c r="H14" cm="1">
        <f t="array" ref="H14">INDEX($P$2:$X$60, MATCH(1, ($P$2:$P$60=$A14) * ($Q$2:$Q$60=$B14), 0), MATCH(H$3, $P$1:$X$1, 0))</f>
        <v>8.9752999999999999E-2</v>
      </c>
      <c r="I14" cm="1">
        <f t="array" ref="I14">INDEX($P$2:$X$60, MATCH(1, ($P$2:$P$60=$A14) * ($Q$2:$Q$60=$B14), 0), MATCH(I$3, $P$1:$X$1, 0))</f>
        <v>6.3008144574554619</v>
      </c>
      <c r="J14" cm="1">
        <f t="array" ref="J14">INDEX($P$2:$X$60, MATCH(1, ($P$2:$P$60=$A14) * ($Q$2:$Q$60=$B14), 0), MATCH(J$3, $P$1:$X$1, 0))</f>
        <v>1518.092286608804</v>
      </c>
      <c r="K14" cm="1">
        <f t="array" ref="K14">INDEX($P$2:$X$60, MATCH(1, ($P$2:$P$60=$A14) * ($Q$2:$Q$60=$B14), 0), MATCH(K$3, $P$1:$X$1, 0))</f>
        <v>0.98502557017592729</v>
      </c>
      <c r="L14" t="b" cm="1">
        <f t="array" ref="L14">INDEX($AA$2:$AC$60, MATCH(1, ($P$2:$P$60=$A14) * ($Q$2:$Q$60=$B14), 0), MATCH(I$3, $AA$1:$AC$1, 0))</f>
        <v>1</v>
      </c>
      <c r="M14" t="b" cm="1">
        <f t="array" ref="M14">INDEX($AA$2:$AC$60, MATCH(1, ($P$2:$P$60=$A14) * ($Q$2:$Q$60=$B14), 0), MATCH(J$3, $AA$1:$AC$1, 0))</f>
        <v>1</v>
      </c>
      <c r="N14" t="b" cm="1">
        <f t="array" ref="N14">INDEX($AA$2:$AC$60, MATCH(1, ($P$2:$P$60=$A14) * ($Q$2:$Q$60=$B14), 0), MATCH(K$3, $AA$1:$AC$1, 0))</f>
        <v>0</v>
      </c>
      <c r="P14" t="s">
        <v>73</v>
      </c>
      <c r="Q14" t="s">
        <v>29</v>
      </c>
      <c r="R14">
        <f>small!M13</f>
        <v>6.8830000000000002E-3</v>
      </c>
      <c r="S14">
        <f>small!N13</f>
        <v>3.7434000000000002E-2</v>
      </c>
      <c r="T14">
        <f>small!O13</f>
        <v>2.1800000000000001E-3</v>
      </c>
      <c r="U14">
        <f>small!P13</f>
        <v>5.8710000000000004E-3</v>
      </c>
      <c r="V14">
        <f>small!U13</f>
        <v>6.3760858456821667</v>
      </c>
      <c r="W14">
        <f>small!V13</f>
        <v>0.37131664111735652</v>
      </c>
      <c r="X14">
        <f>small!W13</f>
        <v>1.172372679270993</v>
      </c>
      <c r="Y14">
        <v>2</v>
      </c>
      <c r="AA14" t="b">
        <f>small!X36</f>
        <v>1</v>
      </c>
      <c r="AB14" t="b">
        <f>small!Y36</f>
        <v>0</v>
      </c>
      <c r="AC14" t="b">
        <f>small!Z36</f>
        <v>0</v>
      </c>
    </row>
    <row r="15" spans="1:29" x14ac:dyDescent="0.2">
      <c r="A15" t="s">
        <v>77</v>
      </c>
      <c r="B15" t="s">
        <v>16</v>
      </c>
      <c r="C15" t="s">
        <v>84</v>
      </c>
      <c r="D15" cm="1">
        <f t="array" ref="D15">IF(ISBLANK(INDEX($P$2:$Y$60, MATCH(1, ($P$2:$P$60=$A15) * ($Q$2:$Q$60=$B15), 0), MATCH(D$3, $P$1:$Y$1, 0))), "-", INDEX($P$2:$Y$60, MATCH(1, ($P$2:$P$60=$A15) * ($Q$2:$Q$60=$B15), 0), MATCH(D$3, $P$1:$Y$1, 0)))</f>
        <v>22</v>
      </c>
      <c r="E15" t="e" cm="1">
        <f t="array" ref="E15">INDEX($P$2:$X$60, MATCH(1, ($P$2:$P$60=$A15) * ($Q$2:$Q$60=$B15), 0), MATCH(E$3, $P$1:$X$1, 0))</f>
        <v>#N/A</v>
      </c>
      <c r="F15" cm="1">
        <f t="array" ref="F15">INDEX($P$2:$X$60, MATCH(1, ($P$2:$P$60=$A15) * ($Q$2:$Q$60=$B15), 0), MATCH(F$3, $P$1:$X$1, 0))</f>
        <v>13.981866</v>
      </c>
      <c r="G15" cm="1">
        <f t="array" ref="G15">INDEX($P$2:$X$60, MATCH(1, ($P$2:$P$60=$A15) * ($Q$2:$Q$60=$B15), 0), MATCH(G$3, $P$1:$X$1, 0))</f>
        <v>2.044222</v>
      </c>
      <c r="H15" cm="1">
        <f t="array" ref="H15">INDEX($P$2:$X$60, MATCH(1, ($P$2:$P$60=$A15) * ($Q$2:$Q$60=$B15), 0), MATCH(H$3, $P$1:$X$1, 0))</f>
        <v>2.0521919999999998</v>
      </c>
      <c r="I15" cm="1">
        <f t="array" ref="I15">INDEX($P$2:$X$60, MATCH(1, ($P$2:$P$60=$A15) * ($Q$2:$Q$60=$B15), 0), MATCH(I$3, $P$1:$X$1, 0))</f>
        <v>6.8131373672638826</v>
      </c>
      <c r="J15" t="str" cm="1">
        <f t="array" ref="J15">INDEX($P$2:$X$60, MATCH(1, ($P$2:$P$60=$A15) * ($Q$2:$Q$60=$B15), 0), MATCH(J$3, $P$1:$X$1, 0))</f>
        <v>DNF</v>
      </c>
      <c r="K15" cm="1">
        <f t="array" ref="K15">INDEX($P$2:$X$60, MATCH(1, ($P$2:$P$60=$A15) * ($Q$2:$Q$60=$B15), 0), MATCH(K$3, $P$1:$X$1, 0))</f>
        <v>0.9961163477881213</v>
      </c>
      <c r="L15" t="b" cm="1">
        <f t="array" ref="L15">INDEX($AA$2:$AC$60, MATCH(1, ($P$2:$P$60=$A15) * ($Q$2:$Q$60=$B15), 0), MATCH(I$3, $AA$1:$AC$1, 0))</f>
        <v>1</v>
      </c>
      <c r="M15" t="b" cm="1">
        <f t="array" ref="M15">INDEX($AA$2:$AC$60, MATCH(1, ($P$2:$P$60=$A15) * ($Q$2:$Q$60=$B15), 0), MATCH(J$3, $AA$1:$AC$1, 0))</f>
        <v>1</v>
      </c>
      <c r="N15" t="b" cm="1">
        <f t="array" ref="N15">INDEX($AA$2:$AC$60, MATCH(1, ($P$2:$P$60=$A15) * ($Q$2:$Q$60=$B15), 0), MATCH(K$3, $AA$1:$AC$1, 0))</f>
        <v>0</v>
      </c>
      <c r="P15" t="s">
        <v>73</v>
      </c>
      <c r="Q15" t="s">
        <v>31</v>
      </c>
      <c r="R15">
        <f>small!M14</f>
        <v>8.8889999999999993E-3</v>
      </c>
      <c r="S15">
        <f>small!N14</f>
        <v>7.4177999999999994E-2</v>
      </c>
      <c r="T15">
        <f>small!O14</f>
        <v>3.4740000000000001E-3</v>
      </c>
      <c r="U15">
        <f>small!P14</f>
        <v>5.9810000000000002E-3</v>
      </c>
      <c r="V15">
        <f>small!U14</f>
        <v>12.402273867246278</v>
      </c>
      <c r="W15">
        <f>small!V14</f>
        <v>0.58083932452767095</v>
      </c>
      <c r="X15">
        <f>small!W14</f>
        <v>1.4862063200133755</v>
      </c>
      <c r="Y15">
        <v>5</v>
      </c>
      <c r="AA15" t="b">
        <f>small!X37</f>
        <v>1</v>
      </c>
      <c r="AB15" t="b">
        <f>small!Y37</f>
        <v>0</v>
      </c>
      <c r="AC15" t="b">
        <f>small!Z37</f>
        <v>0</v>
      </c>
    </row>
    <row r="16" spans="1:29" x14ac:dyDescent="0.2">
      <c r="A16" t="s">
        <v>73</v>
      </c>
      <c r="B16" t="s">
        <v>18</v>
      </c>
      <c r="C16" t="s">
        <v>79</v>
      </c>
      <c r="D16" cm="1">
        <f t="array" ref="D16">IF(ISBLANK(INDEX($P$2:$Y$60, MATCH(1, ($P$2:$P$60=$A16) * ($Q$2:$Q$60=$B16), 0), MATCH(D$3, $P$1:$Y$1, 0))), "", INDEX($P$2:$Y$60, MATCH(1, ($P$2:$P$60=$A16) * ($Q$2:$Q$60=$B16), 0), MATCH(D$3, $P$1:$Y$1, 0)))</f>
        <v>9</v>
      </c>
      <c r="E16" cm="1">
        <f t="array" ref="E16">INDEX($P$2:$X$60, MATCH(1, ($P$2:$P$60=$A16) * ($Q$2:$Q$60=$B16), 0), MATCH(E$3, $P$1:$X$1, 0))</f>
        <v>5.9589999999999999E-3</v>
      </c>
      <c r="F16" cm="1">
        <f t="array" ref="F16">INDEX($P$2:$X$60, MATCH(1, ($P$2:$P$60=$A16) * ($Q$2:$Q$60=$B16), 0), MATCH(F$3, $P$1:$X$1, 0))</f>
        <v>0.36768899999999999</v>
      </c>
      <c r="G16" cm="1">
        <f t="array" ref="G16">INDEX($P$2:$X$60, MATCH(1, ($P$2:$P$60=$A16) * ($Q$2:$Q$60=$B16), 0), MATCH(G$3, $P$1:$X$1, 0))</f>
        <v>3.0929000000000002E-2</v>
      </c>
      <c r="H16" cm="1">
        <f t="array" ref="H16">INDEX($P$2:$X$60, MATCH(1, ($P$2:$P$60=$A16) * ($Q$2:$Q$60=$B16), 0), MATCH(H$3, $P$1:$X$1, 0))</f>
        <v>2.8028000000000001E-2</v>
      </c>
      <c r="I16" cm="1">
        <f t="array" ref="I16">INDEX($P$2:$X$60, MATCH(1, ($P$2:$P$60=$A16) * ($Q$2:$Q$60=$B16), 0), MATCH(I$3, $P$1:$X$1, 0))</f>
        <v>13.118631368631368</v>
      </c>
      <c r="J16" cm="1">
        <f t="array" ref="J16">INDEX($P$2:$X$60, MATCH(1, ($P$2:$P$60=$A16) * ($Q$2:$Q$60=$B16), 0), MATCH(J$3, $P$1:$X$1, 0))</f>
        <v>0.21260881975167689</v>
      </c>
      <c r="K16" cm="1">
        <f t="array" ref="K16">INDEX($P$2:$X$60, MATCH(1, ($P$2:$P$60=$A16) * ($Q$2:$Q$60=$B16), 0), MATCH(K$3, $P$1:$X$1, 0))</f>
        <v>1.1035036392179249</v>
      </c>
      <c r="L16" t="b" cm="1">
        <f t="array" ref="L16">INDEX($AA$2:$AC$60, MATCH(1, ($P$2:$P$60=$A16) * ($Q$2:$Q$60=$B16), 0), MATCH(I$3, $AA$1:$AC$1, 0))</f>
        <v>1</v>
      </c>
      <c r="M16" t="b" cm="1">
        <f t="array" ref="M16">INDEX($AA$2:$AC$60, MATCH(1, ($P$2:$P$60=$A16) * ($Q$2:$Q$60=$B16), 0), MATCH(J$3, $AA$1:$AC$1, 0))</f>
        <v>1</v>
      </c>
      <c r="N16" t="b" cm="1">
        <f t="array" ref="N16">INDEX($AA$2:$AC$60, MATCH(1, ($P$2:$P$60=$A16) * ($Q$2:$Q$60=$B16), 0), MATCH(K$3, $AA$1:$AC$1, 0))</f>
        <v>0</v>
      </c>
      <c r="P16" t="s">
        <v>73</v>
      </c>
      <c r="Q16" t="s">
        <v>33</v>
      </c>
      <c r="R16">
        <f>small!M15</f>
        <v>1.4056000000000001E-2</v>
      </c>
      <c r="S16">
        <f>small!N15</f>
        <v>7.8541E-2</v>
      </c>
      <c r="T16">
        <f>small!O15</f>
        <v>2.1029999999999998E-3</v>
      </c>
      <c r="U16">
        <f>small!P15</f>
        <v>1.4345999999999999E-2</v>
      </c>
      <c r="V16">
        <f>small!U15</f>
        <v>5.4747664854314797</v>
      </c>
      <c r="W16">
        <f>small!V15</f>
        <v>0.1465913843580092</v>
      </c>
      <c r="X16">
        <f>small!W15</f>
        <v>0.97978530600864366</v>
      </c>
      <c r="Y16">
        <v>3</v>
      </c>
      <c r="AA16" t="b">
        <f>small!X38</f>
        <v>1</v>
      </c>
      <c r="AB16" t="b">
        <f>small!Y38</f>
        <v>1</v>
      </c>
      <c r="AC16" t="b">
        <f>small!Z38</f>
        <v>0</v>
      </c>
    </row>
    <row r="17" spans="1:29" x14ac:dyDescent="0.2">
      <c r="A17" t="s">
        <v>75</v>
      </c>
      <c r="B17" t="s">
        <v>18</v>
      </c>
      <c r="C17" t="s">
        <v>85</v>
      </c>
      <c r="D17" cm="1">
        <f t="array" ref="D17">IF(ISBLANK(INDEX($P$2:$Y$60, MATCH(1, ($P$2:$P$60=$A17) * ($Q$2:$Q$60=$B17), 0), MATCH(D$3, $P$1:$Y$1, 0))), "-", INDEX($P$2:$Y$60, MATCH(1, ($P$2:$P$60=$A17) * ($Q$2:$Q$60=$B17), 0), MATCH(D$3, $P$1:$Y$1, 0)))</f>
        <v>1</v>
      </c>
      <c r="E17" t="e" cm="1">
        <f t="array" ref="E17">INDEX($P$2:$X$60, MATCH(1, ($P$2:$P$60=$A17) * ($Q$2:$Q$60=$B17), 0), MATCH(E$3, $P$1:$X$1, 0))</f>
        <v>#N/A</v>
      </c>
      <c r="F17" cm="1">
        <f t="array" ref="F17">INDEX($P$2:$X$60, MATCH(1, ($P$2:$P$60=$A17) * ($Q$2:$Q$60=$B17), 0), MATCH(F$3, $P$1:$X$1, 0))</f>
        <v>7.0541000000000006E-2</v>
      </c>
      <c r="G17" cm="1">
        <f t="array" ref="G17">INDEX($P$2:$X$60, MATCH(1, ($P$2:$P$60=$A17) * ($Q$2:$Q$60=$B17), 0), MATCH(G$3, $P$1:$X$1, 0))</f>
        <v>2.3695000000000001E-2</v>
      </c>
      <c r="H17" cm="1">
        <f t="array" ref="H17">INDEX($P$2:$X$60, MATCH(1, ($P$2:$P$60=$A17) * ($Q$2:$Q$60=$B17), 0), MATCH(H$3, $P$1:$X$1, 0))</f>
        <v>1.8036E-2</v>
      </c>
      <c r="I17" cm="1">
        <f t="array" ref="I17">INDEX($P$2:$X$60, MATCH(1, ($P$2:$P$60=$A17) * ($Q$2:$Q$60=$B17), 0), MATCH(I$3, $P$1:$X$1, 0))</f>
        <v>3.911122200044356</v>
      </c>
      <c r="J17" t="str" cm="1">
        <f t="array" ref="J17">INDEX($P$2:$X$60, MATCH(1, ($P$2:$P$60=$A17) * ($Q$2:$Q$60=$B17), 0), MATCH(J$3, $P$1:$X$1, 0))</f>
        <v>DNF</v>
      </c>
      <c r="K17" cm="1">
        <f t="array" ref="K17">INDEX($P$2:$X$60, MATCH(1, ($P$2:$P$60=$A17) * ($Q$2:$Q$60=$B17), 0), MATCH(K$3, $P$1:$X$1, 0))</f>
        <v>1.3137613661565757</v>
      </c>
      <c r="L17" t="b" cm="1">
        <f t="array" ref="L17">INDEX($AA$2:$AC$60, MATCH(1, ($P$2:$P$60=$A17) * ($Q$2:$Q$60=$B17), 0), MATCH(I$3, $AA$1:$AC$1, 0))</f>
        <v>1</v>
      </c>
      <c r="M17" t="b" cm="1">
        <f t="array" ref="M17">INDEX($AA$2:$AC$60, MATCH(1, ($P$2:$P$60=$A17) * ($Q$2:$Q$60=$B17), 0), MATCH(J$3, $AA$1:$AC$1, 0))</f>
        <v>1</v>
      </c>
      <c r="N17" t="b" cm="1">
        <f t="array" ref="N17">INDEX($AA$2:$AC$60, MATCH(1, ($P$2:$P$60=$A17) * ($Q$2:$Q$60=$B17), 0), MATCH(K$3, $AA$1:$AC$1, 0))</f>
        <v>0</v>
      </c>
      <c r="P17" t="s">
        <v>73</v>
      </c>
      <c r="Q17" t="s">
        <v>35</v>
      </c>
      <c r="R17">
        <f>small!M16</f>
        <v>1.1984E-2</v>
      </c>
      <c r="S17">
        <f>small!N16</f>
        <v>6.3945000000000002E-2</v>
      </c>
      <c r="T17">
        <f>small!O16</f>
        <v>2.287E-3</v>
      </c>
      <c r="U17">
        <f>small!P16</f>
        <v>8.4650000000000003E-3</v>
      </c>
      <c r="V17">
        <f>small!U16</f>
        <v>7.5540460720614293</v>
      </c>
      <c r="W17">
        <f>small!V16</f>
        <v>0.27017129356172476</v>
      </c>
      <c r="X17">
        <f>small!W16</f>
        <v>1.415711754282339</v>
      </c>
      <c r="Y17">
        <v>5</v>
      </c>
      <c r="AA17" t="b">
        <f>small!X39</f>
        <v>1</v>
      </c>
      <c r="AB17" t="b">
        <f>small!Y39</f>
        <v>0</v>
      </c>
      <c r="AC17" t="b">
        <f>small!Z39</f>
        <v>0</v>
      </c>
    </row>
    <row r="18" spans="1:29" x14ac:dyDescent="0.2">
      <c r="A18" t="s">
        <v>77</v>
      </c>
      <c r="B18" t="s">
        <v>18</v>
      </c>
      <c r="C18" t="s">
        <v>86</v>
      </c>
      <c r="D18" cm="1">
        <f t="array" ref="D18">IF(ISBLANK(INDEX($P$2:$Y$60, MATCH(1, ($P$2:$P$60=$A18) * ($Q$2:$Q$60=$B18), 0), MATCH(D$3, $P$1:$Y$1, 0))), "-", INDEX($P$2:$Y$60, MATCH(1, ($P$2:$P$60=$A18) * ($Q$2:$Q$60=$B18), 0), MATCH(D$3, $P$1:$Y$1, 0)))</f>
        <v>1</v>
      </c>
      <c r="E18" t="e" cm="1">
        <f t="array" ref="E18">INDEX($P$2:$X$60, MATCH(1, ($P$2:$P$60=$A18) * ($Q$2:$Q$60=$B18), 0), MATCH(E$3, $P$1:$X$1, 0))</f>
        <v>#N/A</v>
      </c>
      <c r="F18" cm="1">
        <f t="array" ref="F18">INDEX($P$2:$X$60, MATCH(1, ($P$2:$P$60=$A18) * ($Q$2:$Q$60=$B18), 0), MATCH(F$3, $P$1:$X$1, 0))</f>
        <v>6.2295000000000003E-2</v>
      </c>
      <c r="G18" cm="1">
        <f t="array" ref="G18">INDEX($P$2:$X$60, MATCH(1, ($P$2:$P$60=$A18) * ($Q$2:$Q$60=$B18), 0), MATCH(G$3, $P$1:$X$1, 0))</f>
        <v>2.5248E-2</v>
      </c>
      <c r="H18" cm="1">
        <f t="array" ref="H18">INDEX($P$2:$X$60, MATCH(1, ($P$2:$P$60=$A18) * ($Q$2:$Q$60=$B18), 0), MATCH(H$3, $P$1:$X$1, 0))</f>
        <v>1.9688000000000001E-2</v>
      </c>
      <c r="I18" cm="1">
        <f t="array" ref="I18">INDEX($P$2:$X$60, MATCH(1, ($P$2:$P$60=$A18) * ($Q$2:$Q$60=$B18), 0), MATCH(I$3, $P$1:$X$1, 0))</f>
        <v>3.1641101178382773</v>
      </c>
      <c r="J18" t="str" cm="1">
        <f t="array" ref="J18">INDEX($P$2:$X$60, MATCH(1, ($P$2:$P$60=$A18) * ($Q$2:$Q$60=$B18), 0), MATCH(J$3, $P$1:$X$1, 0))</f>
        <v>DNF</v>
      </c>
      <c r="K18" cm="1">
        <f t="array" ref="K18">INDEX($P$2:$X$60, MATCH(1, ($P$2:$P$60=$A18) * ($Q$2:$Q$60=$B18), 0), MATCH(K$3, $P$1:$X$1, 0))</f>
        <v>1.2824055262088581</v>
      </c>
      <c r="L18" t="b" cm="1">
        <f t="array" ref="L18">INDEX($AA$2:$AC$60, MATCH(1, ($P$2:$P$60=$A18) * ($Q$2:$Q$60=$B18), 0), MATCH(I$3, $AA$1:$AC$1, 0))</f>
        <v>1</v>
      </c>
      <c r="M18" t="b" cm="1">
        <f t="array" ref="M18">INDEX($AA$2:$AC$60, MATCH(1, ($P$2:$P$60=$A18) * ($Q$2:$Q$60=$B18), 0), MATCH(J$3, $AA$1:$AC$1, 0))</f>
        <v>1</v>
      </c>
      <c r="N18" t="b" cm="1">
        <f t="array" ref="N18">INDEX($AA$2:$AC$60, MATCH(1, ($P$2:$P$60=$A18) * ($Q$2:$Q$60=$B18), 0), MATCH(K$3, $AA$1:$AC$1, 0))</f>
        <v>0</v>
      </c>
      <c r="P18" t="s">
        <v>73</v>
      </c>
      <c r="Q18" t="s">
        <v>37</v>
      </c>
      <c r="R18">
        <f>small!M17</f>
        <v>8.9650000000000007E-3</v>
      </c>
      <c r="S18">
        <f>small!N17</f>
        <v>3.0089000000000001E-2</v>
      </c>
      <c r="T18">
        <f>small!O17</f>
        <v>9.2900000000000003E-4</v>
      </c>
      <c r="U18">
        <f>small!P17</f>
        <v>4.2230000000000002E-3</v>
      </c>
      <c r="V18">
        <f>small!U17</f>
        <v>7.1250295998105608</v>
      </c>
      <c r="W18">
        <f>small!V17</f>
        <v>0.21998579209093061</v>
      </c>
      <c r="X18">
        <f>small!W17</f>
        <v>2.1228984134501538</v>
      </c>
      <c r="Y18">
        <v>2</v>
      </c>
      <c r="AA18" t="b">
        <f>small!X40</f>
        <v>1</v>
      </c>
      <c r="AB18" t="b">
        <f>small!Y40</f>
        <v>0</v>
      </c>
      <c r="AC18" t="b">
        <f>small!Z40</f>
        <v>0</v>
      </c>
    </row>
    <row r="19" spans="1:29" x14ac:dyDescent="0.2">
      <c r="A19" t="s">
        <v>73</v>
      </c>
      <c r="B19" t="s">
        <v>20</v>
      </c>
      <c r="C19" t="s">
        <v>74</v>
      </c>
      <c r="D19" cm="1">
        <f t="array" ref="D19">IF(ISBLANK(INDEX($P$2:$Y$60, MATCH(1, ($P$2:$P$60=$A19) * ($Q$2:$Q$60=$B19), 0), MATCH(D$3, $P$1:$Y$1, 0))), "", INDEX($P$2:$Y$60, MATCH(1, ($P$2:$P$60=$A19) * ($Q$2:$Q$60=$B19), 0), MATCH(D$3, $P$1:$Y$1, 0)))</f>
        <v>3</v>
      </c>
      <c r="E19" cm="1">
        <f t="array" ref="E19">INDEX($P$2:$X$60, MATCH(1, ($P$2:$P$60=$A19) * ($Q$2:$Q$60=$B19), 0), MATCH(E$3, $P$1:$X$1, 0))</f>
        <v>2.3890000000000001E-3</v>
      </c>
      <c r="F19" cm="1">
        <f t="array" ref="F19">INDEX($P$2:$X$60, MATCH(1, ($P$2:$P$60=$A19) * ($Q$2:$Q$60=$B19), 0), MATCH(F$3, $P$1:$X$1, 0))</f>
        <v>6.7365999999999995E-2</v>
      </c>
      <c r="G19" cm="1">
        <f t="array" ref="G19">INDEX($P$2:$X$60, MATCH(1, ($P$2:$P$60=$A19) * ($Q$2:$Q$60=$B19), 0), MATCH(G$3, $P$1:$X$1, 0))</f>
        <v>9.8840000000000004E-3</v>
      </c>
      <c r="H19" cm="1">
        <f t="array" ref="H19">INDEX($P$2:$X$60, MATCH(1, ($P$2:$P$60=$A19) * ($Q$2:$Q$60=$B19), 0), MATCH(H$3, $P$1:$X$1, 0))</f>
        <v>1.0655E-2</v>
      </c>
      <c r="I19" cm="1">
        <f t="array" ref="I19">INDEX($P$2:$X$60, MATCH(1, ($P$2:$P$60=$A19) * ($Q$2:$Q$60=$B19), 0), MATCH(I$3, $P$1:$X$1, 0))</f>
        <v>6.3224777099953071</v>
      </c>
      <c r="J19" cm="1">
        <f t="array" ref="J19">INDEX($P$2:$X$60, MATCH(1, ($P$2:$P$60=$A19) * ($Q$2:$Q$60=$B19), 0), MATCH(J$3, $P$1:$X$1, 0))</f>
        <v>0.22421398404504927</v>
      </c>
      <c r="K19" cm="1">
        <f t="array" ref="K19">INDEX($P$2:$X$60, MATCH(1, ($P$2:$P$60=$A19) * ($Q$2:$Q$60=$B19), 0), MATCH(K$3, $P$1:$X$1, 0))</f>
        <v>0.92763960581886451</v>
      </c>
      <c r="L19" t="b" cm="1">
        <f t="array" ref="L19">INDEX($AA$2:$AC$60, MATCH(1, ($P$2:$P$60=$A19) * ($Q$2:$Q$60=$B19), 0), MATCH(I$3, $AA$1:$AC$1, 0))</f>
        <v>1</v>
      </c>
      <c r="M19" t="b" cm="1">
        <f t="array" ref="M19">INDEX($AA$2:$AC$60, MATCH(1, ($P$2:$P$60=$A19) * ($Q$2:$Q$60=$B19), 0), MATCH(J$3, $AA$1:$AC$1, 0))</f>
        <v>0</v>
      </c>
      <c r="N19" t="b" cm="1">
        <f t="array" ref="N19">INDEX($AA$2:$AC$60, MATCH(1, ($P$2:$P$60=$A19) * ($Q$2:$Q$60=$B19), 0), MATCH(K$3, $AA$1:$AC$1, 0))</f>
        <v>0</v>
      </c>
      <c r="P19" t="s">
        <v>73</v>
      </c>
      <c r="Q19" t="s">
        <v>39</v>
      </c>
      <c r="R19">
        <f>small!M18</f>
        <v>1.2345E-2</v>
      </c>
      <c r="S19">
        <f>small!N18</f>
        <v>0.14585999999999999</v>
      </c>
      <c r="T19">
        <f>small!O18</f>
        <v>2.2160000000000001E-3</v>
      </c>
      <c r="U19">
        <f>small!P18</f>
        <v>7.6759999999999997E-3</v>
      </c>
      <c r="V19">
        <f>small!U18</f>
        <v>19.002084418968213</v>
      </c>
      <c r="W19">
        <f>small!V18</f>
        <v>0.28869202709744662</v>
      </c>
      <c r="X19">
        <f>small!W18</f>
        <v>1.6082595101615424</v>
      </c>
      <c r="Y19">
        <v>7</v>
      </c>
      <c r="AA19" t="b">
        <f>small!X41</f>
        <v>1</v>
      </c>
      <c r="AB19" t="b">
        <f>small!Y41</f>
        <v>1</v>
      </c>
      <c r="AC19" t="b">
        <f>small!Z41</f>
        <v>0</v>
      </c>
    </row>
    <row r="20" spans="1:29" x14ac:dyDescent="0.2">
      <c r="A20" t="s">
        <v>75</v>
      </c>
      <c r="B20" t="s">
        <v>20</v>
      </c>
      <c r="C20" t="s">
        <v>81</v>
      </c>
      <c r="D20" cm="1">
        <f t="array" ref="D20">IF(ISBLANK(INDEX($P$2:$Y$60, MATCH(1, ($P$2:$P$60=$A20) * ($Q$2:$Q$60=$B20), 0), MATCH(D$3, $P$1:$Y$1, 0))), "-", INDEX($P$2:$Y$60, MATCH(1, ($P$2:$P$60=$A20) * ($Q$2:$Q$60=$B20), 0), MATCH(D$3, $P$1:$Y$1, 0)))</f>
        <v>3</v>
      </c>
      <c r="E20" cm="1">
        <f t="array" ref="E20">INDEX($P$2:$X$60, MATCH(1, ($P$2:$P$60=$A20) * ($Q$2:$Q$60=$B20), 0), MATCH(E$3, $P$1:$X$1, 0))</f>
        <v>14.768091</v>
      </c>
      <c r="F20" cm="1">
        <f t="array" ref="F20">INDEX($P$2:$X$60, MATCH(1, ($P$2:$P$60=$A20) * ($Q$2:$Q$60=$B20), 0), MATCH(F$3, $P$1:$X$1, 0))</f>
        <v>0.76612599999999997</v>
      </c>
      <c r="G20" cm="1">
        <f t="array" ref="G20">INDEX($P$2:$X$60, MATCH(1, ($P$2:$P$60=$A20) * ($Q$2:$Q$60=$B20), 0), MATCH(G$3, $P$1:$X$1, 0))</f>
        <v>0.30250899999999997</v>
      </c>
      <c r="H20" cm="1">
        <f t="array" ref="H20">INDEX($P$2:$X$60, MATCH(1, ($P$2:$P$60=$A20) * ($Q$2:$Q$60=$B20), 0), MATCH(H$3, $P$1:$X$1, 0))</f>
        <v>0.29150100000000001</v>
      </c>
      <c r="I20" cm="1">
        <f t="array" ref="I20">INDEX($P$2:$X$60, MATCH(1, ($P$2:$P$60=$A20) * ($Q$2:$Q$60=$B20), 0), MATCH(I$3, $P$1:$X$1, 0))</f>
        <v>2.628210537871225</v>
      </c>
      <c r="J20" cm="1">
        <f t="array" ref="J20">INDEX($P$2:$X$60, MATCH(1, ($P$2:$P$60=$A20) * ($Q$2:$Q$60=$B20), 0), MATCH(J$3, $P$1:$X$1, 0))</f>
        <v>50.66223100435333</v>
      </c>
      <c r="K20" cm="1">
        <f t="array" ref="K20">INDEX($P$2:$X$60, MATCH(1, ($P$2:$P$60=$A20) * ($Q$2:$Q$60=$B20), 0), MATCH(K$3, $P$1:$X$1, 0))</f>
        <v>1.0377631637627314</v>
      </c>
      <c r="L20" t="b" cm="1">
        <f t="array" ref="L20">INDEX($AA$2:$AC$60, MATCH(1, ($P$2:$P$60=$A20) * ($Q$2:$Q$60=$B20), 0), MATCH(I$3, $AA$1:$AC$1, 0))</f>
        <v>1</v>
      </c>
      <c r="M20" t="b" cm="1">
        <f t="array" ref="M20">INDEX($AA$2:$AC$60, MATCH(1, ($P$2:$P$60=$A20) * ($Q$2:$Q$60=$B20), 0), MATCH(J$3, $AA$1:$AC$1, 0))</f>
        <v>1</v>
      </c>
      <c r="N20" t="b" cm="1">
        <f t="array" ref="N20">INDEX($AA$2:$AC$60, MATCH(1, ($P$2:$P$60=$A20) * ($Q$2:$Q$60=$B20), 0), MATCH(K$3, $AA$1:$AC$1, 0))</f>
        <v>0</v>
      </c>
    </row>
    <row r="21" spans="1:29" x14ac:dyDescent="0.2">
      <c r="A21" t="s">
        <v>77</v>
      </c>
      <c r="B21" t="s">
        <v>20</v>
      </c>
      <c r="C21" t="s">
        <v>87</v>
      </c>
      <c r="D21" cm="1">
        <f t="array" ref="D21">IF(ISBLANK(INDEX($P$2:$Y$60, MATCH(1, ($P$2:$P$60=$A21) * ($Q$2:$Q$60=$B21), 0), MATCH(D$3, $P$1:$Y$1, 0))), "-", INDEX($P$2:$Y$60, MATCH(1, ($P$2:$P$60=$A21) * ($Q$2:$Q$60=$B21), 0), MATCH(D$3, $P$1:$Y$1, 0)))</f>
        <v>3</v>
      </c>
      <c r="E21" cm="1">
        <f t="array" ref="E21">INDEX($P$2:$X$60, MATCH(1, ($P$2:$P$60=$A21) * ($Q$2:$Q$60=$B21), 0), MATCH(E$3, $P$1:$X$1, 0))</f>
        <v>33.901957000000003</v>
      </c>
      <c r="F21" cm="1">
        <f t="array" ref="F21">INDEX($P$2:$X$60, MATCH(1, ($P$2:$P$60=$A21) * ($Q$2:$Q$60=$B21), 0), MATCH(F$3, $P$1:$X$1, 0))</f>
        <v>0.91816200000000003</v>
      </c>
      <c r="G21" cm="1">
        <f t="array" ref="G21">INDEX($P$2:$X$60, MATCH(1, ($P$2:$P$60=$A21) * ($Q$2:$Q$60=$B21), 0), MATCH(G$3, $P$1:$X$1, 0))</f>
        <v>0.73938199999999998</v>
      </c>
      <c r="H21" cm="1">
        <f t="array" ref="H21">INDEX($P$2:$X$60, MATCH(1, ($P$2:$P$60=$A21) * ($Q$2:$Q$60=$B21), 0), MATCH(H$3, $P$1:$X$1, 0))</f>
        <v>0.69452899999999995</v>
      </c>
      <c r="I21" cm="1">
        <f t="array" ref="I21">INDEX($P$2:$X$60, MATCH(1, ($P$2:$P$60=$A21) * ($Q$2:$Q$60=$B21), 0), MATCH(I$3, $P$1:$X$1, 0))</f>
        <v>1.3219923142158212</v>
      </c>
      <c r="J21" cm="1">
        <f t="array" ref="J21">INDEX($P$2:$X$60, MATCH(1, ($P$2:$P$60=$A21) * ($Q$2:$Q$60=$B21), 0), MATCH(J$3, $P$1:$X$1, 0))</f>
        <v>48.812874624385742</v>
      </c>
      <c r="K21" cm="1">
        <f t="array" ref="K21">INDEX($P$2:$X$60, MATCH(1, ($P$2:$P$60=$A21) * ($Q$2:$Q$60=$B21), 0), MATCH(K$3, $P$1:$X$1, 0))</f>
        <v>1.0645804566835944</v>
      </c>
      <c r="L21" t="b" cm="1">
        <f t="array" ref="L21">INDEX($AA$2:$AC$60, MATCH(1, ($P$2:$P$60=$A21) * ($Q$2:$Q$60=$B21), 0), MATCH(I$3, $AA$1:$AC$1, 0))</f>
        <v>0</v>
      </c>
      <c r="M21" t="b" cm="1">
        <f t="array" ref="M21">INDEX($AA$2:$AC$60, MATCH(1, ($P$2:$P$60=$A21) * ($Q$2:$Q$60=$B21), 0), MATCH(J$3, $AA$1:$AC$1, 0))</f>
        <v>1</v>
      </c>
      <c r="N21" t="b" cm="1">
        <f t="array" ref="N21">INDEX($AA$2:$AC$60, MATCH(1, ($P$2:$P$60=$A21) * ($Q$2:$Q$60=$B21), 0), MATCH(K$3, $AA$1:$AC$1, 0))</f>
        <v>0</v>
      </c>
    </row>
    <row r="22" spans="1:29" x14ac:dyDescent="0.2">
      <c r="A22" t="s">
        <v>73</v>
      </c>
      <c r="B22" t="s">
        <v>22</v>
      </c>
      <c r="C22" t="s">
        <v>74</v>
      </c>
      <c r="D22" cm="1">
        <f t="array" ref="D22">IF(ISBLANK(INDEX($P$2:$Y$60, MATCH(1, ($P$2:$P$60=$A22) * ($Q$2:$Q$60=$B22), 0), MATCH(D$3, $P$1:$Y$1, 0))), "", INDEX($P$2:$Y$60, MATCH(1, ($P$2:$P$60=$A22) * ($Q$2:$Q$60=$B22), 0), MATCH(D$3, $P$1:$Y$1, 0)))</f>
        <v>5</v>
      </c>
      <c r="E22" cm="1">
        <f t="array" ref="E22">INDEX($P$2:$X$60, MATCH(1, ($P$2:$P$60=$A22) * ($Q$2:$Q$60=$B22), 0), MATCH(E$3, $P$1:$X$1, 0))</f>
        <v>2.454E-3</v>
      </c>
      <c r="F22" cm="1">
        <f t="array" ref="F22">INDEX($P$2:$X$60, MATCH(1, ($P$2:$P$60=$A22) * ($Q$2:$Q$60=$B22), 0), MATCH(F$3, $P$1:$X$1, 0))</f>
        <v>0.15540200000000001</v>
      </c>
      <c r="G22" cm="1">
        <f t="array" ref="G22">INDEX($P$2:$X$60, MATCH(1, ($P$2:$P$60=$A22) * ($Q$2:$Q$60=$B22), 0), MATCH(G$3, $P$1:$X$1, 0))</f>
        <v>2.6327E-2</v>
      </c>
      <c r="H22" cm="1">
        <f t="array" ref="H22">INDEX($P$2:$X$60, MATCH(1, ($P$2:$P$60=$A22) * ($Q$2:$Q$60=$B22), 0), MATCH(H$3, $P$1:$X$1, 0))</f>
        <v>2.0951999999999998E-2</v>
      </c>
      <c r="I22" cm="1">
        <f t="array" ref="I22">INDEX($P$2:$X$60, MATCH(1, ($P$2:$P$60=$A22) * ($Q$2:$Q$60=$B22), 0), MATCH(I$3, $P$1:$X$1, 0))</f>
        <v>7.4170484917907613</v>
      </c>
      <c r="J22" cm="1">
        <f t="array" ref="J22">INDEX($P$2:$X$60, MATCH(1, ($P$2:$P$60=$A22) * ($Q$2:$Q$60=$B22), 0), MATCH(J$3, $P$1:$X$1, 0))</f>
        <v>0.11712485681557848</v>
      </c>
      <c r="K22" cm="1">
        <f t="array" ref="K22">INDEX($P$2:$X$60, MATCH(1, ($P$2:$P$60=$A22) * ($Q$2:$Q$60=$B22), 0), MATCH(K$3, $P$1:$X$1, 0))</f>
        <v>1.2565387552500955</v>
      </c>
      <c r="L22" t="b" cm="1">
        <f t="array" ref="L22">INDEX($AA$2:$AC$60, MATCH(1, ($P$2:$P$60=$A22) * ($Q$2:$Q$60=$B22), 0), MATCH(I$3, $AA$1:$AC$1, 0))</f>
        <v>1</v>
      </c>
      <c r="M22" t="b" cm="1">
        <f t="array" ref="M22">INDEX($AA$2:$AC$60, MATCH(1, ($P$2:$P$60=$A22) * ($Q$2:$Q$60=$B22), 0), MATCH(J$3, $AA$1:$AC$1, 0))</f>
        <v>1</v>
      </c>
      <c r="N22" t="b" cm="1">
        <f t="array" ref="N22">INDEX($AA$2:$AC$60, MATCH(1, ($P$2:$P$60=$A22) * ($Q$2:$Q$60=$B22), 0), MATCH(K$3, $AA$1:$AC$1, 0))</f>
        <v>0</v>
      </c>
    </row>
    <row r="23" spans="1:29" x14ac:dyDescent="0.2">
      <c r="A23" t="s">
        <v>75</v>
      </c>
      <c r="B23" t="s">
        <v>22</v>
      </c>
      <c r="C23" t="s">
        <v>83</v>
      </c>
      <c r="D23" cm="1">
        <f t="array" ref="D23">IF(ISBLANK(INDEX($P$2:$Y$60, MATCH(1, ($P$2:$P$60=$A23) * ($Q$2:$Q$60=$B23), 0), MATCH(D$3, $P$1:$Y$1, 0))), "-", INDEX($P$2:$Y$60, MATCH(1, ($P$2:$P$60=$A23) * ($Q$2:$Q$60=$B23), 0), MATCH(D$3, $P$1:$Y$1, 0)))</f>
        <v>11</v>
      </c>
      <c r="E23" t="e" cm="1">
        <f t="array" ref="E23">INDEX($P$2:$X$60, MATCH(1, ($P$2:$P$60=$A23) * ($Q$2:$Q$60=$B23), 0), MATCH(E$3, $P$1:$X$1, 0))</f>
        <v>#N/A</v>
      </c>
      <c r="F23" cm="1">
        <f t="array" ref="F23">INDEX($P$2:$X$60, MATCH(1, ($P$2:$P$60=$A23) * ($Q$2:$Q$60=$B23), 0), MATCH(F$3, $P$1:$X$1, 0))</f>
        <v>5.7134239999999998</v>
      </c>
      <c r="G23" cm="1">
        <f t="array" ref="G23">INDEX($P$2:$X$60, MATCH(1, ($P$2:$P$60=$A23) * ($Q$2:$Q$60=$B23), 0), MATCH(G$3, $P$1:$X$1, 0))</f>
        <v>1.110039</v>
      </c>
      <c r="H23" cm="1">
        <f t="array" ref="H23">INDEX($P$2:$X$60, MATCH(1, ($P$2:$P$60=$A23) * ($Q$2:$Q$60=$B23), 0), MATCH(H$3, $P$1:$X$1, 0))</f>
        <v>1.0586629999999999</v>
      </c>
      <c r="I23" cm="1">
        <f t="array" ref="I23">INDEX($P$2:$X$60, MATCH(1, ($P$2:$P$60=$A23) * ($Q$2:$Q$60=$B23), 0), MATCH(I$3, $P$1:$X$1, 0))</f>
        <v>5.3968297749142078</v>
      </c>
      <c r="J23" t="str" cm="1">
        <f t="array" ref="J23">INDEX($P$2:$X$60, MATCH(1, ($P$2:$P$60=$A23) * ($Q$2:$Q$60=$B23), 0), MATCH(J$3, $P$1:$X$1, 0))</f>
        <v>DNF</v>
      </c>
      <c r="K23" cm="1">
        <f t="array" ref="K23">INDEX($P$2:$X$60, MATCH(1, ($P$2:$P$60=$A23) * ($Q$2:$Q$60=$B23), 0), MATCH(K$3, $P$1:$X$1, 0))</f>
        <v>1.048529135333907</v>
      </c>
      <c r="L23" t="b" cm="1">
        <f t="array" ref="L23">INDEX($AA$2:$AC$60, MATCH(1, ($P$2:$P$60=$A23) * ($Q$2:$Q$60=$B23), 0), MATCH(I$3, $AA$1:$AC$1, 0))</f>
        <v>1</v>
      </c>
      <c r="M23" t="b" cm="1">
        <f t="array" ref="M23">INDEX($AA$2:$AC$60, MATCH(1, ($P$2:$P$60=$A23) * ($Q$2:$Q$60=$B23), 0), MATCH(J$3, $AA$1:$AC$1, 0))</f>
        <v>1</v>
      </c>
      <c r="N23" t="b" cm="1">
        <f t="array" ref="N23">INDEX($AA$2:$AC$60, MATCH(1, ($P$2:$P$60=$A23) * ($Q$2:$Q$60=$B23), 0), MATCH(K$3, $AA$1:$AC$1, 0))</f>
        <v>0</v>
      </c>
      <c r="P23" t="s">
        <v>12</v>
      </c>
    </row>
    <row r="24" spans="1:29" x14ac:dyDescent="0.2">
      <c r="A24" t="s">
        <v>77</v>
      </c>
      <c r="B24" t="s">
        <v>22</v>
      </c>
      <c r="C24" t="s">
        <v>76</v>
      </c>
      <c r="D24" cm="1">
        <f t="array" ref="D24">IF(ISBLANK(INDEX($P$2:$Y$60, MATCH(1, ($P$2:$P$60=$A24) * ($Q$2:$Q$60=$B24), 0), MATCH(D$3, $P$1:$Y$1, 0))), "-", INDEX($P$2:$Y$60, MATCH(1, ($P$2:$P$60=$A24) * ($Q$2:$Q$60=$B24), 0), MATCH(D$3, $P$1:$Y$1, 0)))</f>
        <v>14</v>
      </c>
      <c r="E24" t="e" cm="1">
        <f t="array" ref="E24">INDEX($P$2:$X$60, MATCH(1, ($P$2:$P$60=$A24) * ($Q$2:$Q$60=$B24), 0), MATCH(E$3, $P$1:$X$1, 0))</f>
        <v>#N/A</v>
      </c>
      <c r="F24" cm="1">
        <f t="array" ref="F24">INDEX($P$2:$X$60, MATCH(1, ($P$2:$P$60=$A24) * ($Q$2:$Q$60=$B24), 0), MATCH(F$3, $P$1:$X$1, 0))</f>
        <v>280.45619499999998</v>
      </c>
      <c r="G24" cm="1">
        <f t="array" ref="G24">INDEX($P$2:$X$60, MATCH(1, ($P$2:$P$60=$A24) * ($Q$2:$Q$60=$B24), 0), MATCH(G$3, $P$1:$X$1, 0))</f>
        <v>28.579007000000001</v>
      </c>
      <c r="H24" cm="1">
        <f t="array" ref="H24">INDEX($P$2:$X$60, MATCH(1, ($P$2:$P$60=$A24) * ($Q$2:$Q$60=$B24), 0), MATCH(H$3, $P$1:$X$1, 0))</f>
        <v>28.561720000000001</v>
      </c>
      <c r="I24" cm="1">
        <f t="array" ref="I24">INDEX($P$2:$X$60, MATCH(1, ($P$2:$P$60=$A24) * ($Q$2:$Q$60=$B24), 0), MATCH(I$3, $P$1:$X$1, 0))</f>
        <v>9.8193034243035768</v>
      </c>
      <c r="J24" t="str" cm="1">
        <f t="array" ref="J24">INDEX($P$2:$X$60, MATCH(1, ($P$2:$P$60=$A24) * ($Q$2:$Q$60=$B24), 0), MATCH(J$3, $P$1:$X$1, 0))</f>
        <v>DNF</v>
      </c>
      <c r="K24" cm="1">
        <f t="array" ref="K24">INDEX($P$2:$X$60, MATCH(1, ($P$2:$P$60=$A24) * ($Q$2:$Q$60=$B24), 0), MATCH(K$3, $P$1:$X$1, 0))</f>
        <v>1.0006052506641756</v>
      </c>
      <c r="L24" t="b" cm="1">
        <f t="array" ref="L24">INDEX($AA$2:$AC$60, MATCH(1, ($P$2:$P$60=$A24) * ($Q$2:$Q$60=$B24), 0), MATCH(I$3, $AA$1:$AC$1, 0))</f>
        <v>1</v>
      </c>
      <c r="M24" t="b" cm="1">
        <f t="array" ref="M24">INDEX($AA$2:$AC$60, MATCH(1, ($P$2:$P$60=$A24) * ($Q$2:$Q$60=$B24), 0), MATCH(J$3, $AA$1:$AC$1, 0))</f>
        <v>1</v>
      </c>
      <c r="N24" t="b" cm="1">
        <f t="array" ref="N24">INDEX($AA$2:$AC$60, MATCH(1, ($P$2:$P$60=$A24) * ($Q$2:$Q$60=$B24), 0), MATCH(K$3, $AA$1:$AC$1, 0))</f>
        <v>0</v>
      </c>
      <c r="P24" t="s">
        <v>75</v>
      </c>
      <c r="Q24" t="s">
        <v>8</v>
      </c>
      <c r="R24">
        <f>medium!M3</f>
        <v>0.219246</v>
      </c>
      <c r="S24">
        <f>medium!N3</f>
        <v>0.43465300000000001</v>
      </c>
      <c r="T24">
        <f>medium!O3</f>
        <v>3.4401489999999999</v>
      </c>
      <c r="U24">
        <f>medium!P3</f>
        <v>0.23339399999999999</v>
      </c>
      <c r="V24">
        <f>medium!U3</f>
        <v>1.8623143696924516</v>
      </c>
      <c r="W24">
        <f>medium!V3</f>
        <v>14.739663401801247</v>
      </c>
      <c r="X24">
        <f>medium!W3</f>
        <v>0.93938147510218772</v>
      </c>
      <c r="Y24">
        <v>15</v>
      </c>
      <c r="AA24" t="b">
        <f>medium!X26</f>
        <v>1</v>
      </c>
      <c r="AB24" t="b">
        <f>medium!Y26</f>
        <v>1</v>
      </c>
      <c r="AC24" t="b">
        <f>medium!Z26</f>
        <v>0</v>
      </c>
    </row>
    <row r="25" spans="1:29" x14ac:dyDescent="0.2">
      <c r="A25" t="s">
        <v>73</v>
      </c>
      <c r="B25" t="s">
        <v>58</v>
      </c>
      <c r="C25" t="s">
        <v>74</v>
      </c>
      <c r="D25" cm="1">
        <f t="array" ref="D25">IF(ISBLANK(INDEX($P$2:$Y$60, MATCH(1, ($P$2:$P$60=$A25) * ($Q$2:$Q$60=$B25), 0), MATCH(D$3, $P$1:$Y$1, 0))), "", INDEX($P$2:$Y$60, MATCH(1, ($P$2:$P$60=$A25) * ($Q$2:$Q$60=$B25), 0), MATCH(D$3, $P$1:$Y$1, 0)))</f>
        <v>3</v>
      </c>
      <c r="E25" cm="1">
        <f t="array" ref="E25">INDEX($P$2:$X$60, MATCH(1, ($P$2:$P$60=$A25) * ($Q$2:$Q$60=$B25), 0), MATCH(E$3, $P$1:$X$1, 0))</f>
        <v>2.0929999999999998E-3</v>
      </c>
      <c r="F25" cm="1">
        <f t="array" ref="F25">INDEX($P$2:$X$60, MATCH(1, ($P$2:$P$60=$A25) * ($Q$2:$Q$60=$B25), 0), MATCH(F$3, $P$1:$X$1, 0))</f>
        <v>4.5449000000000003E-2</v>
      </c>
      <c r="G25" cm="1">
        <f t="array" ref="G25">INDEX($P$2:$X$60, MATCH(1, ($P$2:$P$60=$A25) * ($Q$2:$Q$60=$B25), 0), MATCH(G$3, $P$1:$X$1, 0))</f>
        <v>7.1630000000000001E-3</v>
      </c>
      <c r="H25" cm="1">
        <f t="array" ref="H25">INDEX($P$2:$X$60, MATCH(1, ($P$2:$P$60=$A25) * ($Q$2:$Q$60=$B25), 0), MATCH(H$3, $P$1:$X$1, 0))</f>
        <v>4.6569999999999997E-3</v>
      </c>
      <c r="I25" cm="1">
        <f t="array" ref="I25">INDEX($P$2:$X$60, MATCH(1, ($P$2:$P$60=$A25) * ($Q$2:$Q$60=$B25), 0), MATCH(I$3, $P$1:$X$1, 0))</f>
        <v>9.7592870946961572</v>
      </c>
      <c r="J25" cm="1">
        <f t="array" ref="J25">INDEX($P$2:$X$60, MATCH(1, ($P$2:$P$60=$A25) * ($Q$2:$Q$60=$B25), 0), MATCH(J$3, $P$1:$X$1, 0))</f>
        <v>0.44943096414000427</v>
      </c>
      <c r="K25" cm="1">
        <f t="array" ref="K25">INDEX($P$2:$X$60, MATCH(1, ($P$2:$P$60=$A25) * ($Q$2:$Q$60=$B25), 0), MATCH(K$3, $P$1:$X$1, 0))</f>
        <v>1.5381146660940521</v>
      </c>
      <c r="L25" t="b" cm="1">
        <f t="array" ref="L25">INDEX($AA$2:$AC$60, MATCH(1, ($P$2:$P$60=$A25) * ($Q$2:$Q$60=$B25), 0), MATCH(I$3, $AA$1:$AC$1, 0))</f>
        <v>1</v>
      </c>
      <c r="M25" t="b" cm="1">
        <f t="array" ref="M25">INDEX($AA$2:$AC$60, MATCH(1, ($P$2:$P$60=$A25) * ($Q$2:$Q$60=$B25), 0), MATCH(J$3, $AA$1:$AC$1, 0))</f>
        <v>0</v>
      </c>
      <c r="N25" t="b" cm="1">
        <f t="array" ref="N25">INDEX($AA$2:$AC$60, MATCH(1, ($P$2:$P$60=$A25) * ($Q$2:$Q$60=$B25), 0), MATCH(K$3, $AA$1:$AC$1, 0))</f>
        <v>0</v>
      </c>
      <c r="P25" t="s">
        <v>75</v>
      </c>
      <c r="Q25" t="s">
        <v>11</v>
      </c>
      <c r="R25">
        <f>medium!M4</f>
        <v>1.9036999999999998E-2</v>
      </c>
      <c r="S25">
        <f>medium!N4</f>
        <v>9.0839000000000003E-2</v>
      </c>
      <c r="T25">
        <f>medium!O4</f>
        <v>3.4955729999999998</v>
      </c>
      <c r="U25">
        <f>medium!P4</f>
        <v>1.8297000000000001E-2</v>
      </c>
      <c r="V25">
        <f>medium!U4</f>
        <v>4.9646936656282454</v>
      </c>
      <c r="W25">
        <f>medium!V4</f>
        <v>191.04623708804721</v>
      </c>
      <c r="X25">
        <f>medium!W4</f>
        <v>1.0404437885992237</v>
      </c>
      <c r="Y25">
        <v>4</v>
      </c>
      <c r="AA25" t="b">
        <f>medium!X27</f>
        <v>1</v>
      </c>
      <c r="AB25" t="b">
        <f>medium!Y27</f>
        <v>1</v>
      </c>
      <c r="AC25" t="b">
        <f>medium!Z27</f>
        <v>0</v>
      </c>
    </row>
    <row r="26" spans="1:29" x14ac:dyDescent="0.2">
      <c r="A26" t="s">
        <v>75</v>
      </c>
      <c r="B26" t="s">
        <v>58</v>
      </c>
      <c r="C26" t="s">
        <v>88</v>
      </c>
      <c r="D26" cm="1">
        <f t="array" ref="D26">IF(ISBLANK(INDEX($P$2:$Y$60, MATCH(1, ($P$2:$P$60=$A26) * ($Q$2:$Q$60=$B26), 0), MATCH(D$3, $P$1:$Y$1, 0))), "-", INDEX($P$2:$Y$60, MATCH(1, ($P$2:$P$60=$A26) * ($Q$2:$Q$60=$B26), 0), MATCH(D$3, $P$1:$Y$1, 0)))</f>
        <v>3</v>
      </c>
      <c r="E26" cm="1">
        <f t="array" ref="E26">INDEX($P$2:$X$60, MATCH(1, ($P$2:$P$60=$A26) * ($Q$2:$Q$60=$B26), 0), MATCH(E$3, $P$1:$X$1, 0))</f>
        <v>18.281358000000001</v>
      </c>
      <c r="F26" cm="1">
        <f t="array" ref="F26">INDEX($P$2:$X$60, MATCH(1, ($P$2:$P$60=$A26) * ($Q$2:$Q$60=$B26), 0), MATCH(F$3, $P$1:$X$1, 0))</f>
        <v>6.3964999999999994E-2</v>
      </c>
      <c r="G26" cm="1">
        <f t="array" ref="G26">INDEX($P$2:$X$60, MATCH(1, ($P$2:$P$60=$A26) * ($Q$2:$Q$60=$B26), 0), MATCH(G$3, $P$1:$X$1, 0))</f>
        <v>7.6810000000000003E-3</v>
      </c>
      <c r="H26" cm="1">
        <f t="array" ref="H26">INDEX($P$2:$X$60, MATCH(1, ($P$2:$P$60=$A26) * ($Q$2:$Q$60=$B26), 0), MATCH(H$3, $P$1:$X$1, 0))</f>
        <v>8.1679999999999999E-3</v>
      </c>
      <c r="I26" cm="1">
        <f t="array" ref="I26">INDEX($P$2:$X$60, MATCH(1, ($P$2:$P$60=$A26) * ($Q$2:$Q$60=$B26), 0), MATCH(I$3, $P$1:$X$1, 0))</f>
        <v>7.8311704211557291</v>
      </c>
      <c r="J26" cm="1">
        <f t="array" ref="J26">INDEX($P$2:$X$60, MATCH(1, ($P$2:$P$60=$A26) * ($Q$2:$Q$60=$B26), 0), MATCH(J$3, $P$1:$X$1, 0))</f>
        <v>2238.1682174338885</v>
      </c>
      <c r="K26" cm="1">
        <f t="array" ref="K26">INDEX($P$2:$X$60, MATCH(1, ($P$2:$P$60=$A26) * ($Q$2:$Q$60=$B26), 0), MATCH(K$3, $P$1:$X$1, 0))</f>
        <v>0.94037708129285025</v>
      </c>
      <c r="L26" t="b" cm="1">
        <f t="array" ref="L26">INDEX($AA$2:$AC$60, MATCH(1, ($P$2:$P$60=$A26) * ($Q$2:$Q$60=$B26), 0), MATCH(I$3, $AA$1:$AC$1, 0))</f>
        <v>1</v>
      </c>
      <c r="M26" t="b" cm="1">
        <f t="array" ref="M26">INDEX($AA$2:$AC$60, MATCH(1, ($P$2:$P$60=$A26) * ($Q$2:$Q$60=$B26), 0), MATCH(J$3, $AA$1:$AC$1, 0))</f>
        <v>1</v>
      </c>
      <c r="N26" t="b" cm="1">
        <f t="array" ref="N26">INDEX($AA$2:$AC$60, MATCH(1, ($P$2:$P$60=$A26) * ($Q$2:$Q$60=$B26), 0), MATCH(K$3, $AA$1:$AC$1, 0))</f>
        <v>0</v>
      </c>
      <c r="P26" t="s">
        <v>75</v>
      </c>
      <c r="Q26" t="s">
        <v>14</v>
      </c>
      <c r="R26">
        <f>medium!M5</f>
        <v>4.8621999999999999E-2</v>
      </c>
      <c r="S26">
        <f>medium!N5</f>
        <v>0.18498500000000001</v>
      </c>
      <c r="T26">
        <f>medium!O5</f>
        <v>19.845801999999999</v>
      </c>
      <c r="U26">
        <f>medium!P5</f>
        <v>4.5088000000000003E-2</v>
      </c>
      <c r="V26">
        <f>medium!U5</f>
        <v>4.1027546132008519</v>
      </c>
      <c r="W26">
        <f>medium!V5</f>
        <v>440.15707061745911</v>
      </c>
      <c r="X26">
        <f>medium!W5</f>
        <v>1.0783800567778565</v>
      </c>
      <c r="Y26">
        <v>3</v>
      </c>
      <c r="AA26" t="b">
        <f>medium!X28</f>
        <v>1</v>
      </c>
      <c r="AB26" t="b">
        <f>medium!Y28</f>
        <v>1</v>
      </c>
      <c r="AC26" t="b">
        <f>medium!Z28</f>
        <v>0</v>
      </c>
    </row>
    <row r="27" spans="1:29" x14ac:dyDescent="0.2">
      <c r="A27" t="s">
        <v>77</v>
      </c>
      <c r="B27" t="s">
        <v>58</v>
      </c>
      <c r="C27" t="s">
        <v>89</v>
      </c>
      <c r="D27" cm="1">
        <f t="array" ref="D27">IF(ISBLANK(INDEX($P$2:$Y$60, MATCH(1, ($P$2:$P$60=$A27) * ($Q$2:$Q$60=$B27), 0), MATCH(D$3, $P$1:$Y$1, 0))), "-", INDEX($P$2:$Y$60, MATCH(1, ($P$2:$P$60=$A27) * ($Q$2:$Q$60=$B27), 0), MATCH(D$3, $P$1:$Y$1, 0)))</f>
        <v>5</v>
      </c>
      <c r="E27" cm="1">
        <f t="array" ref="E27">INDEX($P$2:$X$60, MATCH(1, ($P$2:$P$60=$A27) * ($Q$2:$Q$60=$B27), 0), MATCH(E$3, $P$1:$X$1, 0))</f>
        <v>210.90549999999999</v>
      </c>
      <c r="F27" cm="1">
        <f t="array" ref="F27">INDEX($P$2:$X$60, MATCH(1, ($P$2:$P$60=$A27) * ($Q$2:$Q$60=$B27), 0), MATCH(F$3, $P$1:$X$1, 0))</f>
        <v>0.120628</v>
      </c>
      <c r="G27" cm="1">
        <f t="array" ref="G27">INDEX($P$2:$X$60, MATCH(1, ($P$2:$P$60=$A27) * ($Q$2:$Q$60=$B27), 0), MATCH(G$3, $P$1:$X$1, 0))</f>
        <v>1.1264E-2</v>
      </c>
      <c r="H27" cm="1">
        <f t="array" ref="H27">INDEX($P$2:$X$60, MATCH(1, ($P$2:$P$60=$A27) * ($Q$2:$Q$60=$B27), 0), MATCH(H$3, $P$1:$X$1, 0))</f>
        <v>1.0271000000000001E-2</v>
      </c>
      <c r="I27" cm="1">
        <f t="array" ref="I27">INDEX($P$2:$X$60, MATCH(1, ($P$2:$P$60=$A27) * ($Q$2:$Q$60=$B27), 0), MATCH(I$3, $P$1:$X$1, 0))</f>
        <v>11.744523415441533</v>
      </c>
      <c r="J27" cm="1">
        <f t="array" ref="J27">INDEX($P$2:$X$60, MATCH(1, ($P$2:$P$60=$A27) * ($Q$2:$Q$60=$B27), 0), MATCH(J$3, $P$1:$X$1, 0))</f>
        <v>20534.076526141562</v>
      </c>
      <c r="K27" cm="1">
        <f t="array" ref="K27">INDEX($P$2:$X$60, MATCH(1, ($P$2:$P$60=$A27) * ($Q$2:$Q$60=$B27), 0), MATCH(K$3, $P$1:$X$1, 0))</f>
        <v>1.096679972738779</v>
      </c>
      <c r="L27" t="b" cm="1">
        <f t="array" ref="L27">INDEX($AA$2:$AC$60, MATCH(1, ($P$2:$P$60=$A27) * ($Q$2:$Q$60=$B27), 0), MATCH(I$3, $AA$1:$AC$1, 0))</f>
        <v>1</v>
      </c>
      <c r="M27" t="b" cm="1">
        <f t="array" ref="M27">INDEX($AA$2:$AC$60, MATCH(1, ($P$2:$P$60=$A27) * ($Q$2:$Q$60=$B27), 0), MATCH(J$3, $AA$1:$AC$1, 0))</f>
        <v>1</v>
      </c>
      <c r="N27" t="b" cm="1">
        <f t="array" ref="N27">INDEX($AA$2:$AC$60, MATCH(1, ($P$2:$P$60=$A27) * ($Q$2:$Q$60=$B27), 0), MATCH(K$3, $AA$1:$AC$1, 0))</f>
        <v>0</v>
      </c>
      <c r="P27" t="s">
        <v>75</v>
      </c>
      <c r="Q27" t="s">
        <v>16</v>
      </c>
      <c r="R27">
        <f>medium!M6</f>
        <v>8.8409000000000001E-2</v>
      </c>
      <c r="S27">
        <f>medium!N6</f>
        <v>0.56551700000000005</v>
      </c>
      <c r="T27">
        <f>medium!O6</f>
        <v>136.25333699999999</v>
      </c>
      <c r="U27">
        <f>medium!P6</f>
        <v>8.9752999999999999E-2</v>
      </c>
      <c r="V27">
        <f>medium!U6</f>
        <v>6.3008144574554619</v>
      </c>
      <c r="W27">
        <f>medium!V6</f>
        <v>1518.092286608804</v>
      </c>
      <c r="X27">
        <f>medium!W6</f>
        <v>0.98502557017592729</v>
      </c>
      <c r="Y27">
        <v>5</v>
      </c>
      <c r="AA27" t="b">
        <f>medium!X29</f>
        <v>1</v>
      </c>
      <c r="AB27" t="b">
        <f>medium!Y29</f>
        <v>1</v>
      </c>
      <c r="AC27" t="b">
        <f>medium!Z29</f>
        <v>0</v>
      </c>
    </row>
    <row r="28" spans="1:29" x14ac:dyDescent="0.2">
      <c r="A28" t="s">
        <v>73</v>
      </c>
      <c r="B28" t="s">
        <v>25</v>
      </c>
      <c r="C28" t="s">
        <v>74</v>
      </c>
      <c r="D28" cm="1">
        <f t="array" ref="D28">IF(ISBLANK(INDEX($P$2:$Y$60, MATCH(1, ($P$2:$P$60=$A28) * ($Q$2:$Q$60=$B28), 0), MATCH(D$3, $P$1:$Y$1, 0))), "", INDEX($P$2:$Y$60, MATCH(1, ($P$2:$P$60=$A28) * ($Q$2:$Q$60=$B28), 0), MATCH(D$3, $P$1:$Y$1, 0)))</f>
        <v>17</v>
      </c>
      <c r="E28" cm="1">
        <f t="array" ref="E28">INDEX($P$2:$X$60, MATCH(1, ($P$2:$P$60=$A28) * ($Q$2:$Q$60=$B28), 0), MATCH(E$3, $P$1:$X$1, 0))</f>
        <v>2.4810000000000001E-3</v>
      </c>
      <c r="F28" cm="1">
        <f t="array" ref="F28">INDEX($P$2:$X$60, MATCH(1, ($P$2:$P$60=$A28) * ($Q$2:$Q$60=$B28), 0), MATCH(F$3, $P$1:$X$1, 0))</f>
        <v>0.29497800000000002</v>
      </c>
      <c r="G28" cm="1">
        <f t="array" ref="G28">INDEX($P$2:$X$60, MATCH(1, ($P$2:$P$60=$A28) * ($Q$2:$Q$60=$B28), 0), MATCH(G$3, $P$1:$X$1, 0))</f>
        <v>1.1209999999999999E-2</v>
      </c>
      <c r="H28" cm="1">
        <f t="array" ref="H28">INDEX($P$2:$X$60, MATCH(1, ($P$2:$P$60=$A28) * ($Q$2:$Q$60=$B28), 0), MATCH(H$3, $P$1:$X$1, 0))</f>
        <v>9.5390000000000006E-3</v>
      </c>
      <c r="I28" cm="1">
        <f t="array" ref="I28">INDEX($P$2:$X$60, MATCH(1, ($P$2:$P$60=$A28) * ($Q$2:$Q$60=$B28), 0), MATCH(I$3, $P$1:$X$1, 0))</f>
        <v>30.923367229269317</v>
      </c>
      <c r="J28" cm="1">
        <f t="array" ref="J28">INDEX($P$2:$X$60, MATCH(1, ($P$2:$P$60=$A28) * ($Q$2:$Q$60=$B28), 0), MATCH(J$3, $P$1:$X$1, 0))</f>
        <v>0.26009015620085962</v>
      </c>
      <c r="K28" cm="1">
        <f t="array" ref="K28">INDEX($P$2:$X$60, MATCH(1, ($P$2:$P$60=$A28) * ($Q$2:$Q$60=$B28), 0), MATCH(K$3, $P$1:$X$1, 0))</f>
        <v>1.1751755949260927</v>
      </c>
      <c r="L28" t="b" cm="1">
        <f t="array" ref="L28">INDEX($AA$2:$AC$60, MATCH(1, ($P$2:$P$60=$A28) * ($Q$2:$Q$60=$B28), 0), MATCH(I$3, $AA$1:$AC$1, 0))</f>
        <v>1</v>
      </c>
      <c r="M28" t="b" cm="1">
        <f t="array" ref="M28">INDEX($AA$2:$AC$60, MATCH(1, ($P$2:$P$60=$A28) * ($Q$2:$Q$60=$B28), 0), MATCH(J$3, $AA$1:$AC$1, 0))</f>
        <v>0</v>
      </c>
      <c r="N28" t="b" cm="1">
        <f t="array" ref="N28">INDEX($AA$2:$AC$60, MATCH(1, ($P$2:$P$60=$A28) * ($Q$2:$Q$60=$B28), 0), MATCH(K$3, $AA$1:$AC$1, 0))</f>
        <v>0</v>
      </c>
      <c r="P28" t="s">
        <v>75</v>
      </c>
      <c r="Q28" t="s">
        <v>18</v>
      </c>
      <c r="R28">
        <f>medium!M7</f>
        <v>2.3695000000000001E-2</v>
      </c>
      <c r="S28">
        <f>medium!N7</f>
        <v>7.0541000000000006E-2</v>
      </c>
      <c r="T28" t="e">
        <f>medium!O7</f>
        <v>#N/A</v>
      </c>
      <c r="U28">
        <f>medium!P7</f>
        <v>1.8036E-2</v>
      </c>
      <c r="V28">
        <f>medium!U7</f>
        <v>3.911122200044356</v>
      </c>
      <c r="W28" t="str">
        <f>medium!V7</f>
        <v>DNF</v>
      </c>
      <c r="X28">
        <f>medium!W7</f>
        <v>1.3137613661565757</v>
      </c>
      <c r="Y28">
        <v>1</v>
      </c>
      <c r="AA28" t="b">
        <f>medium!X30</f>
        <v>1</v>
      </c>
      <c r="AB28" t="b">
        <f>medium!Y30</f>
        <v>1</v>
      </c>
      <c r="AC28" t="b">
        <f>medium!Z30</f>
        <v>0</v>
      </c>
    </row>
    <row r="29" spans="1:29" x14ac:dyDescent="0.2">
      <c r="A29" t="s">
        <v>75</v>
      </c>
      <c r="B29" t="s">
        <v>25</v>
      </c>
      <c r="C29" t="s">
        <v>81</v>
      </c>
      <c r="D29" t="str" cm="1">
        <f t="array" ref="D29">IF(ISBLANK(INDEX($P$2:$Y$60, MATCH(1, ($P$2:$P$60=$A29) * ($Q$2:$Q$60=$B29), 0), MATCH(D$3, $P$1:$Y$1, 0))), "-", INDEX($P$2:$Y$60, MATCH(1, ($P$2:$P$60=$A29) * ($Q$2:$Q$60=$B29), 0), MATCH(D$3, $P$1:$Y$1, 0)))</f>
        <v>-</v>
      </c>
      <c r="E29" t="e" cm="1">
        <f t="array" ref="E29">INDEX($P$2:$X$60, MATCH(1, ($P$2:$P$60=$A29) * ($Q$2:$Q$60=$B29), 0), MATCH(E$3, $P$1:$X$1, 0))</f>
        <v>#N/A</v>
      </c>
      <c r="F29" t="e" cm="1">
        <f t="array" ref="F29">INDEX($P$2:$X$60, MATCH(1, ($P$2:$P$60=$A29) * ($Q$2:$Q$60=$B29), 0), MATCH(F$3, $P$1:$X$1, 0))</f>
        <v>#N/A</v>
      </c>
      <c r="G29" cm="1">
        <f t="array" ref="G29">INDEX($P$2:$X$60, MATCH(1, ($P$2:$P$60=$A29) * ($Q$2:$Q$60=$B29), 0), MATCH(G$3, $P$1:$X$1, 0))</f>
        <v>182.74462199999999</v>
      </c>
      <c r="H29" cm="1">
        <f t="array" ref="H29">INDEX($P$2:$X$60, MATCH(1, ($P$2:$P$60=$A29) * ($Q$2:$Q$60=$B29), 0), MATCH(H$3, $P$1:$X$1, 0))</f>
        <v>183.95971299999999</v>
      </c>
      <c r="I29" t="str" cm="1">
        <f t="array" ref="I29">INDEX($P$2:$X$60, MATCH(1, ($P$2:$P$60=$A29) * ($Q$2:$Q$60=$B29), 0), MATCH(I$3, $P$1:$X$1, 0))</f>
        <v>DNF</v>
      </c>
      <c r="J29" t="str" cm="1">
        <f t="array" ref="J29">INDEX($P$2:$X$60, MATCH(1, ($P$2:$P$60=$A29) * ($Q$2:$Q$60=$B29), 0), MATCH(J$3, $P$1:$X$1, 0))</f>
        <v>DNF</v>
      </c>
      <c r="K29" cm="1">
        <f t="array" ref="K29">INDEX($P$2:$X$60, MATCH(1, ($P$2:$P$60=$A29) * ($Q$2:$Q$60=$B29), 0), MATCH(K$3, $P$1:$X$1, 0))</f>
        <v>0.99339479834913635</v>
      </c>
      <c r="L29" t="b" cm="1">
        <f t="array" ref="L29">INDEX($AA$2:$AC$60, MATCH(1, ($P$2:$P$60=$A29) * ($Q$2:$Q$60=$B29), 0), MATCH(I$3, $AA$1:$AC$1, 0))</f>
        <v>1</v>
      </c>
      <c r="M29" t="b" cm="1">
        <f t="array" ref="M29">INDEX($AA$2:$AC$60, MATCH(1, ($P$2:$P$60=$A29) * ($Q$2:$Q$60=$B29), 0), MATCH(J$3, $AA$1:$AC$1, 0))</f>
        <v>1</v>
      </c>
      <c r="N29" t="b" cm="1">
        <f t="array" ref="N29">INDEX($AA$2:$AC$60, MATCH(1, ($P$2:$P$60=$A29) * ($Q$2:$Q$60=$B29), 0), MATCH(K$3, $AA$1:$AC$1, 0))</f>
        <v>0</v>
      </c>
      <c r="P29" t="s">
        <v>75</v>
      </c>
      <c r="Q29" t="s">
        <v>20</v>
      </c>
      <c r="R29">
        <f>medium!M8</f>
        <v>0.30250899999999997</v>
      </c>
      <c r="S29">
        <f>medium!N8</f>
        <v>0.76612599999999997</v>
      </c>
      <c r="T29">
        <f>medium!O8</f>
        <v>14.768091</v>
      </c>
      <c r="U29">
        <f>medium!P8</f>
        <v>0.29150100000000001</v>
      </c>
      <c r="V29">
        <f>medium!U8</f>
        <v>2.628210537871225</v>
      </c>
      <c r="W29">
        <f>medium!V8</f>
        <v>50.66223100435333</v>
      </c>
      <c r="X29">
        <f>medium!W8</f>
        <v>1.0377631637627314</v>
      </c>
      <c r="Y29">
        <v>3</v>
      </c>
      <c r="AA29" t="b">
        <f>medium!X31</f>
        <v>1</v>
      </c>
      <c r="AB29" t="b">
        <f>medium!Y31</f>
        <v>1</v>
      </c>
      <c r="AC29" t="b">
        <f>medium!Z31</f>
        <v>0</v>
      </c>
    </row>
    <row r="30" spans="1:29" x14ac:dyDescent="0.2">
      <c r="A30" t="s">
        <v>77</v>
      </c>
      <c r="B30" t="s">
        <v>25</v>
      </c>
      <c r="C30" t="s">
        <v>83</v>
      </c>
      <c r="D30" t="str" cm="1">
        <f t="array" ref="D30">IF(ISBLANK(INDEX($P$2:$Y$60, MATCH(1, ($P$2:$P$60=$A30) * ($Q$2:$Q$60=$B30), 0), MATCH(D$3, $P$1:$Y$1, 0))), "-", INDEX($P$2:$Y$60, MATCH(1, ($P$2:$P$60=$A30) * ($Q$2:$Q$60=$B30), 0), MATCH(D$3, $P$1:$Y$1, 0)))</f>
        <v>-</v>
      </c>
      <c r="E30" t="e" cm="1">
        <f t="array" ref="E30">INDEX($P$2:$X$60, MATCH(1, ($P$2:$P$60=$A30) * ($Q$2:$Q$60=$B30), 0), MATCH(E$3, $P$1:$X$1, 0))</f>
        <v>#N/A</v>
      </c>
      <c r="F30" t="e" cm="1">
        <f t="array" ref="F30">INDEX($P$2:$X$60, MATCH(1, ($P$2:$P$60=$A30) * ($Q$2:$Q$60=$B30), 0), MATCH(F$3, $P$1:$X$1, 0))</f>
        <v>#N/A</v>
      </c>
      <c r="G30" cm="1">
        <f t="array" ref="G30">INDEX($P$2:$X$60, MATCH(1, ($P$2:$P$60=$A30) * ($Q$2:$Q$60=$B30), 0), MATCH(G$3, $P$1:$X$1, 0))</f>
        <v>447.75497200000001</v>
      </c>
      <c r="H30" cm="1">
        <f t="array" ref="H30">INDEX($P$2:$X$60, MATCH(1, ($P$2:$P$60=$A30) * ($Q$2:$Q$60=$B30), 0), MATCH(H$3, $P$1:$X$1, 0))</f>
        <v>442.861581</v>
      </c>
      <c r="I30" t="str" cm="1">
        <f t="array" ref="I30">INDEX($P$2:$X$60, MATCH(1, ($P$2:$P$60=$A30) * ($Q$2:$Q$60=$B30), 0), MATCH(I$3, $P$1:$X$1, 0))</f>
        <v>DNF</v>
      </c>
      <c r="J30" t="str" cm="1">
        <f t="array" ref="J30">INDEX($P$2:$X$60, MATCH(1, ($P$2:$P$60=$A30) * ($Q$2:$Q$60=$B30), 0), MATCH(J$3, $P$1:$X$1, 0))</f>
        <v>DNF</v>
      </c>
      <c r="K30" cm="1">
        <f t="array" ref="K30">INDEX($P$2:$X$60, MATCH(1, ($P$2:$P$60=$A30) * ($Q$2:$Q$60=$B30), 0), MATCH(K$3, $P$1:$X$1, 0))</f>
        <v>1.0110494818470153</v>
      </c>
      <c r="L30" t="b" cm="1">
        <f t="array" ref="L30">INDEX($AA$2:$AC$60, MATCH(1, ($P$2:$P$60=$A30) * ($Q$2:$Q$60=$B30), 0), MATCH(I$3, $AA$1:$AC$1, 0))</f>
        <v>1</v>
      </c>
      <c r="M30" t="b" cm="1">
        <f t="array" ref="M30">INDEX($AA$2:$AC$60, MATCH(1, ($P$2:$P$60=$A30) * ($Q$2:$Q$60=$B30), 0), MATCH(J$3, $AA$1:$AC$1, 0))</f>
        <v>1</v>
      </c>
      <c r="N30" t="b" cm="1">
        <f t="array" ref="N30">INDEX($AA$2:$AC$60, MATCH(1, ($P$2:$P$60=$A30) * ($Q$2:$Q$60=$B30), 0), MATCH(K$3, $AA$1:$AC$1, 0))</f>
        <v>0</v>
      </c>
      <c r="P30" t="s">
        <v>75</v>
      </c>
      <c r="Q30" t="s">
        <v>22</v>
      </c>
      <c r="R30">
        <f>medium!M9</f>
        <v>1.110039</v>
      </c>
      <c r="S30">
        <f>medium!N9</f>
        <v>5.7134239999999998</v>
      </c>
      <c r="T30" t="e">
        <f>medium!O9</f>
        <v>#N/A</v>
      </c>
      <c r="U30">
        <f>medium!P9</f>
        <v>1.0586629999999999</v>
      </c>
      <c r="V30">
        <f>medium!U9</f>
        <v>5.3968297749142078</v>
      </c>
      <c r="W30" t="str">
        <f>medium!V9</f>
        <v>DNF</v>
      </c>
      <c r="X30">
        <f>medium!W9</f>
        <v>1.048529135333907</v>
      </c>
      <c r="Y30">
        <v>11</v>
      </c>
      <c r="AA30" t="b">
        <f>medium!X32</f>
        <v>1</v>
      </c>
      <c r="AB30" t="b">
        <f>medium!Y32</f>
        <v>1</v>
      </c>
      <c r="AC30" t="b">
        <f>medium!Z32</f>
        <v>0</v>
      </c>
    </row>
    <row r="31" spans="1:29" x14ac:dyDescent="0.2">
      <c r="A31" t="s">
        <v>73</v>
      </c>
      <c r="B31" t="s">
        <v>27</v>
      </c>
      <c r="C31" t="s">
        <v>79</v>
      </c>
      <c r="D31" cm="1">
        <f t="array" ref="D31">IF(ISBLANK(INDEX($P$2:$Y$60, MATCH(1, ($P$2:$P$60=$A31) * ($Q$2:$Q$60=$B31), 0), MATCH(D$3, $P$1:$Y$1, 0))), "", INDEX($P$2:$Y$60, MATCH(1, ($P$2:$P$60=$A31) * ($Q$2:$Q$60=$B31), 0), MATCH(D$3, $P$1:$Y$1, 0)))</f>
        <v>3</v>
      </c>
      <c r="E31" cm="1">
        <f t="array" ref="E31">INDEX($P$2:$X$60, MATCH(1, ($P$2:$P$60=$A31) * ($Q$2:$Q$60=$B31), 0), MATCH(E$3, $P$1:$X$1, 0))</f>
        <v>2.1250000000000002E-3</v>
      </c>
      <c r="F31" cm="1">
        <f t="array" ref="F31">INDEX($P$2:$X$60, MATCH(1, ($P$2:$P$60=$A31) * ($Q$2:$Q$60=$B31), 0), MATCH(F$3, $P$1:$X$1, 0))</f>
        <v>7.1494000000000002E-2</v>
      </c>
      <c r="G31" cm="1">
        <f t="array" ref="G31">INDEX($P$2:$X$60, MATCH(1, ($P$2:$P$60=$A31) * ($Q$2:$Q$60=$B31), 0), MATCH(G$3, $P$1:$X$1, 0))</f>
        <v>1.7599E-2</v>
      </c>
      <c r="H31" cm="1">
        <f t="array" ref="H31">INDEX($P$2:$X$60, MATCH(1, ($P$2:$P$60=$A31) * ($Q$2:$Q$60=$B31), 0), MATCH(H$3, $P$1:$X$1, 0))</f>
        <v>1.2775999999999999E-2</v>
      </c>
      <c r="I31" cm="1">
        <f t="array" ref="I31">INDEX($P$2:$X$60, MATCH(1, ($P$2:$P$60=$A31) * ($Q$2:$Q$60=$B31), 0), MATCH(I$3, $P$1:$X$1, 0))</f>
        <v>5.5959611772072639</v>
      </c>
      <c r="J31" cm="1">
        <f t="array" ref="J31">INDEX($P$2:$X$60, MATCH(1, ($P$2:$P$60=$A31) * ($Q$2:$Q$60=$B31), 0), MATCH(J$3, $P$1:$X$1, 0))</f>
        <v>0.16632748904195369</v>
      </c>
      <c r="K31" cm="1">
        <f t="array" ref="K31">INDEX($P$2:$X$60, MATCH(1, ($P$2:$P$60=$A31) * ($Q$2:$Q$60=$B31), 0), MATCH(K$3, $P$1:$X$1, 0))</f>
        <v>1.377504696305573</v>
      </c>
      <c r="L31" t="b" cm="1">
        <f t="array" ref="L31">INDEX($AA$2:$AC$60, MATCH(1, ($P$2:$P$60=$A31) * ($Q$2:$Q$60=$B31), 0), MATCH(I$3, $AA$1:$AC$1, 0))</f>
        <v>1</v>
      </c>
      <c r="M31" t="b" cm="1">
        <f t="array" ref="M31">INDEX($AA$2:$AC$60, MATCH(1, ($P$2:$P$60=$A31) * ($Q$2:$Q$60=$B31), 0), MATCH(J$3, $AA$1:$AC$1, 0))</f>
        <v>1</v>
      </c>
      <c r="N31" t="b" cm="1">
        <f t="array" ref="N31">INDEX($AA$2:$AC$60, MATCH(1, ($P$2:$P$60=$A31) * ($Q$2:$Q$60=$B31), 0), MATCH(K$3, $AA$1:$AC$1, 0))</f>
        <v>0</v>
      </c>
      <c r="P31" t="s">
        <v>75</v>
      </c>
      <c r="Q31" t="s">
        <v>58</v>
      </c>
      <c r="R31">
        <f>medium!M10</f>
        <v>7.6810000000000003E-3</v>
      </c>
      <c r="S31">
        <f>medium!N10</f>
        <v>6.3964999999999994E-2</v>
      </c>
      <c r="T31">
        <f>medium!O10</f>
        <v>18.281358000000001</v>
      </c>
      <c r="U31">
        <f>medium!P10</f>
        <v>8.1679999999999999E-3</v>
      </c>
      <c r="V31">
        <f>medium!U10</f>
        <v>7.8311704211557291</v>
      </c>
      <c r="W31">
        <f>medium!V10</f>
        <v>2238.1682174338885</v>
      </c>
      <c r="X31">
        <f>medium!W10</f>
        <v>0.94037708129285025</v>
      </c>
      <c r="Y31">
        <v>3</v>
      </c>
      <c r="AA31" t="b">
        <f>medium!X33</f>
        <v>1</v>
      </c>
      <c r="AB31" t="b">
        <f>medium!Y33</f>
        <v>1</v>
      </c>
      <c r="AC31" t="b">
        <f>medium!Z33</f>
        <v>0</v>
      </c>
    </row>
    <row r="32" spans="1:29" x14ac:dyDescent="0.2">
      <c r="A32" t="s">
        <v>75</v>
      </c>
      <c r="B32" t="s">
        <v>27</v>
      </c>
      <c r="C32" t="s">
        <v>89</v>
      </c>
      <c r="D32" cm="1">
        <f t="array" ref="D32">IF(ISBLANK(INDEX($P$2:$Y$60, MATCH(1, ($P$2:$P$60=$A32) * ($Q$2:$Q$60=$B32), 0), MATCH(D$3, $P$1:$Y$1, 0))), "-", INDEX($P$2:$Y$60, MATCH(1, ($P$2:$P$60=$A32) * ($Q$2:$Q$60=$B32), 0), MATCH(D$3, $P$1:$Y$1, 0)))</f>
        <v>16</v>
      </c>
      <c r="E32" t="e" cm="1">
        <f t="array" ref="E32">INDEX($P$2:$X$60, MATCH(1, ($P$2:$P$60=$A32) * ($Q$2:$Q$60=$B32), 0), MATCH(E$3, $P$1:$X$1, 0))</f>
        <v>#N/A</v>
      </c>
      <c r="F32" cm="1">
        <f t="array" ref="F32">INDEX($P$2:$X$60, MATCH(1, ($P$2:$P$60=$A32) * ($Q$2:$Q$60=$B32), 0), MATCH(F$3, $P$1:$X$1, 0))</f>
        <v>0.82805499999999999</v>
      </c>
      <c r="G32" cm="1">
        <f t="array" ref="G32">INDEX($P$2:$X$60, MATCH(1, ($P$2:$P$60=$A32) * ($Q$2:$Q$60=$B32), 0), MATCH(G$3, $P$1:$X$1, 0))</f>
        <v>5.5432000000000002E-2</v>
      </c>
      <c r="H32" cm="1">
        <f t="array" ref="H32">INDEX($P$2:$X$60, MATCH(1, ($P$2:$P$60=$A32) * ($Q$2:$Q$60=$B32), 0), MATCH(H$3, $P$1:$X$1, 0))</f>
        <v>5.3027999999999999E-2</v>
      </c>
      <c r="I32" cm="1">
        <f t="array" ref="I32">INDEX($P$2:$X$60, MATCH(1, ($P$2:$P$60=$A32) * ($Q$2:$Q$60=$B32), 0), MATCH(I$3, $P$1:$X$1, 0))</f>
        <v>15.615429584370521</v>
      </c>
      <c r="J32" t="str" cm="1">
        <f t="array" ref="J32">INDEX($P$2:$X$60, MATCH(1, ($P$2:$P$60=$A32) * ($Q$2:$Q$60=$B32), 0), MATCH(J$3, $P$1:$X$1, 0))</f>
        <v>DNF</v>
      </c>
      <c r="K32" cm="1">
        <f t="array" ref="K32">INDEX($P$2:$X$60, MATCH(1, ($P$2:$P$60=$A32) * ($Q$2:$Q$60=$B32), 0), MATCH(K$3, $P$1:$X$1, 0))</f>
        <v>1.0453345402428906</v>
      </c>
      <c r="L32" t="b" cm="1">
        <f t="array" ref="L32">INDEX($AA$2:$AC$60, MATCH(1, ($P$2:$P$60=$A32) * ($Q$2:$Q$60=$B32), 0), MATCH(I$3, $AA$1:$AC$1, 0))</f>
        <v>1</v>
      </c>
      <c r="M32" t="b" cm="1">
        <f t="array" ref="M32">INDEX($AA$2:$AC$60, MATCH(1, ($P$2:$P$60=$A32) * ($Q$2:$Q$60=$B32), 0), MATCH(J$3, $AA$1:$AC$1, 0))</f>
        <v>1</v>
      </c>
      <c r="N32" t="b" cm="1">
        <f t="array" ref="N32">INDEX($AA$2:$AC$60, MATCH(1, ($P$2:$P$60=$A32) * ($Q$2:$Q$60=$B32), 0), MATCH(K$3, $AA$1:$AC$1, 0))</f>
        <v>0</v>
      </c>
      <c r="P32" t="s">
        <v>75</v>
      </c>
      <c r="Q32" t="s">
        <v>25</v>
      </c>
      <c r="R32">
        <f>medium!M11</f>
        <v>182.74462199999999</v>
      </c>
      <c r="S32" t="e">
        <f>medium!N11</f>
        <v>#N/A</v>
      </c>
      <c r="T32" t="e">
        <f>medium!O11</f>
        <v>#N/A</v>
      </c>
      <c r="U32">
        <f>medium!P11</f>
        <v>183.95971299999999</v>
      </c>
      <c r="V32" t="str">
        <f>medium!U11</f>
        <v>DNF</v>
      </c>
      <c r="W32" t="str">
        <f>medium!V11</f>
        <v>DNF</v>
      </c>
      <c r="X32">
        <f>medium!W11</f>
        <v>0.99339479834913635</v>
      </c>
      <c r="AA32" t="b">
        <f>medium!X34</f>
        <v>1</v>
      </c>
      <c r="AB32" t="b">
        <f>medium!Y34</f>
        <v>1</v>
      </c>
      <c r="AC32" t="b">
        <f>medium!Z34</f>
        <v>0</v>
      </c>
    </row>
    <row r="33" spans="1:29" x14ac:dyDescent="0.2">
      <c r="A33" t="s">
        <v>77</v>
      </c>
      <c r="B33" t="s">
        <v>27</v>
      </c>
      <c r="C33" t="s">
        <v>85</v>
      </c>
      <c r="D33" t="str" cm="1">
        <f t="array" ref="D33">IF(ISBLANK(INDEX($P$2:$Y$60, MATCH(1, ($P$2:$P$60=$A33) * ($Q$2:$Q$60=$B33), 0), MATCH(D$3, $P$1:$Y$1, 0))), "-", INDEX($P$2:$Y$60, MATCH(1, ($P$2:$P$60=$A33) * ($Q$2:$Q$60=$B33), 0), MATCH(D$3, $P$1:$Y$1, 0)))</f>
        <v>-</v>
      </c>
      <c r="E33" t="e" cm="1">
        <f t="array" ref="E33">INDEX($P$2:$X$60, MATCH(1, ($P$2:$P$60=$A33) * ($Q$2:$Q$60=$B33), 0), MATCH(E$3, $P$1:$X$1, 0))</f>
        <v>#N/A</v>
      </c>
      <c r="F33" t="e" cm="1">
        <f t="array" ref="F33">INDEX($P$2:$X$60, MATCH(1, ($P$2:$P$60=$A33) * ($Q$2:$Q$60=$B33), 0), MATCH(F$3, $P$1:$X$1, 0))</f>
        <v>#N/A</v>
      </c>
      <c r="G33" cm="1">
        <f t="array" ref="G33">INDEX($P$2:$X$60, MATCH(1, ($P$2:$P$60=$A33) * ($Q$2:$Q$60=$B33), 0), MATCH(G$3, $P$1:$X$1, 0))</f>
        <v>0.47815000000000002</v>
      </c>
      <c r="H33" cm="1">
        <f t="array" ref="H33">INDEX($P$2:$X$60, MATCH(1, ($P$2:$P$60=$A33) * ($Q$2:$Q$60=$B33), 0), MATCH(H$3, $P$1:$X$1, 0))</f>
        <v>0.477072</v>
      </c>
      <c r="I33" t="str" cm="1">
        <f t="array" ref="I33">INDEX($P$2:$X$60, MATCH(1, ($P$2:$P$60=$A33) * ($Q$2:$Q$60=$B33), 0), MATCH(I$3, $P$1:$X$1, 0))</f>
        <v>DNF</v>
      </c>
      <c r="J33" t="str" cm="1">
        <f t="array" ref="J33">INDEX($P$2:$X$60, MATCH(1, ($P$2:$P$60=$A33) * ($Q$2:$Q$60=$B33), 0), MATCH(J$3, $P$1:$X$1, 0))</f>
        <v>DNF</v>
      </c>
      <c r="K33" cm="1">
        <f t="array" ref="K33">INDEX($P$2:$X$60, MATCH(1, ($P$2:$P$60=$A33) * ($Q$2:$Q$60=$B33), 0), MATCH(K$3, $P$1:$X$1, 0))</f>
        <v>1.0022596169970153</v>
      </c>
      <c r="L33" t="b" cm="1">
        <f t="array" ref="L33">INDEX($AA$2:$AC$60, MATCH(1, ($P$2:$P$60=$A33) * ($Q$2:$Q$60=$B33), 0), MATCH(I$3, $AA$1:$AC$1, 0))</f>
        <v>1</v>
      </c>
      <c r="M33" t="b" cm="1">
        <f t="array" ref="M33">INDEX($AA$2:$AC$60, MATCH(1, ($P$2:$P$60=$A33) * ($Q$2:$Q$60=$B33), 0), MATCH(J$3, $AA$1:$AC$1, 0))</f>
        <v>1</v>
      </c>
      <c r="N33" t="b" cm="1">
        <f t="array" ref="N33">INDEX($AA$2:$AC$60, MATCH(1, ($P$2:$P$60=$A33) * ($Q$2:$Q$60=$B33), 0), MATCH(K$3, $AA$1:$AC$1, 0))</f>
        <v>0</v>
      </c>
      <c r="P33" t="s">
        <v>75</v>
      </c>
      <c r="Q33" t="s">
        <v>27</v>
      </c>
      <c r="R33">
        <f>medium!M12</f>
        <v>5.5432000000000002E-2</v>
      </c>
      <c r="S33">
        <f>medium!N12</f>
        <v>0.82805499999999999</v>
      </c>
      <c r="T33" t="e">
        <f>medium!O12</f>
        <v>#N/A</v>
      </c>
      <c r="U33">
        <f>medium!P12</f>
        <v>5.3027999999999999E-2</v>
      </c>
      <c r="V33">
        <f>medium!U12</f>
        <v>15.615429584370521</v>
      </c>
      <c r="W33" t="str">
        <f>medium!V12</f>
        <v>DNF</v>
      </c>
      <c r="X33">
        <f>medium!W12</f>
        <v>1.0453345402428906</v>
      </c>
      <c r="Y33">
        <v>16</v>
      </c>
      <c r="AA33" t="b">
        <f>medium!X35</f>
        <v>1</v>
      </c>
      <c r="AB33" t="b">
        <f>medium!Y35</f>
        <v>1</v>
      </c>
      <c r="AC33" t="b">
        <f>medium!Z35</f>
        <v>0</v>
      </c>
    </row>
    <row r="34" spans="1:29" x14ac:dyDescent="0.2">
      <c r="A34" t="s">
        <v>73</v>
      </c>
      <c r="B34" t="s">
        <v>29</v>
      </c>
      <c r="C34" t="s">
        <v>74</v>
      </c>
      <c r="D34" cm="1">
        <f t="array" ref="D34">IF(ISBLANK(INDEX($P$2:$Y$60, MATCH(1, ($P$2:$P$60=$A34) * ($Q$2:$Q$60=$B34), 0), MATCH(D$3, $P$1:$Y$1, 0))), "", INDEX($P$2:$Y$60, MATCH(1, ($P$2:$P$60=$A34) * ($Q$2:$Q$60=$B34), 0), MATCH(D$3, $P$1:$Y$1, 0)))</f>
        <v>2</v>
      </c>
      <c r="E34" cm="1">
        <f t="array" ref="E34">INDEX($P$2:$X$60, MATCH(1, ($P$2:$P$60=$A34) * ($Q$2:$Q$60=$B34), 0), MATCH(E$3, $P$1:$X$1, 0))</f>
        <v>2.1800000000000001E-3</v>
      </c>
      <c r="F34" cm="1">
        <f t="array" ref="F34">INDEX($P$2:$X$60, MATCH(1, ($P$2:$P$60=$A34) * ($Q$2:$Q$60=$B34), 0), MATCH(F$3, $P$1:$X$1, 0))</f>
        <v>3.7434000000000002E-2</v>
      </c>
      <c r="G34" cm="1">
        <f t="array" ref="G34">INDEX($P$2:$X$60, MATCH(1, ($P$2:$P$60=$A34) * ($Q$2:$Q$60=$B34), 0), MATCH(G$3, $P$1:$X$1, 0))</f>
        <v>6.8830000000000002E-3</v>
      </c>
      <c r="H34" cm="1">
        <f t="array" ref="H34">INDEX($P$2:$X$60, MATCH(1, ($P$2:$P$60=$A34) * ($Q$2:$Q$60=$B34), 0), MATCH(H$3, $P$1:$X$1, 0))</f>
        <v>5.8710000000000004E-3</v>
      </c>
      <c r="I34" cm="1">
        <f t="array" ref="I34">INDEX($P$2:$X$60, MATCH(1, ($P$2:$P$60=$A34) * ($Q$2:$Q$60=$B34), 0), MATCH(I$3, $P$1:$X$1, 0))</f>
        <v>6.3760858456821667</v>
      </c>
      <c r="J34" cm="1">
        <f t="array" ref="J34">INDEX($P$2:$X$60, MATCH(1, ($P$2:$P$60=$A34) * ($Q$2:$Q$60=$B34), 0), MATCH(J$3, $P$1:$X$1, 0))</f>
        <v>0.37131664111735652</v>
      </c>
      <c r="K34" cm="1">
        <f t="array" ref="K34">INDEX($P$2:$X$60, MATCH(1, ($P$2:$P$60=$A34) * ($Q$2:$Q$60=$B34), 0), MATCH(K$3, $P$1:$X$1, 0))</f>
        <v>1.172372679270993</v>
      </c>
      <c r="L34" t="b" cm="1">
        <f t="array" ref="L34">INDEX($AA$2:$AC$60, MATCH(1, ($P$2:$P$60=$A34) * ($Q$2:$Q$60=$B34), 0), MATCH(I$3, $AA$1:$AC$1, 0))</f>
        <v>1</v>
      </c>
      <c r="M34" t="b" cm="1">
        <f t="array" ref="M34">INDEX($AA$2:$AC$60, MATCH(1, ($P$2:$P$60=$A34) * ($Q$2:$Q$60=$B34), 0), MATCH(J$3, $AA$1:$AC$1, 0))</f>
        <v>0</v>
      </c>
      <c r="N34" t="b" cm="1">
        <f t="array" ref="N34">INDEX($AA$2:$AC$60, MATCH(1, ($P$2:$P$60=$A34) * ($Q$2:$Q$60=$B34), 0), MATCH(K$3, $AA$1:$AC$1, 0))</f>
        <v>0</v>
      </c>
      <c r="P34" t="s">
        <v>75</v>
      </c>
      <c r="Q34" t="s">
        <v>29</v>
      </c>
      <c r="R34">
        <f>medium!M13</f>
        <v>6.6562999999999997E-2</v>
      </c>
      <c r="S34">
        <f>medium!N13</f>
        <v>0.39228499999999999</v>
      </c>
      <c r="T34" t="e">
        <f>medium!O13</f>
        <v>#N/A</v>
      </c>
      <c r="U34">
        <f>medium!P13</f>
        <v>6.9117999999999999E-2</v>
      </c>
      <c r="V34">
        <f>medium!U13</f>
        <v>5.6755837842530168</v>
      </c>
      <c r="W34" t="str">
        <f>medium!V13</f>
        <v>DNF</v>
      </c>
      <c r="X34">
        <f>medium!W13</f>
        <v>0.96303423131456345</v>
      </c>
      <c r="Y34">
        <v>2</v>
      </c>
      <c r="AA34" t="b">
        <f>medium!X36</f>
        <v>1</v>
      </c>
      <c r="AB34" t="b">
        <f>medium!Y36</f>
        <v>1</v>
      </c>
      <c r="AC34" t="b">
        <f>medium!Z36</f>
        <v>0</v>
      </c>
    </row>
    <row r="35" spans="1:29" x14ac:dyDescent="0.2">
      <c r="A35" t="s">
        <v>75</v>
      </c>
      <c r="B35" t="s">
        <v>29</v>
      </c>
      <c r="C35" t="s">
        <v>81</v>
      </c>
      <c r="D35" cm="1">
        <f t="array" ref="D35">IF(ISBLANK(INDEX($P$2:$Y$60, MATCH(1, ($P$2:$P$60=$A35) * ($Q$2:$Q$60=$B35), 0), MATCH(D$3, $P$1:$Y$1, 0))), "-", INDEX($P$2:$Y$60, MATCH(1, ($P$2:$P$60=$A35) * ($Q$2:$Q$60=$B35), 0), MATCH(D$3, $P$1:$Y$1, 0)))</f>
        <v>2</v>
      </c>
      <c r="E35" t="e" cm="1">
        <f t="array" ref="E35">INDEX($P$2:$X$60, MATCH(1, ($P$2:$P$60=$A35) * ($Q$2:$Q$60=$B35), 0), MATCH(E$3, $P$1:$X$1, 0))</f>
        <v>#N/A</v>
      </c>
      <c r="F35" cm="1">
        <f t="array" ref="F35">INDEX($P$2:$X$60, MATCH(1, ($P$2:$P$60=$A35) * ($Q$2:$Q$60=$B35), 0), MATCH(F$3, $P$1:$X$1, 0))</f>
        <v>0.39228499999999999</v>
      </c>
      <c r="G35" cm="1">
        <f t="array" ref="G35">INDEX($P$2:$X$60, MATCH(1, ($P$2:$P$60=$A35) * ($Q$2:$Q$60=$B35), 0), MATCH(G$3, $P$1:$X$1, 0))</f>
        <v>6.6562999999999997E-2</v>
      </c>
      <c r="H35" cm="1">
        <f t="array" ref="H35">INDEX($P$2:$X$60, MATCH(1, ($P$2:$P$60=$A35) * ($Q$2:$Q$60=$B35), 0), MATCH(H$3, $P$1:$X$1, 0))</f>
        <v>6.9117999999999999E-2</v>
      </c>
      <c r="I35" cm="1">
        <f t="array" ref="I35">INDEX($P$2:$X$60, MATCH(1, ($P$2:$P$60=$A35) * ($Q$2:$Q$60=$B35), 0), MATCH(I$3, $P$1:$X$1, 0))</f>
        <v>5.6755837842530168</v>
      </c>
      <c r="J35" t="str" cm="1">
        <f t="array" ref="J35">INDEX($P$2:$X$60, MATCH(1, ($P$2:$P$60=$A35) * ($Q$2:$Q$60=$B35), 0), MATCH(J$3, $P$1:$X$1, 0))</f>
        <v>DNF</v>
      </c>
      <c r="K35" cm="1">
        <f t="array" ref="K35">INDEX($P$2:$X$60, MATCH(1, ($P$2:$P$60=$A35) * ($Q$2:$Q$60=$B35), 0), MATCH(K$3, $P$1:$X$1, 0))</f>
        <v>0.96303423131456345</v>
      </c>
      <c r="L35" t="b" cm="1">
        <f t="array" ref="L35">INDEX($AA$2:$AC$60, MATCH(1, ($P$2:$P$60=$A35) * ($Q$2:$Q$60=$B35), 0), MATCH(I$3, $AA$1:$AC$1, 0))</f>
        <v>1</v>
      </c>
      <c r="M35" t="b" cm="1">
        <f t="array" ref="M35">INDEX($AA$2:$AC$60, MATCH(1, ($P$2:$P$60=$A35) * ($Q$2:$Q$60=$B35), 0), MATCH(J$3, $AA$1:$AC$1, 0))</f>
        <v>1</v>
      </c>
      <c r="N35" t="b" cm="1">
        <f t="array" ref="N35">INDEX($AA$2:$AC$60, MATCH(1, ($P$2:$P$60=$A35) * ($Q$2:$Q$60=$B35), 0), MATCH(K$3, $AA$1:$AC$1, 0))</f>
        <v>0</v>
      </c>
      <c r="P35" t="s">
        <v>75</v>
      </c>
      <c r="Q35" t="s">
        <v>31</v>
      </c>
      <c r="R35">
        <f>medium!M14</f>
        <v>9.0717999999999993E-2</v>
      </c>
      <c r="S35">
        <f>medium!N14</f>
        <v>0.65006799999999998</v>
      </c>
      <c r="T35" t="e">
        <f>medium!O14</f>
        <v>#N/A</v>
      </c>
      <c r="U35">
        <f>medium!P14</f>
        <v>8.7290000000000006E-2</v>
      </c>
      <c r="V35">
        <f>medium!U14</f>
        <v>7.447221903998166</v>
      </c>
      <c r="W35" t="str">
        <f>medium!V14</f>
        <v>DNF</v>
      </c>
      <c r="X35">
        <f>medium!W14</f>
        <v>1.0392713942032306</v>
      </c>
      <c r="Y35">
        <v>5</v>
      </c>
      <c r="AA35" t="b">
        <f>medium!X37</f>
        <v>1</v>
      </c>
      <c r="AB35" t="b">
        <f>medium!Y37</f>
        <v>1</v>
      </c>
      <c r="AC35" t="b">
        <f>medium!Z37</f>
        <v>0</v>
      </c>
    </row>
    <row r="36" spans="1:29" x14ac:dyDescent="0.2">
      <c r="A36" t="s">
        <v>77</v>
      </c>
      <c r="B36" t="s">
        <v>29</v>
      </c>
      <c r="C36" t="s">
        <v>76</v>
      </c>
      <c r="D36" cm="1">
        <f t="array" ref="D36">IF(ISBLANK(INDEX($P$2:$Y$60, MATCH(1, ($P$2:$P$60=$A36) * ($Q$2:$Q$60=$B36), 0), MATCH(D$3, $P$1:$Y$1, 0))), "-", INDEX($P$2:$Y$60, MATCH(1, ($P$2:$P$60=$A36) * ($Q$2:$Q$60=$B36), 0), MATCH(D$3, $P$1:$Y$1, 0)))</f>
        <v>2</v>
      </c>
      <c r="E36" t="e" cm="1">
        <f t="array" ref="E36">INDEX($P$2:$X$60, MATCH(1, ($P$2:$P$60=$A36) * ($Q$2:$Q$60=$B36), 0), MATCH(E$3, $P$1:$X$1, 0))</f>
        <v>#N/A</v>
      </c>
      <c r="F36" cm="1">
        <f t="array" ref="F36">INDEX($P$2:$X$60, MATCH(1, ($P$2:$P$60=$A36) * ($Q$2:$Q$60=$B36), 0), MATCH(F$3, $P$1:$X$1, 0))</f>
        <v>0.71664899999999998</v>
      </c>
      <c r="G36" cm="1">
        <f t="array" ref="G36">INDEX($P$2:$X$60, MATCH(1, ($P$2:$P$60=$A36) * ($Q$2:$Q$60=$B36), 0), MATCH(G$3, $P$1:$X$1, 0))</f>
        <v>0.70641200000000004</v>
      </c>
      <c r="H36" cm="1">
        <f t="array" ref="H36">INDEX($P$2:$X$60, MATCH(1, ($P$2:$P$60=$A36) * ($Q$2:$Q$60=$B36), 0), MATCH(H$3, $P$1:$X$1, 0))</f>
        <v>0.71308899999999997</v>
      </c>
      <c r="I36" cm="1">
        <f t="array" ref="I36">INDEX($P$2:$X$60, MATCH(1, ($P$2:$P$60=$A36) * ($Q$2:$Q$60=$B36), 0), MATCH(I$3, $P$1:$X$1, 0))</f>
        <v>1.0049923642069925</v>
      </c>
      <c r="J36" t="str" cm="1">
        <f t="array" ref="J36">INDEX($P$2:$X$60, MATCH(1, ($P$2:$P$60=$A36) * ($Q$2:$Q$60=$B36), 0), MATCH(J$3, $P$1:$X$1, 0))</f>
        <v>DNF</v>
      </c>
      <c r="K36" cm="1">
        <f t="array" ref="K36">INDEX($P$2:$X$60, MATCH(1, ($P$2:$P$60=$A36) * ($Q$2:$Q$60=$B36), 0), MATCH(K$3, $P$1:$X$1, 0))</f>
        <v>0.99063651241289663</v>
      </c>
      <c r="L36" t="b" cm="1">
        <f t="array" ref="L36">INDEX($AA$2:$AC$60, MATCH(1, ($P$2:$P$60=$A36) * ($Q$2:$Q$60=$B36), 0), MATCH(I$3, $AA$1:$AC$1, 0))</f>
        <v>0</v>
      </c>
      <c r="M36" t="b" cm="1">
        <f t="array" ref="M36">INDEX($AA$2:$AC$60, MATCH(1, ($P$2:$P$60=$A36) * ($Q$2:$Q$60=$B36), 0), MATCH(J$3, $AA$1:$AC$1, 0))</f>
        <v>1</v>
      </c>
      <c r="N36" t="b" cm="1">
        <f t="array" ref="N36">INDEX($AA$2:$AC$60, MATCH(1, ($P$2:$P$60=$A36) * ($Q$2:$Q$60=$B36), 0), MATCH(K$3, $AA$1:$AC$1, 0))</f>
        <v>0</v>
      </c>
      <c r="P36" t="s">
        <v>75</v>
      </c>
      <c r="Q36" t="s">
        <v>33</v>
      </c>
      <c r="R36">
        <f>medium!M15</f>
        <v>5.3682000000000001E-2</v>
      </c>
      <c r="S36">
        <f>medium!N15</f>
        <v>0.85997400000000002</v>
      </c>
      <c r="T36" t="e">
        <f>medium!O15</f>
        <v>#N/A</v>
      </c>
      <c r="U36">
        <f>medium!P15</f>
        <v>5.1891E-2</v>
      </c>
      <c r="V36">
        <f>medium!U15</f>
        <v>16.572700468289298</v>
      </c>
      <c r="W36" t="str">
        <f>medium!V15</f>
        <v>DNF</v>
      </c>
      <c r="X36">
        <f>medium!W15</f>
        <v>1.0345146557206453</v>
      </c>
      <c r="Y36">
        <v>16</v>
      </c>
      <c r="AA36" t="b">
        <f>medium!X38</f>
        <v>1</v>
      </c>
      <c r="AB36" t="b">
        <f>medium!Y38</f>
        <v>1</v>
      </c>
      <c r="AC36" t="b">
        <f>medium!Z38</f>
        <v>0</v>
      </c>
    </row>
    <row r="37" spans="1:29" x14ac:dyDescent="0.2">
      <c r="A37" t="s">
        <v>73</v>
      </c>
      <c r="B37" t="s">
        <v>31</v>
      </c>
      <c r="C37" t="s">
        <v>74</v>
      </c>
      <c r="D37" cm="1">
        <f t="array" ref="D37">IF(ISBLANK(INDEX($P$2:$Y$60, MATCH(1, ($P$2:$P$60=$A37) * ($Q$2:$Q$60=$B37), 0), MATCH(D$3, $P$1:$Y$1, 0))), "", INDEX($P$2:$Y$60, MATCH(1, ($P$2:$P$60=$A37) * ($Q$2:$Q$60=$B37), 0), MATCH(D$3, $P$1:$Y$1, 0)))</f>
        <v>5</v>
      </c>
      <c r="E37" cm="1">
        <f t="array" ref="E37">INDEX($P$2:$X$60, MATCH(1, ($P$2:$P$60=$A37) * ($Q$2:$Q$60=$B37), 0), MATCH(E$3, $P$1:$X$1, 0))</f>
        <v>3.4740000000000001E-3</v>
      </c>
      <c r="F37" cm="1">
        <f t="array" ref="F37">INDEX($P$2:$X$60, MATCH(1, ($P$2:$P$60=$A37) * ($Q$2:$Q$60=$B37), 0), MATCH(F$3, $P$1:$X$1, 0))</f>
        <v>7.4177999999999994E-2</v>
      </c>
      <c r="G37" cm="1">
        <f t="array" ref="G37">INDEX($P$2:$X$60, MATCH(1, ($P$2:$P$60=$A37) * ($Q$2:$Q$60=$B37), 0), MATCH(G$3, $P$1:$X$1, 0))</f>
        <v>8.8889999999999993E-3</v>
      </c>
      <c r="H37" cm="1">
        <f t="array" ref="H37">INDEX($P$2:$X$60, MATCH(1, ($P$2:$P$60=$A37) * ($Q$2:$Q$60=$B37), 0), MATCH(H$3, $P$1:$X$1, 0))</f>
        <v>5.9810000000000002E-3</v>
      </c>
      <c r="I37" cm="1">
        <f t="array" ref="I37">INDEX($P$2:$X$60, MATCH(1, ($P$2:$P$60=$A37) * ($Q$2:$Q$60=$B37), 0), MATCH(I$3, $P$1:$X$1, 0))</f>
        <v>12.402273867246278</v>
      </c>
      <c r="J37" cm="1">
        <f t="array" ref="J37">INDEX($P$2:$X$60, MATCH(1, ($P$2:$P$60=$A37) * ($Q$2:$Q$60=$B37), 0), MATCH(J$3, $P$1:$X$1, 0))</f>
        <v>0.58083932452767095</v>
      </c>
      <c r="K37" cm="1">
        <f t="array" ref="K37">INDEX($P$2:$X$60, MATCH(1, ($P$2:$P$60=$A37) * ($Q$2:$Q$60=$B37), 0), MATCH(K$3, $P$1:$X$1, 0))</f>
        <v>1.4862063200133755</v>
      </c>
      <c r="L37" t="b" cm="1">
        <f t="array" ref="L37">INDEX($AA$2:$AC$60, MATCH(1, ($P$2:$P$60=$A37) * ($Q$2:$Q$60=$B37), 0), MATCH(I$3, $AA$1:$AC$1, 0))</f>
        <v>1</v>
      </c>
      <c r="M37" t="b" cm="1">
        <f t="array" ref="M37">INDEX($AA$2:$AC$60, MATCH(1, ($P$2:$P$60=$A37) * ($Q$2:$Q$60=$B37), 0), MATCH(J$3, $AA$1:$AC$1, 0))</f>
        <v>0</v>
      </c>
      <c r="N37" t="b" cm="1">
        <f t="array" ref="N37">INDEX($AA$2:$AC$60, MATCH(1, ($P$2:$P$60=$A37) * ($Q$2:$Q$60=$B37), 0), MATCH(K$3, $AA$1:$AC$1, 0))</f>
        <v>0</v>
      </c>
      <c r="P37" t="s">
        <v>75</v>
      </c>
      <c r="Q37" t="s">
        <v>35</v>
      </c>
      <c r="R37">
        <f>medium!M16</f>
        <v>2.9388999999999998E-2</v>
      </c>
      <c r="S37">
        <f>medium!N16</f>
        <v>0.16139899999999999</v>
      </c>
      <c r="T37">
        <f>medium!O16</f>
        <v>0.51264699999999996</v>
      </c>
      <c r="U37">
        <f>medium!P16</f>
        <v>2.7459999999999998E-2</v>
      </c>
      <c r="V37">
        <f>medium!U16</f>
        <v>5.877603787327021</v>
      </c>
      <c r="W37">
        <f>medium!V16</f>
        <v>18.668863801893664</v>
      </c>
      <c r="X37">
        <f>medium!W16</f>
        <v>1.0702476329206119</v>
      </c>
      <c r="Y37">
        <v>9</v>
      </c>
      <c r="AA37" t="b">
        <f>medium!X39</f>
        <v>1</v>
      </c>
      <c r="AB37" t="b">
        <f>medium!Y39</f>
        <v>1</v>
      </c>
      <c r="AC37" t="b">
        <f>medium!Z39</f>
        <v>0</v>
      </c>
    </row>
    <row r="38" spans="1:29" x14ac:dyDescent="0.2">
      <c r="A38" t="s">
        <v>75</v>
      </c>
      <c r="B38" t="s">
        <v>31</v>
      </c>
      <c r="C38" t="s">
        <v>83</v>
      </c>
      <c r="D38" cm="1">
        <f t="array" ref="D38">IF(ISBLANK(INDEX($P$2:$Y$60, MATCH(1, ($P$2:$P$60=$A38) * ($Q$2:$Q$60=$B38), 0), MATCH(D$3, $P$1:$Y$1, 0))), "-", INDEX($P$2:$Y$60, MATCH(1, ($P$2:$P$60=$A38) * ($Q$2:$Q$60=$B38), 0), MATCH(D$3, $P$1:$Y$1, 0)))</f>
        <v>5</v>
      </c>
      <c r="E38" t="e" cm="1">
        <f t="array" ref="E38">INDEX($P$2:$X$60, MATCH(1, ($P$2:$P$60=$A38) * ($Q$2:$Q$60=$B38), 0), MATCH(E$3, $P$1:$X$1, 0))</f>
        <v>#N/A</v>
      </c>
      <c r="F38" cm="1">
        <f t="array" ref="F38">INDEX($P$2:$X$60, MATCH(1, ($P$2:$P$60=$A38) * ($Q$2:$Q$60=$B38), 0), MATCH(F$3, $P$1:$X$1, 0))</f>
        <v>0.65006799999999998</v>
      </c>
      <c r="G38" cm="1">
        <f t="array" ref="G38">INDEX($P$2:$X$60, MATCH(1, ($P$2:$P$60=$A38) * ($Q$2:$Q$60=$B38), 0), MATCH(G$3, $P$1:$X$1, 0))</f>
        <v>9.0717999999999993E-2</v>
      </c>
      <c r="H38" cm="1">
        <f t="array" ref="H38">INDEX($P$2:$X$60, MATCH(1, ($P$2:$P$60=$A38) * ($Q$2:$Q$60=$B38), 0), MATCH(H$3, $P$1:$X$1, 0))</f>
        <v>8.7290000000000006E-2</v>
      </c>
      <c r="I38" cm="1">
        <f t="array" ref="I38">INDEX($P$2:$X$60, MATCH(1, ($P$2:$P$60=$A38) * ($Q$2:$Q$60=$B38), 0), MATCH(I$3, $P$1:$X$1, 0))</f>
        <v>7.447221903998166</v>
      </c>
      <c r="J38" t="str" cm="1">
        <f t="array" ref="J38">INDEX($P$2:$X$60, MATCH(1, ($P$2:$P$60=$A38) * ($Q$2:$Q$60=$B38), 0), MATCH(J$3, $P$1:$X$1, 0))</f>
        <v>DNF</v>
      </c>
      <c r="K38" cm="1">
        <f t="array" ref="K38">INDEX($P$2:$X$60, MATCH(1, ($P$2:$P$60=$A38) * ($Q$2:$Q$60=$B38), 0), MATCH(K$3, $P$1:$X$1, 0))</f>
        <v>1.0392713942032306</v>
      </c>
      <c r="L38" t="b" cm="1">
        <f t="array" ref="L38">INDEX($AA$2:$AC$60, MATCH(1, ($P$2:$P$60=$A38) * ($Q$2:$Q$60=$B38), 0), MATCH(I$3, $AA$1:$AC$1, 0))</f>
        <v>1</v>
      </c>
      <c r="M38" t="b" cm="1">
        <f t="array" ref="M38">INDEX($AA$2:$AC$60, MATCH(1, ($P$2:$P$60=$A38) * ($Q$2:$Q$60=$B38), 0), MATCH(J$3, $AA$1:$AC$1, 0))</f>
        <v>1</v>
      </c>
      <c r="N38" t="b" cm="1">
        <f t="array" ref="N38">INDEX($AA$2:$AC$60, MATCH(1, ($P$2:$P$60=$A38) * ($Q$2:$Q$60=$B38), 0), MATCH(K$3, $AA$1:$AC$1, 0))</f>
        <v>0</v>
      </c>
      <c r="P38" t="s">
        <v>75</v>
      </c>
      <c r="Q38" t="s">
        <v>37</v>
      </c>
      <c r="R38">
        <f>medium!M17</f>
        <v>2.1453E-2</v>
      </c>
      <c r="S38">
        <f>medium!N17</f>
        <v>7.6234999999999997E-2</v>
      </c>
      <c r="T38">
        <f>medium!O17</f>
        <v>0.364846</v>
      </c>
      <c r="U38">
        <f>medium!P17</f>
        <v>1.8523000000000001E-2</v>
      </c>
      <c r="V38">
        <f>medium!U17</f>
        <v>4.1156940020515034</v>
      </c>
      <c r="W38">
        <f>medium!V17</f>
        <v>19.696917346002266</v>
      </c>
      <c r="X38">
        <f>medium!W17</f>
        <v>1.1581817200237541</v>
      </c>
      <c r="Y38">
        <v>5</v>
      </c>
      <c r="AA38" t="b">
        <f>medium!X40</f>
        <v>1</v>
      </c>
      <c r="AB38" t="b">
        <f>medium!Y40</f>
        <v>1</v>
      </c>
      <c r="AC38" t="b">
        <f>medium!Z40</f>
        <v>0</v>
      </c>
    </row>
    <row r="39" spans="1:29" x14ac:dyDescent="0.2">
      <c r="A39" t="s">
        <v>77</v>
      </c>
      <c r="B39" t="s">
        <v>31</v>
      </c>
      <c r="C39" t="s">
        <v>84</v>
      </c>
      <c r="D39" cm="1">
        <f t="array" ref="D39">IF(ISBLANK(INDEX($P$2:$Y$60, MATCH(1, ($P$2:$P$60=$A39) * ($Q$2:$Q$60=$B39), 0), MATCH(D$3, $P$1:$Y$1, 0))), "-", INDEX($P$2:$Y$60, MATCH(1, ($P$2:$P$60=$A39) * ($Q$2:$Q$60=$B39), 0), MATCH(D$3, $P$1:$Y$1, 0)))</f>
        <v>7</v>
      </c>
      <c r="E39" t="e" cm="1">
        <f t="array" ref="E39">INDEX($P$2:$X$60, MATCH(1, ($P$2:$P$60=$A39) * ($Q$2:$Q$60=$B39), 0), MATCH(E$3, $P$1:$X$1, 0))</f>
        <v>#N/A</v>
      </c>
      <c r="F39" cm="1">
        <f t="array" ref="F39">INDEX($P$2:$X$60, MATCH(1, ($P$2:$P$60=$A39) * ($Q$2:$Q$60=$B39), 0), MATCH(F$3, $P$1:$X$1, 0))</f>
        <v>3.3688129999999998</v>
      </c>
      <c r="G39" cm="1">
        <f t="array" ref="G39">INDEX($P$2:$X$60, MATCH(1, ($P$2:$P$60=$A39) * ($Q$2:$Q$60=$B39), 0), MATCH(G$3, $P$1:$X$1, 0))</f>
        <v>0.87323200000000001</v>
      </c>
      <c r="H39" cm="1">
        <f t="array" ref="H39">INDEX($P$2:$X$60, MATCH(1, ($P$2:$P$60=$A39) * ($Q$2:$Q$60=$B39), 0), MATCH(H$3, $P$1:$X$1, 0))</f>
        <v>0.86595999999999995</v>
      </c>
      <c r="I39" cm="1">
        <f t="array" ref="I39">INDEX($P$2:$X$60, MATCH(1, ($P$2:$P$60=$A39) * ($Q$2:$Q$60=$B39), 0), MATCH(I$3, $P$1:$X$1, 0))</f>
        <v>3.8902639844796525</v>
      </c>
      <c r="J39" t="str" cm="1">
        <f t="array" ref="J39">INDEX($P$2:$X$60, MATCH(1, ($P$2:$P$60=$A39) * ($Q$2:$Q$60=$B39), 0), MATCH(J$3, $P$1:$X$1, 0))</f>
        <v>DNF</v>
      </c>
      <c r="K39" cm="1">
        <f t="array" ref="K39">INDEX($P$2:$X$60, MATCH(1, ($P$2:$P$60=$A39) * ($Q$2:$Q$60=$B39), 0), MATCH(K$3, $P$1:$X$1, 0))</f>
        <v>1.0083976165180841</v>
      </c>
      <c r="L39" t="b" cm="1">
        <f t="array" ref="L39">INDEX($AA$2:$AC$60, MATCH(1, ($P$2:$P$60=$A39) * ($Q$2:$Q$60=$B39), 0), MATCH(I$3, $AA$1:$AC$1, 0))</f>
        <v>1</v>
      </c>
      <c r="M39" t="b" cm="1">
        <f t="array" ref="M39">INDEX($AA$2:$AC$60, MATCH(1, ($P$2:$P$60=$A39) * ($Q$2:$Q$60=$B39), 0), MATCH(J$3, $AA$1:$AC$1, 0))</f>
        <v>1</v>
      </c>
      <c r="N39" t="b" cm="1">
        <f t="array" ref="N39">INDEX($AA$2:$AC$60, MATCH(1, ($P$2:$P$60=$A39) * ($Q$2:$Q$60=$B39), 0), MATCH(K$3, $AA$1:$AC$1, 0))</f>
        <v>0</v>
      </c>
      <c r="P39" t="s">
        <v>75</v>
      </c>
      <c r="Q39" t="s">
        <v>39</v>
      </c>
      <c r="R39">
        <f>medium!M18</f>
        <v>0.12890499999999999</v>
      </c>
      <c r="S39">
        <f>medium!N18</f>
        <v>2.6444559999999999</v>
      </c>
      <c r="T39" t="e">
        <f>medium!O18</f>
        <v>#N/A</v>
      </c>
      <c r="U39">
        <f>medium!P18</f>
        <v>0.13126599999999999</v>
      </c>
      <c r="V39">
        <f>medium!U18</f>
        <v>20.145780323922416</v>
      </c>
      <c r="W39" t="str">
        <f>medium!V18</f>
        <v>DNF</v>
      </c>
      <c r="X39">
        <f>medium!W18</f>
        <v>0.98201362119665414</v>
      </c>
      <c r="Y39">
        <v>7</v>
      </c>
      <c r="AA39" t="b">
        <f>medium!X41</f>
        <v>1</v>
      </c>
      <c r="AB39" t="b">
        <f>medium!Y41</f>
        <v>1</v>
      </c>
      <c r="AC39" t="b">
        <f>medium!Z41</f>
        <v>0</v>
      </c>
    </row>
    <row r="40" spans="1:29" x14ac:dyDescent="0.2">
      <c r="A40" t="s">
        <v>73</v>
      </c>
      <c r="B40" t="s">
        <v>33</v>
      </c>
      <c r="C40" t="s">
        <v>79</v>
      </c>
      <c r="D40" cm="1">
        <f t="array" ref="D40">IF(ISBLANK(INDEX($P$2:$Y$60, MATCH(1, ($P$2:$P$60=$A40) * ($Q$2:$Q$60=$B40), 0), MATCH(D$3, $P$1:$Y$1, 0))), "", INDEX($P$2:$Y$60, MATCH(1, ($P$2:$P$60=$A40) * ($Q$2:$Q$60=$B40), 0), MATCH(D$3, $P$1:$Y$1, 0)))</f>
        <v>3</v>
      </c>
      <c r="E40" cm="1">
        <f t="array" ref="E40">INDEX($P$2:$X$60, MATCH(1, ($P$2:$P$60=$A40) * ($Q$2:$Q$60=$B40), 0), MATCH(E$3, $P$1:$X$1, 0))</f>
        <v>2.1029999999999998E-3</v>
      </c>
      <c r="F40" cm="1">
        <f t="array" ref="F40">INDEX($P$2:$X$60, MATCH(1, ($P$2:$P$60=$A40) * ($Q$2:$Q$60=$B40), 0), MATCH(F$3, $P$1:$X$1, 0))</f>
        <v>7.8541E-2</v>
      </c>
      <c r="G40" cm="1">
        <f t="array" ref="G40">INDEX($P$2:$X$60, MATCH(1, ($P$2:$P$60=$A40) * ($Q$2:$Q$60=$B40), 0), MATCH(G$3, $P$1:$X$1, 0))</f>
        <v>1.4056000000000001E-2</v>
      </c>
      <c r="H40" cm="1">
        <f t="array" ref="H40">INDEX($P$2:$X$60, MATCH(1, ($P$2:$P$60=$A40) * ($Q$2:$Q$60=$B40), 0), MATCH(H$3, $P$1:$X$1, 0))</f>
        <v>1.4345999999999999E-2</v>
      </c>
      <c r="I40" cm="1">
        <f t="array" ref="I40">INDEX($P$2:$X$60, MATCH(1, ($P$2:$P$60=$A40) * ($Q$2:$Q$60=$B40), 0), MATCH(I$3, $P$1:$X$1, 0))</f>
        <v>5.4747664854314797</v>
      </c>
      <c r="J40" cm="1">
        <f t="array" ref="J40">INDEX($P$2:$X$60, MATCH(1, ($P$2:$P$60=$A40) * ($Q$2:$Q$60=$B40), 0), MATCH(J$3, $P$1:$X$1, 0))</f>
        <v>0.1465913843580092</v>
      </c>
      <c r="K40" cm="1">
        <f t="array" ref="K40">INDEX($P$2:$X$60, MATCH(1, ($P$2:$P$60=$A40) * ($Q$2:$Q$60=$B40), 0), MATCH(K$3, $P$1:$X$1, 0))</f>
        <v>0.97978530600864366</v>
      </c>
      <c r="L40" t="b" cm="1">
        <f t="array" ref="L40">INDEX($AA$2:$AC$60, MATCH(1, ($P$2:$P$60=$A40) * ($Q$2:$Q$60=$B40), 0), MATCH(I$3, $AA$1:$AC$1, 0))</f>
        <v>1</v>
      </c>
      <c r="M40" t="b" cm="1">
        <f t="array" ref="M40">INDEX($AA$2:$AC$60, MATCH(1, ($P$2:$P$60=$A40) * ($Q$2:$Q$60=$B40), 0), MATCH(J$3, $AA$1:$AC$1, 0))</f>
        <v>1</v>
      </c>
      <c r="N40" t="b" cm="1">
        <f t="array" ref="N40">INDEX($AA$2:$AC$60, MATCH(1, ($P$2:$P$60=$A40) * ($Q$2:$Q$60=$B40), 0), MATCH(K$3, $AA$1:$AC$1, 0))</f>
        <v>0</v>
      </c>
    </row>
    <row r="41" spans="1:29" x14ac:dyDescent="0.2">
      <c r="A41" t="s">
        <v>75</v>
      </c>
      <c r="B41" t="s">
        <v>33</v>
      </c>
      <c r="C41" t="s">
        <v>89</v>
      </c>
      <c r="D41" cm="1">
        <f t="array" ref="D41">IF(ISBLANK(INDEX($P$2:$Y$60, MATCH(1, ($P$2:$P$60=$A41) * ($Q$2:$Q$60=$B41), 0), MATCH(D$3, $P$1:$Y$1, 0))), "-", INDEX($P$2:$Y$60, MATCH(1, ($P$2:$P$60=$A41) * ($Q$2:$Q$60=$B41), 0), MATCH(D$3, $P$1:$Y$1, 0)))</f>
        <v>16</v>
      </c>
      <c r="E41" t="e" cm="1">
        <f t="array" ref="E41">INDEX($P$2:$X$60, MATCH(1, ($P$2:$P$60=$A41) * ($Q$2:$Q$60=$B41), 0), MATCH(E$3, $P$1:$X$1, 0))</f>
        <v>#N/A</v>
      </c>
      <c r="F41" cm="1">
        <f t="array" ref="F41">INDEX($P$2:$X$60, MATCH(1, ($P$2:$P$60=$A41) * ($Q$2:$Q$60=$B41), 0), MATCH(F$3, $P$1:$X$1, 0))</f>
        <v>0.85997400000000002</v>
      </c>
      <c r="G41" cm="1">
        <f t="array" ref="G41">INDEX($P$2:$X$60, MATCH(1, ($P$2:$P$60=$A41) * ($Q$2:$Q$60=$B41), 0), MATCH(G$3, $P$1:$X$1, 0))</f>
        <v>5.3682000000000001E-2</v>
      </c>
      <c r="H41" cm="1">
        <f t="array" ref="H41">INDEX($P$2:$X$60, MATCH(1, ($P$2:$P$60=$A41) * ($Q$2:$Q$60=$B41), 0), MATCH(H$3, $P$1:$X$1, 0))</f>
        <v>5.1891E-2</v>
      </c>
      <c r="I41" cm="1">
        <f t="array" ref="I41">INDEX($P$2:$X$60, MATCH(1, ($P$2:$P$60=$A41) * ($Q$2:$Q$60=$B41), 0), MATCH(I$3, $P$1:$X$1, 0))</f>
        <v>16.572700468289298</v>
      </c>
      <c r="J41" t="str" cm="1">
        <f t="array" ref="J41">INDEX($P$2:$X$60, MATCH(1, ($P$2:$P$60=$A41) * ($Q$2:$Q$60=$B41), 0), MATCH(J$3, $P$1:$X$1, 0))</f>
        <v>DNF</v>
      </c>
      <c r="K41" cm="1">
        <f t="array" ref="K41">INDEX($P$2:$X$60, MATCH(1, ($P$2:$P$60=$A41) * ($Q$2:$Q$60=$B41), 0), MATCH(K$3, $P$1:$X$1, 0))</f>
        <v>1.0345146557206453</v>
      </c>
      <c r="L41" t="b" cm="1">
        <f t="array" ref="L41">INDEX($AA$2:$AC$60, MATCH(1, ($P$2:$P$60=$A41) * ($Q$2:$Q$60=$B41), 0), MATCH(I$3, $AA$1:$AC$1, 0))</f>
        <v>1</v>
      </c>
      <c r="M41" t="b" cm="1">
        <f t="array" ref="M41">INDEX($AA$2:$AC$60, MATCH(1, ($P$2:$P$60=$A41) * ($Q$2:$Q$60=$B41), 0), MATCH(J$3, $AA$1:$AC$1, 0))</f>
        <v>1</v>
      </c>
      <c r="N41" t="b" cm="1">
        <f t="array" ref="N41">INDEX($AA$2:$AC$60, MATCH(1, ($P$2:$P$60=$A41) * ($Q$2:$Q$60=$B41), 0), MATCH(K$3, $AA$1:$AC$1, 0))</f>
        <v>0</v>
      </c>
    </row>
    <row r="42" spans="1:29" x14ac:dyDescent="0.2">
      <c r="A42" t="s">
        <v>77</v>
      </c>
      <c r="B42" t="s">
        <v>33</v>
      </c>
      <c r="C42" t="s">
        <v>85</v>
      </c>
      <c r="D42" t="str" cm="1">
        <f t="array" ref="D42">IF(ISBLANK(INDEX($P$2:$Y$60, MATCH(1, ($P$2:$P$60=$A42) * ($Q$2:$Q$60=$B42), 0), MATCH(D$3, $P$1:$Y$1, 0))), "-", INDEX($P$2:$Y$60, MATCH(1, ($P$2:$P$60=$A42) * ($Q$2:$Q$60=$B42), 0), MATCH(D$3, $P$1:$Y$1, 0)))</f>
        <v>-</v>
      </c>
      <c r="E42" t="e" cm="1">
        <f t="array" ref="E42">INDEX($P$2:$X$60, MATCH(1, ($P$2:$P$60=$A42) * ($Q$2:$Q$60=$B42), 0), MATCH(E$3, $P$1:$X$1, 0))</f>
        <v>#N/A</v>
      </c>
      <c r="F42" t="e" cm="1">
        <f t="array" ref="F42">INDEX($P$2:$X$60, MATCH(1, ($P$2:$P$60=$A42) * ($Q$2:$Q$60=$B42), 0), MATCH(F$3, $P$1:$X$1, 0))</f>
        <v>#N/A</v>
      </c>
      <c r="G42" cm="1">
        <f t="array" ref="G42">INDEX($P$2:$X$60, MATCH(1, ($P$2:$P$60=$A42) * ($Q$2:$Q$60=$B42), 0), MATCH(G$3, $P$1:$X$1, 0))</f>
        <v>2.1882549999999998</v>
      </c>
      <c r="H42" cm="1">
        <f t="array" ref="H42">INDEX($P$2:$X$60, MATCH(1, ($P$2:$P$60=$A42) * ($Q$2:$Q$60=$B42), 0), MATCH(H$3, $P$1:$X$1, 0))</f>
        <v>2.1123400000000001</v>
      </c>
      <c r="I42" t="str" cm="1">
        <f t="array" ref="I42">INDEX($P$2:$X$60, MATCH(1, ($P$2:$P$60=$A42) * ($Q$2:$Q$60=$B42), 0), MATCH(I$3, $P$1:$X$1, 0))</f>
        <v>DNF</v>
      </c>
      <c r="J42" t="str" cm="1">
        <f t="array" ref="J42">INDEX($P$2:$X$60, MATCH(1, ($P$2:$P$60=$A42) * ($Q$2:$Q$60=$B42), 0), MATCH(J$3, $P$1:$X$1, 0))</f>
        <v>DNF</v>
      </c>
      <c r="K42" cm="1">
        <f t="array" ref="K42">INDEX($P$2:$X$60, MATCH(1, ($P$2:$P$60=$A42) * ($Q$2:$Q$60=$B42), 0), MATCH(K$3, $P$1:$X$1, 0))</f>
        <v>1.0359388166677712</v>
      </c>
      <c r="L42" t="b" cm="1">
        <f t="array" ref="L42">INDEX($AA$2:$AC$60, MATCH(1, ($P$2:$P$60=$A42) * ($Q$2:$Q$60=$B42), 0), MATCH(I$3, $AA$1:$AC$1, 0))</f>
        <v>1</v>
      </c>
      <c r="M42" t="b" cm="1">
        <f t="array" ref="M42">INDEX($AA$2:$AC$60, MATCH(1, ($P$2:$P$60=$A42) * ($Q$2:$Q$60=$B42), 0), MATCH(J$3, $AA$1:$AC$1, 0))</f>
        <v>1</v>
      </c>
      <c r="N42" t="b" cm="1">
        <f t="array" ref="N42">INDEX($AA$2:$AC$60, MATCH(1, ($P$2:$P$60=$A42) * ($Q$2:$Q$60=$B42), 0), MATCH(K$3, $AA$1:$AC$1, 0))</f>
        <v>0</v>
      </c>
    </row>
    <row r="43" spans="1:29" x14ac:dyDescent="0.2">
      <c r="A43" t="s">
        <v>73</v>
      </c>
      <c r="B43" t="s">
        <v>35</v>
      </c>
      <c r="C43" t="s">
        <v>74</v>
      </c>
      <c r="D43" cm="1">
        <f t="array" ref="D43">IF(ISBLANK(INDEX($P$2:$Y$60, MATCH(1, ($P$2:$P$60=$A43) * ($Q$2:$Q$60=$B43), 0), MATCH(D$3, $P$1:$Y$1, 0))), "", INDEX($P$2:$Y$60, MATCH(1, ($P$2:$P$60=$A43) * ($Q$2:$Q$60=$B43), 0), MATCH(D$3, $P$1:$Y$1, 0)))</f>
        <v>5</v>
      </c>
      <c r="E43" cm="1">
        <f t="array" ref="E43">INDEX($P$2:$X$60, MATCH(1, ($P$2:$P$60=$A43) * ($Q$2:$Q$60=$B43), 0), MATCH(E$3, $P$1:$X$1, 0))</f>
        <v>2.287E-3</v>
      </c>
      <c r="F43" cm="1">
        <f t="array" ref="F43">INDEX($P$2:$X$60, MATCH(1, ($P$2:$P$60=$A43) * ($Q$2:$Q$60=$B43), 0), MATCH(F$3, $P$1:$X$1, 0))</f>
        <v>6.3945000000000002E-2</v>
      </c>
      <c r="G43" cm="1">
        <f t="array" ref="G43">INDEX($P$2:$X$60, MATCH(1, ($P$2:$P$60=$A43) * ($Q$2:$Q$60=$B43), 0), MATCH(G$3, $P$1:$X$1, 0))</f>
        <v>1.1984E-2</v>
      </c>
      <c r="H43" cm="1">
        <f t="array" ref="H43">INDEX($P$2:$X$60, MATCH(1, ($P$2:$P$60=$A43) * ($Q$2:$Q$60=$B43), 0), MATCH(H$3, $P$1:$X$1, 0))</f>
        <v>8.4650000000000003E-3</v>
      </c>
      <c r="I43" cm="1">
        <f t="array" ref="I43">INDEX($P$2:$X$60, MATCH(1, ($P$2:$P$60=$A43) * ($Q$2:$Q$60=$B43), 0), MATCH(I$3, $P$1:$X$1, 0))</f>
        <v>7.5540460720614293</v>
      </c>
      <c r="J43" cm="1">
        <f t="array" ref="J43">INDEX($P$2:$X$60, MATCH(1, ($P$2:$P$60=$A43) * ($Q$2:$Q$60=$B43), 0), MATCH(J$3, $P$1:$X$1, 0))</f>
        <v>0.27017129356172476</v>
      </c>
      <c r="K43" cm="1">
        <f t="array" ref="K43">INDEX($P$2:$X$60, MATCH(1, ($P$2:$P$60=$A43) * ($Q$2:$Q$60=$B43), 0), MATCH(K$3, $P$1:$X$1, 0))</f>
        <v>1.415711754282339</v>
      </c>
      <c r="L43" t="b" cm="1">
        <f t="array" ref="L43">INDEX($AA$2:$AC$60, MATCH(1, ($P$2:$P$60=$A43) * ($Q$2:$Q$60=$B43), 0), MATCH(I$3, $AA$1:$AC$1, 0))</f>
        <v>1</v>
      </c>
      <c r="M43" t="b" cm="1">
        <f t="array" ref="M43">INDEX($AA$2:$AC$60, MATCH(1, ($P$2:$P$60=$A43) * ($Q$2:$Q$60=$B43), 0), MATCH(J$3, $AA$1:$AC$1, 0))</f>
        <v>0</v>
      </c>
      <c r="N43" t="b" cm="1">
        <f t="array" ref="N43">INDEX($AA$2:$AC$60, MATCH(1, ($P$2:$P$60=$A43) * ($Q$2:$Q$60=$B43), 0), MATCH(K$3, $AA$1:$AC$1, 0))</f>
        <v>0</v>
      </c>
      <c r="P43" t="s">
        <v>6</v>
      </c>
    </row>
    <row r="44" spans="1:29" x14ac:dyDescent="0.2">
      <c r="A44" t="s">
        <v>75</v>
      </c>
      <c r="B44" t="s">
        <v>35</v>
      </c>
      <c r="C44" t="s">
        <v>76</v>
      </c>
      <c r="D44" cm="1">
        <f t="array" ref="D44">IF(ISBLANK(INDEX($P$2:$Y$60, MATCH(1, ($P$2:$P$60=$A44) * ($Q$2:$Q$60=$B44), 0), MATCH(D$3, $P$1:$Y$1, 0))), "-", INDEX($P$2:$Y$60, MATCH(1, ($P$2:$P$60=$A44) * ($Q$2:$Q$60=$B44), 0), MATCH(D$3, $P$1:$Y$1, 0)))</f>
        <v>9</v>
      </c>
      <c r="E44" cm="1">
        <f t="array" ref="E44">INDEX($P$2:$X$60, MATCH(1, ($P$2:$P$60=$A44) * ($Q$2:$Q$60=$B44), 0), MATCH(E$3, $P$1:$X$1, 0))</f>
        <v>0.51264699999999996</v>
      </c>
      <c r="F44" cm="1">
        <f t="array" ref="F44">INDEX($P$2:$X$60, MATCH(1, ($P$2:$P$60=$A44) * ($Q$2:$Q$60=$B44), 0), MATCH(F$3, $P$1:$X$1, 0))</f>
        <v>0.16139899999999999</v>
      </c>
      <c r="G44" cm="1">
        <f t="array" ref="G44">INDEX($P$2:$X$60, MATCH(1, ($P$2:$P$60=$A44) * ($Q$2:$Q$60=$B44), 0), MATCH(G$3, $P$1:$X$1, 0))</f>
        <v>2.9388999999999998E-2</v>
      </c>
      <c r="H44" cm="1">
        <f t="array" ref="H44">INDEX($P$2:$X$60, MATCH(1, ($P$2:$P$60=$A44) * ($Q$2:$Q$60=$B44), 0), MATCH(H$3, $P$1:$X$1, 0))</f>
        <v>2.7459999999999998E-2</v>
      </c>
      <c r="I44" cm="1">
        <f t="array" ref="I44">INDEX($P$2:$X$60, MATCH(1, ($P$2:$P$60=$A44) * ($Q$2:$Q$60=$B44), 0), MATCH(I$3, $P$1:$X$1, 0))</f>
        <v>5.877603787327021</v>
      </c>
      <c r="J44" cm="1">
        <f t="array" ref="J44">INDEX($P$2:$X$60, MATCH(1, ($P$2:$P$60=$A44) * ($Q$2:$Q$60=$B44), 0), MATCH(J$3, $P$1:$X$1, 0))</f>
        <v>18.668863801893664</v>
      </c>
      <c r="K44" cm="1">
        <f t="array" ref="K44">INDEX($P$2:$X$60, MATCH(1, ($P$2:$P$60=$A44) * ($Q$2:$Q$60=$B44), 0), MATCH(K$3, $P$1:$X$1, 0))</f>
        <v>1.0702476329206119</v>
      </c>
      <c r="L44" t="b" cm="1">
        <f t="array" ref="L44">INDEX($AA$2:$AC$60, MATCH(1, ($P$2:$P$60=$A44) * ($Q$2:$Q$60=$B44), 0), MATCH(I$3, $AA$1:$AC$1, 0))</f>
        <v>1</v>
      </c>
      <c r="M44" t="b" cm="1">
        <f t="array" ref="M44">INDEX($AA$2:$AC$60, MATCH(1, ($P$2:$P$60=$A44) * ($Q$2:$Q$60=$B44), 0), MATCH(J$3, $AA$1:$AC$1, 0))</f>
        <v>1</v>
      </c>
      <c r="N44" t="b" cm="1">
        <f t="array" ref="N44">INDEX($AA$2:$AC$60, MATCH(1, ($P$2:$P$60=$A44) * ($Q$2:$Q$60=$B44), 0), MATCH(K$3, $AA$1:$AC$1, 0))</f>
        <v>0</v>
      </c>
      <c r="P44" t="s">
        <v>77</v>
      </c>
      <c r="Q44" t="s">
        <v>8</v>
      </c>
      <c r="R44">
        <f>large!M3</f>
        <v>39.964737</v>
      </c>
      <c r="S44" t="e">
        <f>large!N3</f>
        <v>#N/A</v>
      </c>
      <c r="T44" t="e">
        <f>large!O3</f>
        <v>#N/A</v>
      </c>
      <c r="U44">
        <f>large!P3</f>
        <v>39.820056000000001</v>
      </c>
      <c r="V44" t="str">
        <f>large!U3</f>
        <v>DNF</v>
      </c>
      <c r="W44" t="str">
        <f>large!V3</f>
        <v>DNF</v>
      </c>
      <c r="X44">
        <f>large!W3</f>
        <v>1.0036333700786357</v>
      </c>
      <c r="Y44">
        <v>189</v>
      </c>
      <c r="AA44" t="b">
        <f>large!X26</f>
        <v>1</v>
      </c>
      <c r="AB44" t="b">
        <f>large!Y26</f>
        <v>1</v>
      </c>
      <c r="AC44" t="b">
        <f>large!Z26</f>
        <v>0</v>
      </c>
    </row>
    <row r="45" spans="1:29" x14ac:dyDescent="0.2">
      <c r="A45" t="s">
        <v>77</v>
      </c>
      <c r="B45" t="s">
        <v>35</v>
      </c>
      <c r="C45" t="s">
        <v>90</v>
      </c>
      <c r="D45" cm="1">
        <f t="array" ref="D45">IF(ISBLANK(INDEX($P$2:$Y$60, MATCH(1, ($P$2:$P$60=$A45) * ($Q$2:$Q$60=$B45), 0), MATCH(D$3, $P$1:$Y$1, 0))), "-", INDEX($P$2:$Y$60, MATCH(1, ($P$2:$P$60=$A45) * ($Q$2:$Q$60=$B45), 0), MATCH(D$3, $P$1:$Y$1, 0)))</f>
        <v>42</v>
      </c>
      <c r="E45" cm="1">
        <f t="array" ref="E45">INDEX($P$2:$X$60, MATCH(1, ($P$2:$P$60=$A45) * ($Q$2:$Q$60=$B45), 0), MATCH(E$3, $P$1:$X$1, 0))</f>
        <v>160.057196</v>
      </c>
      <c r="F45" cm="1">
        <f t="array" ref="F45">INDEX($P$2:$X$60, MATCH(1, ($P$2:$P$60=$A45) * ($Q$2:$Q$60=$B45), 0), MATCH(F$3, $P$1:$X$1, 0))</f>
        <v>1.7731779999999999</v>
      </c>
      <c r="G45" cm="1">
        <f t="array" ref="G45">INDEX($P$2:$X$60, MATCH(1, ($P$2:$P$60=$A45) * ($Q$2:$Q$60=$B45), 0), MATCH(G$3, $P$1:$X$1, 0))</f>
        <v>0.173037</v>
      </c>
      <c r="H45" cm="1">
        <f t="array" ref="H45">INDEX($P$2:$X$60, MATCH(1, ($P$2:$P$60=$A45) * ($Q$2:$Q$60=$B45), 0), MATCH(H$3, $P$1:$X$1, 0))</f>
        <v>0.17183200000000001</v>
      </c>
      <c r="I45" cm="1">
        <f t="array" ref="I45">INDEX($P$2:$X$60, MATCH(1, ($P$2:$P$60=$A45) * ($Q$2:$Q$60=$B45), 0), MATCH(I$3, $P$1:$X$1, 0))</f>
        <v>10.319253689650354</v>
      </c>
      <c r="J45" cm="1">
        <f t="array" ref="J45">INDEX($P$2:$X$60, MATCH(1, ($P$2:$P$60=$A45) * ($Q$2:$Q$60=$B45), 0), MATCH(J$3, $P$1:$X$1, 0))</f>
        <v>931.4749057218678</v>
      </c>
      <c r="K45" cm="1">
        <f t="array" ref="K45">INDEX($P$2:$X$60, MATCH(1, ($P$2:$P$60=$A45) * ($Q$2:$Q$60=$B45), 0), MATCH(K$3, $P$1:$X$1, 0))</f>
        <v>1.0070126635318217</v>
      </c>
      <c r="L45" t="b" cm="1">
        <f t="array" ref="L45">INDEX($AA$2:$AC$60, MATCH(1, ($P$2:$P$60=$A45) * ($Q$2:$Q$60=$B45), 0), MATCH(I$3, $AA$1:$AC$1, 0))</f>
        <v>1</v>
      </c>
      <c r="M45" t="b" cm="1">
        <f t="array" ref="M45">INDEX($AA$2:$AC$60, MATCH(1, ($P$2:$P$60=$A45) * ($Q$2:$Q$60=$B45), 0), MATCH(J$3, $AA$1:$AC$1, 0))</f>
        <v>1</v>
      </c>
      <c r="N45" t="b" cm="1">
        <f t="array" ref="N45">INDEX($AA$2:$AC$60, MATCH(1, ($P$2:$P$60=$A45) * ($Q$2:$Q$60=$B45), 0), MATCH(K$3, $AA$1:$AC$1, 0))</f>
        <v>0</v>
      </c>
      <c r="P45" t="s">
        <v>77</v>
      </c>
      <c r="Q45" t="s">
        <v>11</v>
      </c>
      <c r="R45">
        <f>large!M4</f>
        <v>4.0210999999999997E-2</v>
      </c>
      <c r="S45">
        <f>large!N4</f>
        <v>0.21196699999999999</v>
      </c>
      <c r="T45">
        <f>large!O4</f>
        <v>31.093031</v>
      </c>
      <c r="U45">
        <f>large!P4</f>
        <v>3.9167E-2</v>
      </c>
      <c r="V45">
        <f>large!U4</f>
        <v>5.4118773457247169</v>
      </c>
      <c r="W45">
        <f>large!V4</f>
        <v>793.85786503944644</v>
      </c>
      <c r="X45">
        <f>large!W4</f>
        <v>1.0266550922970867</v>
      </c>
      <c r="Y45">
        <v>9</v>
      </c>
      <c r="AA45" t="b">
        <f>large!X27</f>
        <v>1</v>
      </c>
      <c r="AB45" t="b">
        <f>large!Y27</f>
        <v>1</v>
      </c>
      <c r="AC45" t="b">
        <f>large!Z27</f>
        <v>0</v>
      </c>
    </row>
    <row r="46" spans="1:29" x14ac:dyDescent="0.2">
      <c r="A46" t="s">
        <v>73</v>
      </c>
      <c r="B46" t="s">
        <v>37</v>
      </c>
      <c r="C46" t="s">
        <v>74</v>
      </c>
      <c r="D46" cm="1">
        <f t="array" ref="D46">IF(ISBLANK(INDEX($P$2:$Y$60, MATCH(1, ($P$2:$P$60=$A46) * ($Q$2:$Q$60=$B46), 0), MATCH(D$3, $P$1:$Y$1, 0))), "", INDEX($P$2:$Y$60, MATCH(1, ($P$2:$P$60=$A46) * ($Q$2:$Q$60=$B46), 0), MATCH(D$3, $P$1:$Y$1, 0)))</f>
        <v>2</v>
      </c>
      <c r="E46" cm="1">
        <f t="array" ref="E46">INDEX($P$2:$X$60, MATCH(1, ($P$2:$P$60=$A46) * ($Q$2:$Q$60=$B46), 0), MATCH(E$3, $P$1:$X$1, 0))</f>
        <v>9.2900000000000003E-4</v>
      </c>
      <c r="F46" cm="1">
        <f t="array" ref="F46">INDEX($P$2:$X$60, MATCH(1, ($P$2:$P$60=$A46) * ($Q$2:$Q$60=$B46), 0), MATCH(F$3, $P$1:$X$1, 0))</f>
        <v>3.0089000000000001E-2</v>
      </c>
      <c r="G46" cm="1">
        <f t="array" ref="G46">INDEX($P$2:$X$60, MATCH(1, ($P$2:$P$60=$A46) * ($Q$2:$Q$60=$B46), 0), MATCH(G$3, $P$1:$X$1, 0))</f>
        <v>8.9650000000000007E-3</v>
      </c>
      <c r="H46" cm="1">
        <f t="array" ref="H46">INDEX($P$2:$X$60, MATCH(1, ($P$2:$P$60=$A46) * ($Q$2:$Q$60=$B46), 0), MATCH(H$3, $P$1:$X$1, 0))</f>
        <v>4.2230000000000002E-3</v>
      </c>
      <c r="I46" cm="1">
        <f t="array" ref="I46">INDEX($P$2:$X$60, MATCH(1, ($P$2:$P$60=$A46) * ($Q$2:$Q$60=$B46), 0), MATCH(I$3, $P$1:$X$1, 0))</f>
        <v>7.1250295998105608</v>
      </c>
      <c r="J46" cm="1">
        <f t="array" ref="J46">INDEX($P$2:$X$60, MATCH(1, ($P$2:$P$60=$A46) * ($Q$2:$Q$60=$B46), 0), MATCH(J$3, $P$1:$X$1, 0))</f>
        <v>0.21998579209093061</v>
      </c>
      <c r="K46" cm="1">
        <f t="array" ref="K46">INDEX($P$2:$X$60, MATCH(1, ($P$2:$P$60=$A46) * ($Q$2:$Q$60=$B46), 0), MATCH(K$3, $P$1:$X$1, 0))</f>
        <v>2.1228984134501538</v>
      </c>
      <c r="L46" t="b" cm="1">
        <f t="array" ref="L46">INDEX($AA$2:$AC$60, MATCH(1, ($P$2:$P$60=$A46) * ($Q$2:$Q$60=$B46), 0), MATCH(I$3, $AA$1:$AC$1, 0))</f>
        <v>1</v>
      </c>
      <c r="M46" t="b" cm="1">
        <f t="array" ref="M46">INDEX($AA$2:$AC$60, MATCH(1, ($P$2:$P$60=$A46) * ($Q$2:$Q$60=$B46), 0), MATCH(J$3, $AA$1:$AC$1, 0))</f>
        <v>0</v>
      </c>
      <c r="N46" t="b" cm="1">
        <f t="array" ref="N46">INDEX($AA$2:$AC$60, MATCH(1, ($P$2:$P$60=$A46) * ($Q$2:$Q$60=$B46), 0), MATCH(K$3, $AA$1:$AC$1, 0))</f>
        <v>0</v>
      </c>
      <c r="P46" t="s">
        <v>77</v>
      </c>
      <c r="Q46" t="s">
        <v>14</v>
      </c>
      <c r="R46">
        <f>large!M5</f>
        <v>0.173898</v>
      </c>
      <c r="S46">
        <f>large!N5</f>
        <v>0.66326399999999996</v>
      </c>
      <c r="T46" t="e">
        <f>large!O5</f>
        <v>#N/A</v>
      </c>
      <c r="U46">
        <f>large!P5</f>
        <v>0.178314</v>
      </c>
      <c r="V46">
        <f>large!U5</f>
        <v>3.7196406339378845</v>
      </c>
      <c r="W46" t="str">
        <f>large!V5</f>
        <v>DNF</v>
      </c>
      <c r="X46">
        <f>large!W5</f>
        <v>0.97523469834112853</v>
      </c>
      <c r="Y46">
        <v>4</v>
      </c>
      <c r="AA46" t="b">
        <f>large!X28</f>
        <v>1</v>
      </c>
      <c r="AB46" t="b">
        <f>large!Y28</f>
        <v>1</v>
      </c>
      <c r="AC46" t="b">
        <f>large!Z28</f>
        <v>0</v>
      </c>
    </row>
    <row r="47" spans="1:29" x14ac:dyDescent="0.2">
      <c r="A47" t="s">
        <v>75</v>
      </c>
      <c r="B47" t="s">
        <v>37</v>
      </c>
      <c r="C47" t="s">
        <v>82</v>
      </c>
      <c r="D47" cm="1">
        <f t="array" ref="D47">IF(ISBLANK(INDEX($P$2:$Y$60, MATCH(1, ($P$2:$P$60=$A47) * ($Q$2:$Q$60=$B47), 0), MATCH(D$3, $P$1:$Y$1, 0))), "-", INDEX($P$2:$Y$60, MATCH(1, ($P$2:$P$60=$A47) * ($Q$2:$Q$60=$B47), 0), MATCH(D$3, $P$1:$Y$1, 0)))</f>
        <v>5</v>
      </c>
      <c r="E47" cm="1">
        <f t="array" ref="E47">INDEX($P$2:$X$60, MATCH(1, ($P$2:$P$60=$A47) * ($Q$2:$Q$60=$B47), 0), MATCH(E$3, $P$1:$X$1, 0))</f>
        <v>0.364846</v>
      </c>
      <c r="F47" cm="1">
        <f t="array" ref="F47">INDEX($P$2:$X$60, MATCH(1, ($P$2:$P$60=$A47) * ($Q$2:$Q$60=$B47), 0), MATCH(F$3, $P$1:$X$1, 0))</f>
        <v>7.6234999999999997E-2</v>
      </c>
      <c r="G47" cm="1">
        <f t="array" ref="G47">INDEX($P$2:$X$60, MATCH(1, ($P$2:$P$60=$A47) * ($Q$2:$Q$60=$B47), 0), MATCH(G$3, $P$1:$X$1, 0))</f>
        <v>2.1453E-2</v>
      </c>
      <c r="H47" cm="1">
        <f t="array" ref="H47">INDEX($P$2:$X$60, MATCH(1, ($P$2:$P$60=$A47) * ($Q$2:$Q$60=$B47), 0), MATCH(H$3, $P$1:$X$1, 0))</f>
        <v>1.8523000000000001E-2</v>
      </c>
      <c r="I47" cm="1">
        <f t="array" ref="I47">INDEX($P$2:$X$60, MATCH(1, ($P$2:$P$60=$A47) * ($Q$2:$Q$60=$B47), 0), MATCH(I$3, $P$1:$X$1, 0))</f>
        <v>4.1156940020515034</v>
      </c>
      <c r="J47" cm="1">
        <f t="array" ref="J47">INDEX($P$2:$X$60, MATCH(1, ($P$2:$P$60=$A47) * ($Q$2:$Q$60=$B47), 0), MATCH(J$3, $P$1:$X$1, 0))</f>
        <v>19.696917346002266</v>
      </c>
      <c r="K47" cm="1">
        <f t="array" ref="K47">INDEX($P$2:$X$60, MATCH(1, ($P$2:$P$60=$A47) * ($Q$2:$Q$60=$B47), 0), MATCH(K$3, $P$1:$X$1, 0))</f>
        <v>1.1581817200237541</v>
      </c>
      <c r="L47" t="b" cm="1">
        <f t="array" ref="L47">INDEX($AA$2:$AC$60, MATCH(1, ($P$2:$P$60=$A47) * ($Q$2:$Q$60=$B47), 0), MATCH(I$3, $AA$1:$AC$1, 0))</f>
        <v>1</v>
      </c>
      <c r="M47" t="b" cm="1">
        <f t="array" ref="M47">INDEX($AA$2:$AC$60, MATCH(1, ($P$2:$P$60=$A47) * ($Q$2:$Q$60=$B47), 0), MATCH(J$3, $AA$1:$AC$1, 0))</f>
        <v>1</v>
      </c>
      <c r="N47" t="b" cm="1">
        <f t="array" ref="N47">INDEX($AA$2:$AC$60, MATCH(1, ($P$2:$P$60=$A47) * ($Q$2:$Q$60=$B47), 0), MATCH(K$3, $AA$1:$AC$1, 0))</f>
        <v>0</v>
      </c>
      <c r="P47" t="s">
        <v>77</v>
      </c>
      <c r="Q47" t="s">
        <v>16</v>
      </c>
      <c r="R47">
        <f>large!M6</f>
        <v>2.044222</v>
      </c>
      <c r="S47">
        <f>large!N6</f>
        <v>13.981866</v>
      </c>
      <c r="T47" t="e">
        <f>large!O6</f>
        <v>#N/A</v>
      </c>
      <c r="U47">
        <f>large!P6</f>
        <v>2.0521919999999998</v>
      </c>
      <c r="V47">
        <f>large!U6</f>
        <v>6.8131373672638826</v>
      </c>
      <c r="W47" t="str">
        <f>large!V6</f>
        <v>DNF</v>
      </c>
      <c r="X47">
        <f>large!W6</f>
        <v>0.9961163477881213</v>
      </c>
      <c r="Y47">
        <v>22</v>
      </c>
      <c r="AA47" t="b">
        <f>large!X29</f>
        <v>1</v>
      </c>
      <c r="AB47" t="b">
        <f>large!Y29</f>
        <v>1</v>
      </c>
      <c r="AC47" t="b">
        <f>large!Z29</f>
        <v>0</v>
      </c>
    </row>
    <row r="48" spans="1:29" x14ac:dyDescent="0.2">
      <c r="A48" t="s">
        <v>77</v>
      </c>
      <c r="B48" t="s">
        <v>37</v>
      </c>
      <c r="C48" t="s">
        <v>76</v>
      </c>
      <c r="D48" cm="1">
        <f t="array" ref="D48">IF(ISBLANK(INDEX($P$2:$Y$60, MATCH(1, ($P$2:$P$60=$A48) * ($Q$2:$Q$60=$B48), 0), MATCH(D$3, $P$1:$Y$1, 0))), "-", INDEX($P$2:$Y$60, MATCH(1, ($P$2:$P$60=$A48) * ($Q$2:$Q$60=$B48), 0), MATCH(D$3, $P$1:$Y$1, 0)))</f>
        <v>10</v>
      </c>
      <c r="E48" cm="1">
        <f t="array" ref="E48">INDEX($P$2:$X$60, MATCH(1, ($P$2:$P$60=$A48) * ($Q$2:$Q$60=$B48), 0), MATCH(E$3, $P$1:$X$1, 0))</f>
        <v>6.182118</v>
      </c>
      <c r="F48" cm="1">
        <f t="array" ref="F48">INDEX($P$2:$X$60, MATCH(1, ($P$2:$P$60=$A48) * ($Q$2:$Q$60=$B48), 0), MATCH(F$3, $P$1:$X$1, 0))</f>
        <v>0.243452</v>
      </c>
      <c r="G48" cm="1">
        <f t="array" ref="G48">INDEX($P$2:$X$60, MATCH(1, ($P$2:$P$60=$A48) * ($Q$2:$Q$60=$B48), 0), MATCH(G$3, $P$1:$X$1, 0))</f>
        <v>6.8706000000000003E-2</v>
      </c>
      <c r="H48" cm="1">
        <f t="array" ref="H48">INDEX($P$2:$X$60, MATCH(1, ($P$2:$P$60=$A48) * ($Q$2:$Q$60=$B48), 0), MATCH(H$3, $P$1:$X$1, 0))</f>
        <v>6.5031000000000005E-2</v>
      </c>
      <c r="I48" cm="1">
        <f t="array" ref="I48">INDEX($P$2:$X$60, MATCH(1, ($P$2:$P$60=$A48) * ($Q$2:$Q$60=$B48), 0), MATCH(I$3, $P$1:$X$1, 0))</f>
        <v>3.7436299610954773</v>
      </c>
      <c r="J48" cm="1">
        <f t="array" ref="J48">INDEX($P$2:$X$60, MATCH(1, ($P$2:$P$60=$A48) * ($Q$2:$Q$60=$B48), 0), MATCH(J$3, $P$1:$X$1, 0))</f>
        <v>95.064169396134147</v>
      </c>
      <c r="K48" cm="1">
        <f t="array" ref="K48">INDEX($P$2:$X$60, MATCH(1, ($P$2:$P$60=$A48) * ($Q$2:$Q$60=$B48), 0), MATCH(K$3, $P$1:$X$1, 0))</f>
        <v>1.0565115098952806</v>
      </c>
      <c r="L48" t="b" cm="1">
        <f t="array" ref="L48">INDEX($AA$2:$AC$60, MATCH(1, ($P$2:$P$60=$A48) * ($Q$2:$Q$60=$B48), 0), MATCH(I$3, $AA$1:$AC$1, 0))</f>
        <v>1</v>
      </c>
      <c r="M48" t="b" cm="1">
        <f t="array" ref="M48">INDEX($AA$2:$AC$60, MATCH(1, ($P$2:$P$60=$A48) * ($Q$2:$Q$60=$B48), 0), MATCH(J$3, $AA$1:$AC$1, 0))</f>
        <v>1</v>
      </c>
      <c r="N48" t="b" cm="1">
        <f t="array" ref="N48">INDEX($AA$2:$AC$60, MATCH(1, ($P$2:$P$60=$A48) * ($Q$2:$Q$60=$B48), 0), MATCH(K$3, $AA$1:$AC$1, 0))</f>
        <v>0</v>
      </c>
      <c r="P48" t="s">
        <v>77</v>
      </c>
      <c r="Q48" t="s">
        <v>18</v>
      </c>
      <c r="R48">
        <f>large!M7</f>
        <v>2.5248E-2</v>
      </c>
      <c r="S48">
        <f>large!N7</f>
        <v>6.2295000000000003E-2</v>
      </c>
      <c r="T48" t="e">
        <f>large!O7</f>
        <v>#N/A</v>
      </c>
      <c r="U48">
        <f>large!P7</f>
        <v>1.9688000000000001E-2</v>
      </c>
      <c r="V48">
        <f>large!U7</f>
        <v>3.1641101178382773</v>
      </c>
      <c r="W48" t="str">
        <f>large!V7</f>
        <v>DNF</v>
      </c>
      <c r="X48">
        <f>large!W7</f>
        <v>1.2824055262088581</v>
      </c>
      <c r="Y48">
        <v>1</v>
      </c>
      <c r="AA48" t="b">
        <f>large!X30</f>
        <v>1</v>
      </c>
      <c r="AB48" t="b">
        <f>large!Y30</f>
        <v>1</v>
      </c>
      <c r="AC48" t="b">
        <f>large!Z30</f>
        <v>0</v>
      </c>
    </row>
    <row r="49" spans="1:29" x14ac:dyDescent="0.2">
      <c r="A49" t="s">
        <v>73</v>
      </c>
      <c r="B49" t="s">
        <v>39</v>
      </c>
      <c r="C49" t="s">
        <v>74</v>
      </c>
      <c r="D49" cm="1">
        <f t="array" ref="D49">IF(ISBLANK(INDEX($P$2:$Y$60, MATCH(1, ($P$2:$P$60=$A49) * ($Q$2:$Q$60=$B49), 0), MATCH(D$3, $P$1:$Y$1, 0))), "", INDEX($P$2:$Y$60, MATCH(1, ($P$2:$P$60=$A49) * ($Q$2:$Q$60=$B49), 0), MATCH(D$3, $P$1:$Y$1, 0)))</f>
        <v>7</v>
      </c>
      <c r="E49" cm="1">
        <f t="array" ref="E49">INDEX($P$2:$X$60, MATCH(1, ($P$2:$P$60=$A49) * ($Q$2:$Q$60=$B49), 0), MATCH(E$3, $P$1:$X$1, 0))</f>
        <v>2.2160000000000001E-3</v>
      </c>
      <c r="F49" cm="1">
        <f t="array" ref="F49">INDEX($P$2:$X$60, MATCH(1, ($P$2:$P$60=$A49) * ($Q$2:$Q$60=$B49), 0), MATCH(F$3, $P$1:$X$1, 0))</f>
        <v>0.14585999999999999</v>
      </c>
      <c r="G49" cm="1">
        <f t="array" ref="G49">INDEX($P$2:$X$60, MATCH(1, ($P$2:$P$60=$A49) * ($Q$2:$Q$60=$B49), 0), MATCH(G$3, $P$1:$X$1, 0))</f>
        <v>1.2345E-2</v>
      </c>
      <c r="H49" cm="1">
        <f t="array" ref="H49">INDEX($P$2:$X$60, MATCH(1, ($P$2:$P$60=$A49) * ($Q$2:$Q$60=$B49), 0), MATCH(H$3, $P$1:$X$1, 0))</f>
        <v>7.6759999999999997E-3</v>
      </c>
      <c r="I49" cm="1">
        <f t="array" ref="I49">INDEX($P$2:$X$60, MATCH(1, ($P$2:$P$60=$A49) * ($Q$2:$Q$60=$B49), 0), MATCH(I$3, $P$1:$X$1, 0))</f>
        <v>19.002084418968213</v>
      </c>
      <c r="J49" cm="1">
        <f t="array" ref="J49">INDEX($P$2:$X$60, MATCH(1, ($P$2:$P$60=$A49) * ($Q$2:$Q$60=$B49), 0), MATCH(J$3, $P$1:$X$1, 0))</f>
        <v>0.28869202709744662</v>
      </c>
      <c r="K49" cm="1">
        <f t="array" ref="K49">INDEX($P$2:$X$60, MATCH(1, ($P$2:$P$60=$A49) * ($Q$2:$Q$60=$B49), 0), MATCH(K$3, $P$1:$X$1, 0))</f>
        <v>1.6082595101615424</v>
      </c>
      <c r="L49" t="b" cm="1">
        <f t="array" ref="L49">INDEX($AA$2:$AC$60, MATCH(1, ($P$2:$P$60=$A49) * ($Q$2:$Q$60=$B49), 0), MATCH(I$3, $AA$1:$AC$1, 0))</f>
        <v>1</v>
      </c>
      <c r="M49" t="b" cm="1">
        <f t="array" ref="M49">INDEX($AA$2:$AC$60, MATCH(1, ($P$2:$P$60=$A49) * ($Q$2:$Q$60=$B49), 0), MATCH(J$3, $AA$1:$AC$1, 0))</f>
        <v>1</v>
      </c>
      <c r="N49" t="b" cm="1">
        <f t="array" ref="N49">INDEX($AA$2:$AC$60, MATCH(1, ($P$2:$P$60=$A49) * ($Q$2:$Q$60=$B49), 0), MATCH(K$3, $AA$1:$AC$1, 0))</f>
        <v>0</v>
      </c>
      <c r="P49" t="s">
        <v>77</v>
      </c>
      <c r="Q49" t="s">
        <v>20</v>
      </c>
      <c r="R49">
        <f>large!M8</f>
        <v>0.73938199999999998</v>
      </c>
      <c r="S49">
        <f>large!N8</f>
        <v>0.91816200000000003</v>
      </c>
      <c r="T49">
        <f>large!O8</f>
        <v>33.901957000000003</v>
      </c>
      <c r="U49">
        <f>large!P8</f>
        <v>0.69452899999999995</v>
      </c>
      <c r="V49">
        <f>large!U8</f>
        <v>1.3219923142158212</v>
      </c>
      <c r="W49">
        <f>large!V8</f>
        <v>48.812874624385742</v>
      </c>
      <c r="X49">
        <f>large!W8</f>
        <v>1.0645804566835944</v>
      </c>
      <c r="Y49">
        <v>3</v>
      </c>
      <c r="AA49" t="b">
        <f>large!X31</f>
        <v>0</v>
      </c>
      <c r="AB49" t="b">
        <f>large!Y31</f>
        <v>1</v>
      </c>
      <c r="AC49" t="b">
        <f>large!Z31</f>
        <v>0</v>
      </c>
    </row>
    <row r="50" spans="1:29" x14ac:dyDescent="0.2">
      <c r="A50" t="s">
        <v>75</v>
      </c>
      <c r="B50" t="s">
        <v>39</v>
      </c>
      <c r="C50" t="s">
        <v>81</v>
      </c>
      <c r="D50" cm="1">
        <f t="array" ref="D50">IF(ISBLANK(INDEX($P$2:$Y$60, MATCH(1, ($P$2:$P$60=$A50) * ($Q$2:$Q$60=$B50), 0), MATCH(D$3, $P$1:$Y$1, 0))), "-", INDEX($P$2:$Y$60, MATCH(1, ($P$2:$P$60=$A50) * ($Q$2:$Q$60=$B50), 0), MATCH(D$3, $P$1:$Y$1, 0)))</f>
        <v>7</v>
      </c>
      <c r="E50" t="e" cm="1">
        <f t="array" ref="E50">INDEX($P$2:$X$60, MATCH(1, ($P$2:$P$60=$A50) * ($Q$2:$Q$60=$B50), 0), MATCH(E$3, $P$1:$X$1, 0))</f>
        <v>#N/A</v>
      </c>
      <c r="F50" cm="1">
        <f t="array" ref="F50">INDEX($P$2:$X$60, MATCH(1, ($P$2:$P$60=$A50) * ($Q$2:$Q$60=$B50), 0), MATCH(F$3, $P$1:$X$1, 0))</f>
        <v>2.6444559999999999</v>
      </c>
      <c r="G50" cm="1">
        <f t="array" ref="G50">INDEX($P$2:$X$60, MATCH(1, ($P$2:$P$60=$A50) * ($Q$2:$Q$60=$B50), 0), MATCH(G$3, $P$1:$X$1, 0))</f>
        <v>0.12890499999999999</v>
      </c>
      <c r="H50" cm="1">
        <f t="array" ref="H50">INDEX($P$2:$X$60, MATCH(1, ($P$2:$P$60=$A50) * ($Q$2:$Q$60=$B50), 0), MATCH(H$3, $P$1:$X$1, 0))</f>
        <v>0.13126599999999999</v>
      </c>
      <c r="I50" cm="1">
        <f t="array" ref="I50">INDEX($P$2:$X$60, MATCH(1, ($P$2:$P$60=$A50) * ($Q$2:$Q$60=$B50), 0), MATCH(I$3, $P$1:$X$1, 0))</f>
        <v>20.145780323922416</v>
      </c>
      <c r="J50" t="str" cm="1">
        <f t="array" ref="J50">INDEX($P$2:$X$60, MATCH(1, ($P$2:$P$60=$A50) * ($Q$2:$Q$60=$B50), 0), MATCH(J$3, $P$1:$X$1, 0))</f>
        <v>DNF</v>
      </c>
      <c r="K50" cm="1">
        <f t="array" ref="K50">INDEX($P$2:$X$60, MATCH(1, ($P$2:$P$60=$A50) * ($Q$2:$Q$60=$B50), 0), MATCH(K$3, $P$1:$X$1, 0))</f>
        <v>0.98201362119665414</v>
      </c>
      <c r="L50" t="b" cm="1">
        <f t="array" ref="L50">INDEX($AA$2:$AC$60, MATCH(1, ($P$2:$P$60=$A50) * ($Q$2:$Q$60=$B50), 0), MATCH(I$3, $AA$1:$AC$1, 0))</f>
        <v>1</v>
      </c>
      <c r="M50" t="b" cm="1">
        <f t="array" ref="M50">INDEX($AA$2:$AC$60, MATCH(1, ($P$2:$P$60=$A50) * ($Q$2:$Q$60=$B50), 0), MATCH(J$3, $AA$1:$AC$1, 0))</f>
        <v>1</v>
      </c>
      <c r="N50" t="b" cm="1">
        <f t="array" ref="N50">INDEX($AA$2:$AC$60, MATCH(1, ($P$2:$P$60=$A50) * ($Q$2:$Q$60=$B50), 0), MATCH(K$3, $AA$1:$AC$1, 0))</f>
        <v>0</v>
      </c>
      <c r="P50" t="s">
        <v>77</v>
      </c>
      <c r="Q50" t="s">
        <v>22</v>
      </c>
      <c r="R50">
        <f>large!M9</f>
        <v>28.579007000000001</v>
      </c>
      <c r="S50">
        <f>large!N9</f>
        <v>280.45619499999998</v>
      </c>
      <c r="T50" t="e">
        <f>large!O9</f>
        <v>#N/A</v>
      </c>
      <c r="U50">
        <f>large!P9</f>
        <v>28.561720000000001</v>
      </c>
      <c r="V50">
        <f>large!U9</f>
        <v>9.8193034243035768</v>
      </c>
      <c r="W50" t="str">
        <f>large!V9</f>
        <v>DNF</v>
      </c>
      <c r="X50">
        <f>large!W9</f>
        <v>1.0006052506641756</v>
      </c>
      <c r="Y50">
        <v>14</v>
      </c>
      <c r="AA50" t="b">
        <f>large!X32</f>
        <v>1</v>
      </c>
      <c r="AB50" t="b">
        <f>large!Y32</f>
        <v>1</v>
      </c>
      <c r="AC50" t="b">
        <f>large!Z32</f>
        <v>0</v>
      </c>
    </row>
    <row r="51" spans="1:29" x14ac:dyDescent="0.2">
      <c r="A51" t="s">
        <v>77</v>
      </c>
      <c r="B51" t="s">
        <v>39</v>
      </c>
      <c r="C51" t="s">
        <v>91</v>
      </c>
      <c r="D51" t="str" cm="1">
        <f t="array" ref="D51">IF(ISBLANK(INDEX($P$2:$Y$60, MATCH(1, ($P$2:$P$60=$A51) * ($Q$2:$Q$60=$B51), 0), MATCH(D$3, $P$1:$Y$1, 0))), "-", INDEX($P$2:$Y$60, MATCH(1, ($P$2:$P$60=$A51) * ($Q$2:$Q$60=$B51), 0), MATCH(D$3, $P$1:$Y$1, 0)))</f>
        <v>-</v>
      </c>
      <c r="E51" t="e" cm="1">
        <f t="array" ref="E51">INDEX($P$2:$X$60, MATCH(1, ($P$2:$P$60=$A51) * ($Q$2:$Q$60=$B51), 0), MATCH(E$3, $P$1:$X$1, 0))</f>
        <v>#N/A</v>
      </c>
      <c r="F51" cm="1">
        <f t="array" ref="F51">INDEX($P$2:$X$60, MATCH(1, ($P$2:$P$60=$A51) * ($Q$2:$Q$60=$B51), 0), MATCH(F$3, $P$1:$X$1, 0))</f>
        <v>9.3028110000000002</v>
      </c>
      <c r="G51" cm="1">
        <f t="array" ref="G51">INDEX($P$2:$X$60, MATCH(1, ($P$2:$P$60=$A51) * ($Q$2:$Q$60=$B51), 0), MATCH(G$3, $P$1:$X$1, 0))</f>
        <v>1.344222</v>
      </c>
      <c r="H51" cm="1">
        <f t="array" ref="H51">INDEX($P$2:$X$60, MATCH(1, ($P$2:$P$60=$A51) * ($Q$2:$Q$60=$B51), 0), MATCH(H$3, $P$1:$X$1, 0))</f>
        <v>1.3505579999999999</v>
      </c>
      <c r="I51" cm="1">
        <f t="array" ref="I51">INDEX($P$2:$X$60, MATCH(1, ($P$2:$P$60=$A51) * ($Q$2:$Q$60=$B51), 0), MATCH(I$3, $P$1:$X$1, 0))</f>
        <v>6.8881240198495739</v>
      </c>
      <c r="J51" t="str" cm="1">
        <f t="array" ref="J51">INDEX($P$2:$X$60, MATCH(1, ($P$2:$P$60=$A51) * ($Q$2:$Q$60=$B51), 0), MATCH(J$3, $P$1:$X$1, 0))</f>
        <v>DNF</v>
      </c>
      <c r="K51" cm="1">
        <f t="array" ref="K51">INDEX($P$2:$X$60, MATCH(1, ($P$2:$P$60=$A51) * ($Q$2:$Q$60=$B51), 0), MATCH(K$3, $P$1:$X$1, 0))</f>
        <v>0.99530860577627922</v>
      </c>
      <c r="L51" t="b" cm="1">
        <f t="array" ref="L51">INDEX($AA$2:$AC$60, MATCH(1, ($P$2:$P$60=$A51) * ($Q$2:$Q$60=$B51), 0), MATCH(I$3, $AA$1:$AC$1, 0))</f>
        <v>1</v>
      </c>
      <c r="M51" t="b" cm="1">
        <f t="array" ref="M51">INDEX($AA$2:$AC$60, MATCH(1, ($P$2:$P$60=$A51) * ($Q$2:$Q$60=$B51), 0), MATCH(J$3, $AA$1:$AC$1, 0))</f>
        <v>1</v>
      </c>
      <c r="N51" t="b" cm="1">
        <f t="array" ref="N51">INDEX($AA$2:$AC$60, MATCH(1, ($P$2:$P$60=$A51) * ($Q$2:$Q$60=$B51), 0), MATCH(K$3, $AA$1:$AC$1, 0))</f>
        <v>0</v>
      </c>
      <c r="P51" t="s">
        <v>77</v>
      </c>
      <c r="Q51" t="s">
        <v>58</v>
      </c>
      <c r="R51">
        <f>large!M10</f>
        <v>1.1264E-2</v>
      </c>
      <c r="S51">
        <f>large!N10</f>
        <v>0.120628</v>
      </c>
      <c r="T51">
        <f>large!O10</f>
        <v>210.90549999999999</v>
      </c>
      <c r="U51">
        <f>large!P10</f>
        <v>1.0271000000000001E-2</v>
      </c>
      <c r="V51">
        <f>large!U10</f>
        <v>11.744523415441533</v>
      </c>
      <c r="W51">
        <f>large!V10</f>
        <v>20534.076526141562</v>
      </c>
      <c r="X51">
        <f>large!W10</f>
        <v>1.096679972738779</v>
      </c>
      <c r="Y51">
        <v>5</v>
      </c>
      <c r="AA51" t="b">
        <f>large!X33</f>
        <v>1</v>
      </c>
      <c r="AB51" t="b">
        <f>large!Y33</f>
        <v>1</v>
      </c>
      <c r="AC51" t="b">
        <f>large!Z33</f>
        <v>0</v>
      </c>
    </row>
    <row r="52" spans="1:29" x14ac:dyDescent="0.2">
      <c r="P52" t="s">
        <v>77</v>
      </c>
      <c r="Q52" t="s">
        <v>25</v>
      </c>
      <c r="R52">
        <f>large!M11</f>
        <v>447.75497200000001</v>
      </c>
      <c r="S52" t="e">
        <f>large!N11</f>
        <v>#N/A</v>
      </c>
      <c r="T52" t="e">
        <f>large!O11</f>
        <v>#N/A</v>
      </c>
      <c r="U52">
        <f>large!P11</f>
        <v>442.861581</v>
      </c>
      <c r="V52" t="str">
        <f>large!U11</f>
        <v>DNF</v>
      </c>
      <c r="W52" t="str">
        <f>large!V11</f>
        <v>DNF</v>
      </c>
      <c r="X52">
        <f>large!W11</f>
        <v>1.0110494818470153</v>
      </c>
      <c r="AA52" t="b">
        <f>large!X34</f>
        <v>1</v>
      </c>
      <c r="AB52" t="b">
        <f>large!Y34</f>
        <v>1</v>
      </c>
      <c r="AC52" t="b">
        <f>large!Z34</f>
        <v>0</v>
      </c>
    </row>
    <row r="53" spans="1:29" x14ac:dyDescent="0.2">
      <c r="P53" t="s">
        <v>77</v>
      </c>
      <c r="Q53" t="s">
        <v>27</v>
      </c>
      <c r="R53">
        <f>large!M12</f>
        <v>0.47815000000000002</v>
      </c>
      <c r="S53" t="e">
        <f>large!N12</f>
        <v>#N/A</v>
      </c>
      <c r="T53" t="e">
        <f>large!O12</f>
        <v>#N/A</v>
      </c>
      <c r="U53">
        <f>large!P12</f>
        <v>0.477072</v>
      </c>
      <c r="V53" t="str">
        <f>large!U12</f>
        <v>DNF</v>
      </c>
      <c r="W53" t="str">
        <f>large!V12</f>
        <v>DNF</v>
      </c>
      <c r="X53">
        <f>large!W12</f>
        <v>1.0022596169970153</v>
      </c>
      <c r="AA53" t="b">
        <f>large!X35</f>
        <v>1</v>
      </c>
      <c r="AB53" t="b">
        <f>large!Y35</f>
        <v>1</v>
      </c>
      <c r="AC53" t="b">
        <f>large!Z35</f>
        <v>0</v>
      </c>
    </row>
    <row r="54" spans="1:29" x14ac:dyDescent="0.2">
      <c r="P54" t="s">
        <v>77</v>
      </c>
      <c r="Q54" t="s">
        <v>29</v>
      </c>
      <c r="R54">
        <f>large!M13</f>
        <v>0.70641200000000004</v>
      </c>
      <c r="S54">
        <f>large!N13</f>
        <v>0.71664899999999998</v>
      </c>
      <c r="T54" t="e">
        <f>large!O13</f>
        <v>#N/A</v>
      </c>
      <c r="U54">
        <f>large!P13</f>
        <v>0.71308899999999997</v>
      </c>
      <c r="V54">
        <f>large!U13</f>
        <v>1.0049923642069925</v>
      </c>
      <c r="W54" t="str">
        <f>large!V13</f>
        <v>DNF</v>
      </c>
      <c r="X54">
        <f>large!W13</f>
        <v>0.99063651241289663</v>
      </c>
      <c r="Y54">
        <v>2</v>
      </c>
      <c r="AA54" t="b">
        <f>large!X36</f>
        <v>0</v>
      </c>
      <c r="AB54" t="b">
        <f>large!Y36</f>
        <v>1</v>
      </c>
      <c r="AC54" t="b">
        <f>large!Z36</f>
        <v>0</v>
      </c>
    </row>
    <row r="55" spans="1:29" x14ac:dyDescent="0.2">
      <c r="P55" t="s">
        <v>77</v>
      </c>
      <c r="Q55" t="s">
        <v>31</v>
      </c>
      <c r="R55">
        <f>large!M14</f>
        <v>0.87323200000000001</v>
      </c>
      <c r="S55">
        <f>large!N14</f>
        <v>3.3688129999999998</v>
      </c>
      <c r="T55" t="e">
        <f>large!O14</f>
        <v>#N/A</v>
      </c>
      <c r="U55">
        <f>large!P14</f>
        <v>0.86595999999999995</v>
      </c>
      <c r="V55">
        <f>large!U14</f>
        <v>3.8902639844796525</v>
      </c>
      <c r="W55" t="str">
        <f>large!V14</f>
        <v>DNF</v>
      </c>
      <c r="X55">
        <f>large!W14</f>
        <v>1.0083976165180841</v>
      </c>
      <c r="Y55">
        <v>7</v>
      </c>
      <c r="AA55" t="b">
        <f>large!X37</f>
        <v>1</v>
      </c>
      <c r="AB55" t="b">
        <f>large!Y37</f>
        <v>1</v>
      </c>
      <c r="AC55" t="b">
        <f>large!Z37</f>
        <v>0</v>
      </c>
    </row>
    <row r="56" spans="1:29" x14ac:dyDescent="0.2">
      <c r="A56" t="s">
        <v>92</v>
      </c>
      <c r="P56" t="s">
        <v>77</v>
      </c>
      <c r="Q56" t="s">
        <v>33</v>
      </c>
      <c r="R56">
        <f>large!M15</f>
        <v>2.1882549999999998</v>
      </c>
      <c r="S56" t="e">
        <f>large!N15</f>
        <v>#N/A</v>
      </c>
      <c r="T56" t="e">
        <f>large!O15</f>
        <v>#N/A</v>
      </c>
      <c r="U56">
        <f>large!P15</f>
        <v>2.1123400000000001</v>
      </c>
      <c r="V56" t="str">
        <f>large!U15</f>
        <v>DNF</v>
      </c>
      <c r="W56" t="str">
        <f>large!V15</f>
        <v>DNF</v>
      </c>
      <c r="X56">
        <f>large!W15</f>
        <v>1.0359388166677712</v>
      </c>
      <c r="AA56" t="b">
        <f>large!X38</f>
        <v>1</v>
      </c>
      <c r="AB56" t="b">
        <f>large!Y38</f>
        <v>1</v>
      </c>
      <c r="AC56" t="b">
        <f>large!Z38</f>
        <v>0</v>
      </c>
    </row>
    <row r="57" spans="1:29" x14ac:dyDescent="0.2">
      <c r="A57" t="s">
        <v>1</v>
      </c>
      <c r="B57" t="s">
        <v>69</v>
      </c>
      <c r="C57" t="s">
        <v>68</v>
      </c>
      <c r="D57" t="s">
        <v>4</v>
      </c>
      <c r="E57" t="s">
        <v>93</v>
      </c>
      <c r="F57" t="s">
        <v>2</v>
      </c>
      <c r="G57" t="s">
        <v>5</v>
      </c>
      <c r="H57" t="s">
        <v>94</v>
      </c>
      <c r="I57" t="s">
        <v>95</v>
      </c>
      <c r="J57" t="s">
        <v>102</v>
      </c>
      <c r="P57" t="s">
        <v>77</v>
      </c>
      <c r="Q57" t="s">
        <v>35</v>
      </c>
      <c r="R57">
        <f>large!M16</f>
        <v>0.173037</v>
      </c>
      <c r="S57">
        <f>large!N16</f>
        <v>1.7731779999999999</v>
      </c>
      <c r="T57">
        <f>large!O16</f>
        <v>160.057196</v>
      </c>
      <c r="U57">
        <f>large!P16</f>
        <v>0.17183200000000001</v>
      </c>
      <c r="V57">
        <f>large!U16</f>
        <v>10.319253689650354</v>
      </c>
      <c r="W57">
        <f>large!V16</f>
        <v>931.4749057218678</v>
      </c>
      <c r="X57">
        <f>large!W16</f>
        <v>1.0070126635318217</v>
      </c>
      <c r="Y57">
        <v>42</v>
      </c>
      <c r="AA57" t="b">
        <f>large!X39</f>
        <v>1</v>
      </c>
      <c r="AB57" t="b">
        <f>large!Y39</f>
        <v>1</v>
      </c>
      <c r="AC57" t="b">
        <f>large!Z39</f>
        <v>0</v>
      </c>
    </row>
    <row r="58" spans="1:29" x14ac:dyDescent="0.2">
      <c r="A58" t="s">
        <v>8</v>
      </c>
      <c r="B58" t="str">
        <f>C4</f>
        <v>0.01MB</v>
      </c>
      <c r="C58">
        <f>IF(ISBLANK(D4), "-", D4)</f>
        <v>3</v>
      </c>
      <c r="D58" t="str">
        <f>IF(ISNA(E4), $C$1, TEXT(E4, "0.000"))</f>
        <v>0.001</v>
      </c>
      <c r="E58" t="str">
        <f>IF(ISNA(F4), $C$1, TEXT(F4, "0.000"))</f>
        <v>0.045</v>
      </c>
      <c r="F58" t="str">
        <f>IF(ISNA(G4), $C$1, TEXT(G4, "0.000"))</f>
        <v>0.007</v>
      </c>
      <c r="G58" t="str">
        <f>IF(ISNA(H4), $C$1, TEXT(H4, "0.000"))</f>
        <v>0.006</v>
      </c>
      <c r="H58" t="str">
        <f>IF($F58=$C$1, $D$1, IF($J4="DNF", "&gt;" &amp; TEXT($B$1/$F58,"0.00") &amp; "X", TEXT($J4, "0.00") &amp; "X" &amp; IF(M4, "", "*")))</f>
        <v>0.24X</v>
      </c>
      <c r="I58" t="str">
        <f>IF($F58=$C$1, $D$1, IF($I4="DNF", "&gt;" &amp; TEXT($B$1/$F58,"0.00") &amp; "X", TEXT($I4, "0.00") &amp; "X" &amp; IF(L4, "", "*")))</f>
        <v>7.79X</v>
      </c>
      <c r="J58" t="str">
        <f>IF($F58=$C$1, $D$1, IF($K4="DNF", "&gt;" &amp; TEXT($B$1/$F58,"0.00") &amp; "X", TEXT($K4, "0.00") &amp; "X" &amp; IF(N4, "", "*")))</f>
        <v>1.27X*</v>
      </c>
      <c r="K58" t="str">
        <f>"&amp;" &amp; B58 &amp; "&amp;" &amp; C58 &amp; "&amp;" &amp; D58 &amp; "&amp;" &amp; E58 &amp; "&amp;" &amp; F58 &amp; "&amp;" &amp; H58 &amp; "&amp;" &amp; I58 &amp;  "&amp;" &amp;  J58  &amp; "\\"</f>
        <v>&amp;0.01MB&amp;3&amp;0.001&amp;0.045&amp;0.007&amp;0.24X&amp;7.79X&amp;1.27X*\\</v>
      </c>
      <c r="P58" t="s">
        <v>77</v>
      </c>
      <c r="Q58" t="s">
        <v>37</v>
      </c>
      <c r="R58">
        <f>large!M17</f>
        <v>6.8706000000000003E-2</v>
      </c>
      <c r="S58">
        <f>large!N17</f>
        <v>0.243452</v>
      </c>
      <c r="T58">
        <f>large!O17</f>
        <v>6.182118</v>
      </c>
      <c r="U58">
        <f>large!P17</f>
        <v>6.5031000000000005E-2</v>
      </c>
      <c r="V58">
        <f>large!U17</f>
        <v>3.7436299610954773</v>
      </c>
      <c r="W58">
        <f>large!V17</f>
        <v>95.064169396134147</v>
      </c>
      <c r="X58">
        <f>large!W17</f>
        <v>1.0565115098952806</v>
      </c>
      <c r="Y58">
        <v>10</v>
      </c>
      <c r="AA58" t="b">
        <f>large!X40</f>
        <v>1</v>
      </c>
      <c r="AB58" t="b">
        <f>large!Y40</f>
        <v>1</v>
      </c>
      <c r="AC58" t="b">
        <f>large!Z40</f>
        <v>0</v>
      </c>
    </row>
    <row r="59" spans="1:29" x14ac:dyDescent="0.2">
      <c r="B59" t="str">
        <f>C5</f>
        <v>10MB</v>
      </c>
      <c r="C59">
        <f>IF(ISBLANK(D5), "-", D5)</f>
        <v>15</v>
      </c>
      <c r="D59" t="str">
        <f>IF(ISNA(E5), $C$1, TEXT(E5, "0.000"))</f>
        <v>3.440</v>
      </c>
      <c r="E59" t="str">
        <f>IF(ISNA(F5), $C$1, TEXT(F5, "0.000"))</f>
        <v>0.435</v>
      </c>
      <c r="F59" t="str">
        <f>IF(ISNA(G5), $C$1, TEXT(G5, "0.000"))</f>
        <v>0.219</v>
      </c>
      <c r="G59" t="str">
        <f>IF(ISNA(H5), $C$1, TEXT(H5, "0.000"))</f>
        <v>0.233</v>
      </c>
      <c r="H59" t="str">
        <f>IF($F59=$C$1, $D$1, IF($J5="DNF", "&gt;" &amp; TEXT($B$1/$F59,"0.00") &amp; "X", TEXT($J5, "0.00") &amp; "X" &amp; IF(M5, "", "*")))</f>
        <v>14.74X</v>
      </c>
      <c r="I59" t="str">
        <f>IF($F59=$C$1, $D$1, IF($I5="DNF", "&gt;" &amp; TEXT($B$1/$F59,"0.00") &amp; "X", TEXT($I5, "0.00") &amp; "X" &amp; IF(L5, "", "*")))</f>
        <v>1.86X</v>
      </c>
      <c r="J59" t="str">
        <f>IF($F59=$C$1, $D$1, IF($K5="DNF", "&gt;" &amp; TEXT($B$1/$F59,"0.00") &amp; "X", TEXT($K5, "0.00") &amp; "X" &amp; IF(N5, "", "*")))</f>
        <v>0.94X*</v>
      </c>
      <c r="K59" t="str">
        <f>"&amp;" &amp; B59 &amp; "&amp;" &amp; C59 &amp; "&amp;" &amp; D59 &amp; "&amp;" &amp; E59 &amp; "&amp;" &amp; F59 &amp; "&amp;" &amp; H59 &amp; "&amp;" &amp; I59 &amp;  "&amp;" &amp;  J59  &amp; "\\"</f>
        <v>&amp;10MB&amp;15&amp;3.440&amp;0.435&amp;0.219&amp;14.74X&amp;1.86X&amp;0.94X*\\</v>
      </c>
      <c r="P59" t="s">
        <v>77</v>
      </c>
      <c r="Q59" t="s">
        <v>39</v>
      </c>
      <c r="R59">
        <f>large!M18</f>
        <v>1.344222</v>
      </c>
      <c r="S59">
        <f>large!N18</f>
        <v>9.3028110000000002</v>
      </c>
      <c r="T59" t="e">
        <f>large!O18</f>
        <v>#N/A</v>
      </c>
      <c r="U59">
        <f>large!P18</f>
        <v>1.3505579999999999</v>
      </c>
      <c r="V59">
        <f>large!U18</f>
        <v>6.8881240198495739</v>
      </c>
      <c r="W59" t="str">
        <f>large!V18</f>
        <v>DNF</v>
      </c>
      <c r="X59">
        <f>large!W18</f>
        <v>0.99530860577627922</v>
      </c>
      <c r="AA59" t="b">
        <f>large!X41</f>
        <v>1</v>
      </c>
      <c r="AB59" t="b">
        <f>large!Y41</f>
        <v>1</v>
      </c>
      <c r="AC59" t="b">
        <f>large!Z41</f>
        <v>0</v>
      </c>
    </row>
    <row r="60" spans="1:29" x14ac:dyDescent="0.2">
      <c r="B60" t="str">
        <f>C6</f>
        <v>100MB</v>
      </c>
      <c r="C60">
        <f>IF(ISBLANK(D6), "-", D6)</f>
        <v>189</v>
      </c>
      <c r="D60" t="str">
        <f>IF(ISNA(E6), $C$1, TEXT(E6, "0.000"))</f>
        <v>TO</v>
      </c>
      <c r="E60" t="str">
        <f>IF(ISNA(F6), $C$1, TEXT(F6, "0.000"))</f>
        <v>TO</v>
      </c>
      <c r="F60" t="str">
        <f>IF(ISNA(G6), $C$1, TEXT(G6, "0.000"))</f>
        <v>39.965</v>
      </c>
      <c r="G60" t="str">
        <f>IF(ISNA(H6), $C$1, TEXT(H6, "0.000"))</f>
        <v>39.820</v>
      </c>
      <c r="H60" t="str">
        <f>IF($F60=$C$1, $D$1, IF($J6="DNF", "&gt;" &amp; TEXT($B$1/$F60,"0.00") &amp; "X", TEXT($J6, "0.00") &amp; "X" &amp; IF(M6, "", "*")))</f>
        <v>&gt;15.01X</v>
      </c>
      <c r="I60" t="str">
        <f>IF($F60=$C$1, $D$1, IF($I6="DNF", "&gt;" &amp; TEXT($B$1/$F60,"0.00") &amp; "X", TEXT($I6, "0.00") &amp; "X" &amp; IF(L6, "", "*")))</f>
        <v>&gt;15.01X</v>
      </c>
      <c r="J60" t="str">
        <f>IF($F60=$C$1, $D$1, IF($K6="DNF", "&gt;" &amp; TEXT($B$1/$F60,"0.00") &amp; "X", TEXT($K6, "0.00") &amp; "X" &amp; IF(N6, "", "*")))</f>
        <v>1.00X*</v>
      </c>
      <c r="K60" t="str">
        <f>"&amp;" &amp; B60 &amp; "&amp;" &amp; C60 &amp; "&amp;" &amp; D60 &amp; "&amp;" &amp; E60 &amp; "&amp;" &amp; F60 &amp; "&amp;" &amp; H60 &amp; "&amp;" &amp; I60 &amp;  "&amp;" &amp;  J60  &amp; "\\"</f>
        <v>&amp;100MB&amp;189&amp;TO&amp;TO&amp;39.965&amp;&gt;15.01X&amp;&gt;15.01X&amp;1.00X*\\</v>
      </c>
    </row>
    <row r="61" spans="1:29" x14ac:dyDescent="0.2">
      <c r="A61" t="s">
        <v>11</v>
      </c>
      <c r="B61" t="str">
        <f>C7</f>
        <v>0.01MB</v>
      </c>
      <c r="C61">
        <f>IF(ISBLANK(D7), "-", D7)</f>
        <v>3</v>
      </c>
      <c r="D61" t="str">
        <f>IF(ISNA(E7), $C$1, TEXT(E7, "0.000"))</f>
        <v>0.001</v>
      </c>
      <c r="E61" t="str">
        <f>IF(ISNA(F7), $C$1, TEXT(F7, "0.000"))</f>
        <v>0.051</v>
      </c>
      <c r="F61" t="str">
        <f>IF(ISNA(G7), $C$1, TEXT(G7, "0.000"))</f>
        <v>0.015</v>
      </c>
      <c r="G61" t="str">
        <f>IF(ISNA(H7), $C$1, TEXT(H7, "0.000"))</f>
        <v>0.014</v>
      </c>
      <c r="H61" t="str">
        <f>IF($F61=$C$1, $D$1, IF($J7="DNF", "&gt;" &amp; TEXT($B$1/$F61,"0.00") &amp; "X", TEXT($J7, "0.00") &amp; "X" &amp; IF(M7, "", "*")))</f>
        <v>0.10X*</v>
      </c>
      <c r="I61" t="str">
        <f>IF($F61=$C$1, $D$1, IF($I7="DNF", "&gt;" &amp; TEXT($B$1/$F61,"0.00") &amp; "X", TEXT($I7, "0.00") &amp; "X" &amp; IF(L7, "", "*")))</f>
        <v>3.64X</v>
      </c>
      <c r="J61" t="str">
        <f>IF($F61=$C$1, $D$1, IF($K7="DNF", "&gt;" &amp; TEXT($B$1/$F61,"0.00") &amp; "X", TEXT($K7, "0.00") &amp; "X" &amp; IF(N7, "", "*")))</f>
        <v>1.05X*</v>
      </c>
      <c r="K61" t="str">
        <f>"&amp;" &amp; B61 &amp; "&amp;" &amp; C61 &amp; "&amp;" &amp; D61 &amp; "&amp;" &amp; E61 &amp; "&amp;" &amp; F61 &amp; "&amp;" &amp; H61 &amp; "&amp;" &amp; I61 &amp;  "&amp;" &amp;  J61  &amp; "\\"</f>
        <v>&amp;0.01MB&amp;3&amp;0.001&amp;0.051&amp;0.015&amp;0.10X*&amp;3.64X&amp;1.05X*\\</v>
      </c>
    </row>
    <row r="62" spans="1:29" x14ac:dyDescent="0.2">
      <c r="B62" t="str">
        <f>C8</f>
        <v>0.02MB</v>
      </c>
      <c r="C62">
        <f>IF(ISBLANK(D8), "-", D8)</f>
        <v>4</v>
      </c>
      <c r="D62" t="str">
        <f>IF(ISNA(E8), $C$1, TEXT(E8, "0.000"))</f>
        <v>3.496</v>
      </c>
      <c r="E62" t="str">
        <f>IF(ISNA(F8), $C$1, TEXT(F8, "0.000"))</f>
        <v>0.091</v>
      </c>
      <c r="F62" t="str">
        <f>IF(ISNA(G8), $C$1, TEXT(G8, "0.000"))</f>
        <v>0.019</v>
      </c>
      <c r="G62" t="str">
        <f>IF(ISNA(H8), $C$1, TEXT(H8, "0.000"))</f>
        <v>0.018</v>
      </c>
      <c r="H62" t="str">
        <f>IF($F62=$C$1, $D$1, IF($J8="DNF", "&gt;" &amp; TEXT($B$1/$F62,"0.00") &amp; "X", TEXT($J8, "0.00") &amp; "X" &amp; IF(M8, "", "*")))</f>
        <v>191.05X</v>
      </c>
      <c r="I62" t="str">
        <f>IF($F62=$C$1, $D$1, IF($I8="DNF", "&gt;" &amp; TEXT($B$1/$F62,"0.00") &amp; "X", TEXT($I8, "0.00") &amp; "X" &amp; IF(L8, "", "*")))</f>
        <v>4.96X</v>
      </c>
      <c r="J62" t="str">
        <f>IF($F62=$C$1, $D$1, IF($K8="DNF", "&gt;" &amp; TEXT($B$1/$F62,"0.00") &amp; "X", TEXT($K8, "0.00") &amp; "X" &amp; IF(N8, "", "*")))</f>
        <v>1.04X*</v>
      </c>
      <c r="K62" t="str">
        <f>"&amp;" &amp; B62 &amp; "&amp;" &amp; C62 &amp; "&amp;" &amp; D62 &amp; "&amp;" &amp; E62 &amp; "&amp;" &amp; F62 &amp; "&amp;" &amp; H62 &amp; "&amp;" &amp; I62 &amp;  "&amp;" &amp;  J62  &amp; "\\"</f>
        <v>&amp;0.02MB&amp;4&amp;3.496&amp;0.091&amp;0.019&amp;191.05X&amp;4.96X&amp;1.04X*\\</v>
      </c>
    </row>
    <row r="63" spans="1:29" x14ac:dyDescent="0.2">
      <c r="B63" t="str">
        <f>C9</f>
        <v>0.04MB</v>
      </c>
      <c r="C63">
        <f>IF(ISBLANK(D9), "-", D9)</f>
        <v>9</v>
      </c>
      <c r="D63" t="str">
        <f>IF(ISNA(E9), $C$1, TEXT(E9, "0.000"))</f>
        <v>31.093</v>
      </c>
      <c r="E63" t="str">
        <f>IF(ISNA(F9), $C$1, TEXT(F9, "0.000"))</f>
        <v>0.212</v>
      </c>
      <c r="F63" t="str">
        <f>IF(ISNA(G9), $C$1, TEXT(G9, "0.000"))</f>
        <v>0.040</v>
      </c>
      <c r="G63" t="str">
        <f>IF(ISNA(H9), $C$1, TEXT(H9, "0.000"))</f>
        <v>0.039</v>
      </c>
      <c r="H63" t="str">
        <f>IF($F63=$C$1, $D$1, IF($J9="DNF", "&gt;" &amp; TEXT($B$1/$F63,"0.00") &amp; "X", TEXT($J9, "0.00") &amp; "X" &amp; IF(M9, "", "*")))</f>
        <v>793.86X</v>
      </c>
      <c r="I63" t="str">
        <f>IF($F63=$C$1, $D$1, IF($I9="DNF", "&gt;" &amp; TEXT($B$1/$F63,"0.00") &amp; "X", TEXT($I9, "0.00") &amp; "X" &amp; IF(L9, "", "*")))</f>
        <v>5.41X</v>
      </c>
      <c r="J63" t="str">
        <f>IF($F63=$C$1, $D$1, IF($K9="DNF", "&gt;" &amp; TEXT($B$1/$F63,"0.00") &amp; "X", TEXT($K9, "0.00") &amp; "X" &amp; IF(N9, "", "*")))</f>
        <v>1.03X*</v>
      </c>
      <c r="K63" t="str">
        <f>"&amp;" &amp; B63 &amp; "&amp;" &amp; C63 &amp; "&amp;" &amp; D63 &amp; "&amp;" &amp; E63 &amp; "&amp;" &amp; F63 &amp; "&amp;" &amp; H63 &amp; "&amp;" &amp; I63 &amp;  "&amp;" &amp;  J63  &amp; "\\"</f>
        <v>&amp;0.04MB&amp;9&amp;31.093&amp;0.212&amp;0.040&amp;793.86X&amp;5.41X&amp;1.03X*\\</v>
      </c>
    </row>
    <row r="64" spans="1:29" x14ac:dyDescent="0.2">
      <c r="A64" t="s">
        <v>14</v>
      </c>
      <c r="B64" t="str">
        <f>C10</f>
        <v>0.01MB</v>
      </c>
      <c r="C64">
        <f>IF(ISBLANK(D10), "-", D10)</f>
        <v>3</v>
      </c>
      <c r="D64" t="str">
        <f>IF(ISNA(E10), $C$1, TEXT(E10, "0.000"))</f>
        <v>0.004</v>
      </c>
      <c r="E64" t="str">
        <f>IF(ISNA(F10), $C$1, TEXT(F10, "0.000"))</f>
        <v>0.041</v>
      </c>
      <c r="F64" t="str">
        <f>IF(ISNA(G10), $C$1, TEXT(G10, "0.000"))</f>
        <v>0.013</v>
      </c>
      <c r="G64" t="str">
        <f>IF(ISNA(H10), $C$1, TEXT(H10, "0.000"))</f>
        <v>0.010</v>
      </c>
      <c r="H64" t="str">
        <f>IF($F64=$C$1, $D$1, IF($J10="DNF", "&gt;" &amp; TEXT($B$1/$F64,"0.00") &amp; "X", TEXT($J10, "0.00") &amp; "X" &amp; IF(M10, "", "*")))</f>
        <v>0.36X*</v>
      </c>
      <c r="I64" t="str">
        <f>IF($F64=$C$1, $D$1, IF($I10="DNF", "&gt;" &amp; TEXT($B$1/$F64,"0.00") &amp; "X", TEXT($I10, "0.00") &amp; "X" &amp; IF(L10, "", "*")))</f>
        <v>4.20X</v>
      </c>
      <c r="J64" t="str">
        <f>IF($F64=$C$1, $D$1, IF($K10="DNF", "&gt;" &amp; TEXT($B$1/$F64,"0.00") &amp; "X", TEXT($K10, "0.00") &amp; "X" &amp; IF(N10, "", "*")))</f>
        <v>1.32X*</v>
      </c>
      <c r="K64" t="str">
        <f>"&amp;" &amp; B64 &amp; "&amp;" &amp; C64 &amp; "&amp;" &amp; D64 &amp; "&amp;" &amp; E64 &amp; "&amp;" &amp; F64 &amp; "&amp;" &amp; H64 &amp; "&amp;" &amp; I64 &amp;  "&amp;" &amp;  J64  &amp; "\\"</f>
        <v>&amp;0.01MB&amp;3&amp;0.004&amp;0.041&amp;0.013&amp;0.36X*&amp;4.20X&amp;1.32X*\\</v>
      </c>
    </row>
    <row r="65" spans="1:11" x14ac:dyDescent="0.2">
      <c r="B65" t="str">
        <f>C11</f>
        <v>1MB</v>
      </c>
      <c r="C65">
        <f>IF(ISBLANK(D11), "-", D11)</f>
        <v>3</v>
      </c>
      <c r="D65" t="str">
        <f>IF(ISNA(E11), $C$1, TEXT(E11, "0.000"))</f>
        <v>19.846</v>
      </c>
      <c r="E65" t="str">
        <f>IF(ISNA(F11), $C$1, TEXT(F11, "0.000"))</f>
        <v>0.185</v>
      </c>
      <c r="F65" t="str">
        <f>IF(ISNA(G11), $C$1, TEXT(G11, "0.000"))</f>
        <v>0.049</v>
      </c>
      <c r="G65" t="str">
        <f>IF(ISNA(H11), $C$1, TEXT(H11, "0.000"))</f>
        <v>0.045</v>
      </c>
      <c r="H65" t="str">
        <f>IF($F65=$C$1, $D$1, IF($J11="DNF", "&gt;" &amp; TEXT($B$1/$F65,"0.00") &amp; "X", TEXT($J11, "0.00") &amp; "X" &amp; IF(M11, "", "*")))</f>
        <v>440.16X</v>
      </c>
      <c r="I65" t="str">
        <f>IF($F65=$C$1, $D$1, IF($I11="DNF", "&gt;" &amp; TEXT($B$1/$F65,"0.00") &amp; "X", TEXT($I11, "0.00") &amp; "X" &amp; IF(L11, "", "*")))</f>
        <v>4.10X</v>
      </c>
      <c r="J65" t="str">
        <f>IF($F65=$C$1, $D$1, IF($K11="DNF", "&gt;" &amp; TEXT($B$1/$F65,"0.00") &amp; "X", TEXT($K11, "0.00") &amp; "X" &amp; IF(N11, "", "*")))</f>
        <v>1.08X*</v>
      </c>
      <c r="K65" t="str">
        <f>"&amp;" &amp; B65 &amp; "&amp;" &amp; C65 &amp; "&amp;" &amp; D65 &amp; "&amp;" &amp; E65 &amp; "&amp;" &amp; F65 &amp; "&amp;" &amp; H65 &amp; "&amp;" &amp; I65 &amp;  "&amp;" &amp;  J65  &amp; "\\"</f>
        <v>&amp;1MB&amp;3&amp;19.846&amp;0.185&amp;0.049&amp;440.16X&amp;4.10X&amp;1.08X*\\</v>
      </c>
    </row>
    <row r="66" spans="1:11" x14ac:dyDescent="0.2">
      <c r="B66" t="str">
        <f>C12</f>
        <v>5MB</v>
      </c>
      <c r="C66">
        <f>IF(ISBLANK(D12), "-", D12)</f>
        <v>4</v>
      </c>
      <c r="D66" t="str">
        <f>IF(ISNA(E12), $C$1, TEXT(E12, "0.000"))</f>
        <v>TO</v>
      </c>
      <c r="E66" t="str">
        <f>IF(ISNA(F12), $C$1, TEXT(F12, "0.000"))</f>
        <v>0.663</v>
      </c>
      <c r="F66" t="str">
        <f>IF(ISNA(G12), $C$1, TEXT(G12, "0.000"))</f>
        <v>0.174</v>
      </c>
      <c r="G66" t="str">
        <f>IF(ISNA(H12), $C$1, TEXT(H12, "0.000"))</f>
        <v>0.178</v>
      </c>
      <c r="H66" t="str">
        <f>IF($F66=$C$1, $D$1, IF($J12="DNF", "&gt;" &amp; TEXT($B$1/$F66,"0.00") &amp; "X", TEXT($J12, "0.00") &amp; "X" &amp; IF(M12, "", "*")))</f>
        <v>&gt;3448.28X</v>
      </c>
      <c r="I66" t="str">
        <f>IF($F66=$C$1, $D$1, IF($I12="DNF", "&gt;" &amp; TEXT($B$1/$F66,"0.00") &amp; "X", TEXT($I12, "0.00") &amp; "X" &amp; IF(L12, "", "*")))</f>
        <v>3.72X</v>
      </c>
      <c r="J66" t="str">
        <f>IF($F66=$C$1, $D$1, IF($K12="DNF", "&gt;" &amp; TEXT($B$1/$F66,"0.00") &amp; "X", TEXT($K12, "0.00") &amp; "X" &amp; IF(N12, "", "*")))</f>
        <v>0.98X*</v>
      </c>
      <c r="K66" t="str">
        <f>"&amp;" &amp; B66 &amp; "&amp;" &amp; C66 &amp; "&amp;" &amp; D66 &amp; "&amp;" &amp; E66 &amp; "&amp;" &amp; F66 &amp; "&amp;" &amp; H66 &amp; "&amp;" &amp; I66 &amp;  "&amp;" &amp;  J66  &amp; "\\"</f>
        <v>&amp;5MB&amp;4&amp;TO&amp;0.663&amp;0.174&amp;&gt;3448.28X&amp;3.72X&amp;0.98X*\\</v>
      </c>
    </row>
    <row r="67" spans="1:11" x14ac:dyDescent="0.2">
      <c r="A67" t="s">
        <v>16</v>
      </c>
      <c r="B67" t="str">
        <f>C13</f>
        <v>0.01MB</v>
      </c>
      <c r="C67">
        <f>IF(ISBLANK(D13), "-", D13)</f>
        <v>2</v>
      </c>
      <c r="D67" t="str">
        <f>IF(ISNA(E13), $C$1, TEXT(E13, "0.000"))</f>
        <v>0.002</v>
      </c>
      <c r="E67" t="str">
        <f>IF(ISNA(F13), $C$1, TEXT(F13, "0.000"))</f>
        <v>0.038</v>
      </c>
      <c r="F67" t="str">
        <f>IF(ISNA(G13), $C$1, TEXT(G13, "0.000"))</f>
        <v>0.009</v>
      </c>
      <c r="G67" t="str">
        <f>IF(ISNA(H13), $C$1, TEXT(H13, "0.000"))</f>
        <v>0.009</v>
      </c>
      <c r="H67" t="str">
        <f>IF($F67=$C$1, $D$1, IF($J13="DNF", "&gt;" &amp; TEXT($B$1/$F67,"0.00") &amp; "X", TEXT($J13, "0.00") &amp; "X" &amp; IF(M13, "", "*")))</f>
        <v>0.21X</v>
      </c>
      <c r="I67" t="str">
        <f>IF($F67=$C$1, $D$1, IF($I13="DNF", "&gt;" &amp; TEXT($B$1/$F67,"0.00") &amp; "X", TEXT($I13, "0.00") &amp; "X" &amp; IF(L13, "", "*")))</f>
        <v>4.39X</v>
      </c>
      <c r="J67" t="str">
        <f>IF($F67=$C$1, $D$1, IF($K13="DNF", "&gt;" &amp; TEXT($B$1/$F67,"0.00") &amp; "X", TEXT($K13, "0.00") &amp; "X" &amp; IF(N13, "", "*")))</f>
        <v>1.01X*</v>
      </c>
      <c r="K67" t="str">
        <f>"&amp;" &amp; B67 &amp; "&amp;" &amp; C67 &amp; "&amp;" &amp; D67 &amp; "&amp;" &amp; E67 &amp; "&amp;" &amp; F67 &amp; "&amp;" &amp; H67 &amp; "&amp;" &amp; I67 &amp;  "&amp;" &amp;  J67  &amp; "\\"</f>
        <v>&amp;0.01MB&amp;2&amp;0.002&amp;0.038&amp;0.009&amp;0.21X&amp;4.39X&amp;1.01X*\\</v>
      </c>
    </row>
    <row r="68" spans="1:11" x14ac:dyDescent="0.2">
      <c r="B68" t="str">
        <f>C14</f>
        <v>2MB</v>
      </c>
      <c r="C68">
        <f>IF(ISBLANK(D14), "-", D14)</f>
        <v>5</v>
      </c>
      <c r="D68" t="str">
        <f>IF(ISNA(E14), $C$1, TEXT(E14, "0.000"))</f>
        <v>136.253</v>
      </c>
      <c r="E68" t="str">
        <f>IF(ISNA(F14), $C$1, TEXT(F14, "0.000"))</f>
        <v>0.566</v>
      </c>
      <c r="F68" t="str">
        <f>IF(ISNA(G14), $C$1, TEXT(G14, "0.000"))</f>
        <v>0.088</v>
      </c>
      <c r="G68" t="str">
        <f>IF(ISNA(H14), $C$1, TEXT(H14, "0.000"))</f>
        <v>0.090</v>
      </c>
      <c r="H68" t="str">
        <f>IF($F68=$C$1, $D$1, IF($J14="DNF", "&gt;" &amp; TEXT($B$1/$F68,"0.00") &amp; "X", TEXT($J14, "0.00") &amp; "X" &amp; IF(M14, "", "*")))</f>
        <v>1518.09X</v>
      </c>
      <c r="I68" t="str">
        <f>IF($F68=$C$1, $D$1, IF($I14="DNF", "&gt;" &amp; TEXT($B$1/$F68,"0.00") &amp; "X", TEXT($I14, "0.00") &amp; "X" &amp; IF(L14, "", "*")))</f>
        <v>6.30X</v>
      </c>
      <c r="J68" t="str">
        <f>IF($F68=$C$1, $D$1, IF($K14="DNF", "&gt;" &amp; TEXT($B$1/$F68,"0.00") &amp; "X", TEXT($K14, "0.00") &amp; "X" &amp; IF(N14, "", "*")))</f>
        <v>0.99X*</v>
      </c>
      <c r="K68" t="str">
        <f>"&amp;" &amp; B68 &amp; "&amp;" &amp; C68 &amp; "&amp;" &amp; D68 &amp; "&amp;" &amp; E68 &amp; "&amp;" &amp; F68 &amp; "&amp;" &amp; H68 &amp; "&amp;" &amp; I68 &amp;  "&amp;" &amp;  J68  &amp; "\\"</f>
        <v>&amp;2MB&amp;5&amp;136.253&amp;0.566&amp;0.088&amp;1518.09X&amp;6.30X&amp;0.99X*\\</v>
      </c>
    </row>
    <row r="69" spans="1:11" x14ac:dyDescent="0.2">
      <c r="B69" t="str">
        <f>C15</f>
        <v>20MB</v>
      </c>
      <c r="C69">
        <f>IF(ISBLANK(D15), "-", D15)</f>
        <v>22</v>
      </c>
      <c r="D69" t="str">
        <f>IF(ISNA(E15), $C$1, TEXT(E15, "0.000"))</f>
        <v>TO</v>
      </c>
      <c r="E69" t="str">
        <f>IF(ISNA(F15), $C$1, TEXT(F15, "0.000"))</f>
        <v>13.982</v>
      </c>
      <c r="F69" t="str">
        <f>IF(ISNA(G15), $C$1, TEXT(G15, "0.000"))</f>
        <v>2.044</v>
      </c>
      <c r="G69" t="str">
        <f>IF(ISNA(H15), $C$1, TEXT(H15, "0.000"))</f>
        <v>2.052</v>
      </c>
      <c r="H69" t="str">
        <f>IF($F69=$C$1, $D$1, IF($J15="DNF", "&gt;" &amp; TEXT($B$1/$F69,"0.00") &amp; "X", TEXT($J15, "0.00") &amp; "X" &amp; IF(M15, "", "*")))</f>
        <v>&gt;293.54X</v>
      </c>
      <c r="I69" t="str">
        <f>IF($F69=$C$1, $D$1, IF($I15="DNF", "&gt;" &amp; TEXT($B$1/$F69,"0.00") &amp; "X", TEXT($I15, "0.00") &amp; "X" &amp; IF(L15, "", "*")))</f>
        <v>6.81X</v>
      </c>
      <c r="J69" t="str">
        <f>IF($F69=$C$1, $D$1, IF($K15="DNF", "&gt;" &amp; TEXT($B$1/$F69,"0.00") &amp; "X", TEXT($K15, "0.00") &amp; "X" &amp; IF(N15, "", "*")))</f>
        <v>1.00X*</v>
      </c>
      <c r="K69" t="str">
        <f>"&amp;" &amp; B69 &amp; "&amp;" &amp; C69 &amp; "&amp;" &amp; D69 &amp; "&amp;" &amp; E69 &amp; "&amp;" &amp; F69 &amp; "&amp;" &amp; H69 &amp; "&amp;" &amp; I69 &amp;  "&amp;" &amp;  J69  &amp; "\\"</f>
        <v>&amp;20MB&amp;22&amp;TO&amp;13.982&amp;2.044&amp;&gt;293.54X&amp;6.81X&amp;1.00X*\\</v>
      </c>
    </row>
    <row r="70" spans="1:11" x14ac:dyDescent="0.2">
      <c r="A70" t="s">
        <v>18</v>
      </c>
      <c r="B70" t="str">
        <f>C16</f>
        <v>0.02MB</v>
      </c>
      <c r="C70">
        <f>IF(ISBLANK(D16), "-", D16)</f>
        <v>9</v>
      </c>
      <c r="D70" t="str">
        <f>IF(ISNA(E16), $C$1, TEXT(E16, "0.000"))</f>
        <v>0.006</v>
      </c>
      <c r="E70" t="str">
        <f>IF(ISNA(F16), $C$1, TEXT(F16, "0.000"))</f>
        <v>0.368</v>
      </c>
      <c r="F70" t="str">
        <f>IF(ISNA(G16), $C$1, TEXT(G16, "0.000"))</f>
        <v>0.031</v>
      </c>
      <c r="G70" t="str">
        <f>IF(ISNA(H16), $C$1, TEXT(H16, "0.000"))</f>
        <v>0.028</v>
      </c>
      <c r="H70" t="str">
        <f>IF($F70=$C$1, $D$1, IF($J16="DNF", "&gt;" &amp; TEXT($B$1/$F70,"0.00") &amp; "X", TEXT($J16, "0.00") &amp; "X" &amp; IF(M16, "", "*")))</f>
        <v>0.21X</v>
      </c>
      <c r="I70" t="str">
        <f>IF($F70=$C$1, $D$1, IF($I16="DNF", "&gt;" &amp; TEXT($B$1/$F70,"0.00") &amp; "X", TEXT($I16, "0.00") &amp; "X" &amp; IF(L16, "", "*")))</f>
        <v>13.12X</v>
      </c>
      <c r="J70" t="str">
        <f>IF($F70=$C$1, $D$1, IF($K16="DNF", "&gt;" &amp; TEXT($B$1/$F70,"0.00") &amp; "X", TEXT($K16, "0.00") &amp; "X" &amp; IF(N16, "", "*")))</f>
        <v>1.10X*</v>
      </c>
      <c r="K70" t="str">
        <f>"&amp;" &amp; B70 &amp; "&amp;" &amp; C70 &amp; "&amp;" &amp; D70 &amp; "&amp;" &amp; E70 &amp; "&amp;" &amp; F70 &amp; "&amp;" &amp; H70 &amp; "&amp;" &amp; I70 &amp;  "&amp;" &amp;  J70  &amp; "\\"</f>
        <v>&amp;0.02MB&amp;9&amp;0.006&amp;0.368&amp;0.031&amp;0.21X&amp;13.12X&amp;1.10X*\\</v>
      </c>
    </row>
    <row r="71" spans="1:11" x14ac:dyDescent="0.2">
      <c r="B71" t="str">
        <f>C17</f>
        <v>0.1MB</v>
      </c>
      <c r="C71">
        <f>IF(ISBLANK(D17), "-", D17)</f>
        <v>1</v>
      </c>
      <c r="D71" t="str">
        <f>IF(ISNA(E17), $C$1, TEXT(E17, "0.000"))</f>
        <v>TO</v>
      </c>
      <c r="E71" t="str">
        <f>IF(ISNA(F17), $C$1, TEXT(F17, "0.000"))</f>
        <v>0.071</v>
      </c>
      <c r="F71" t="str">
        <f>IF(ISNA(G17), $C$1, TEXT(G17, "0.000"))</f>
        <v>0.024</v>
      </c>
      <c r="G71" t="str">
        <f>IF(ISNA(H17), $C$1, TEXT(H17, "0.000"))</f>
        <v>0.018</v>
      </c>
      <c r="H71" t="str">
        <f>IF($F71=$C$1, $D$1, IF($J17="DNF", "&gt;" &amp; TEXT($B$1/$F71,"0.00") &amp; "X", TEXT($J17, "0.00") &amp; "X" &amp; IF(M17, "", "*")))</f>
        <v>&gt;25000.00X</v>
      </c>
      <c r="I71" t="str">
        <f>IF($F71=$C$1, $D$1, IF($I17="DNF", "&gt;" &amp; TEXT($B$1/$F71,"0.00") &amp; "X", TEXT($I17, "0.00") &amp; "X" &amp; IF(L17, "", "*")))</f>
        <v>3.91X</v>
      </c>
      <c r="J71" t="str">
        <f>IF($F71=$C$1, $D$1, IF($K17="DNF", "&gt;" &amp; TEXT($B$1/$F71,"0.00") &amp; "X", TEXT($K17, "0.00") &amp; "X" &amp; IF(N17, "", "*")))</f>
        <v>1.31X*</v>
      </c>
      <c r="K71" t="str">
        <f>"&amp;" &amp; B71 &amp; "&amp;" &amp; C71 &amp; "&amp;" &amp; D71 &amp; "&amp;" &amp; E71 &amp; "&amp;" &amp; F71 &amp; "&amp;" &amp; H71 &amp; "&amp;" &amp; I71 &amp;  "&amp;" &amp;  J71  &amp; "\\"</f>
        <v>&amp;0.1MB&amp;1&amp;TO&amp;0.071&amp;0.024&amp;&gt;25000.00X&amp;3.91X&amp;1.31X*\\</v>
      </c>
    </row>
    <row r="72" spans="1:11" x14ac:dyDescent="0.2">
      <c r="B72" t="str">
        <f>C18</f>
        <v>0.2MB</v>
      </c>
      <c r="C72">
        <f>IF(ISBLANK(D18), "-", D18)</f>
        <v>1</v>
      </c>
      <c r="D72" t="str">
        <f>IF(ISNA(E18), $C$1, TEXT(E18, "0.000"))</f>
        <v>TO</v>
      </c>
      <c r="E72" t="str">
        <f>IF(ISNA(F18), $C$1, TEXT(F18, "0.000"))</f>
        <v>0.062</v>
      </c>
      <c r="F72" t="str">
        <f>IF(ISNA(G18), $C$1, TEXT(G18, "0.000"))</f>
        <v>0.025</v>
      </c>
      <c r="G72" t="str">
        <f>IF(ISNA(H18), $C$1, TEXT(H18, "0.000"))</f>
        <v>0.020</v>
      </c>
      <c r="H72" t="str">
        <f>IF($F72=$C$1, $D$1, IF($J18="DNF", "&gt;" &amp; TEXT($B$1/$F72,"0.00") &amp; "X", TEXT($J18, "0.00") &amp; "X" &amp; IF(M18, "", "*")))</f>
        <v>&gt;24000.00X</v>
      </c>
      <c r="I72" t="str">
        <f>IF($F72=$C$1, $D$1, IF($I18="DNF", "&gt;" &amp; TEXT($B$1/$F72,"0.00") &amp; "X", TEXT($I18, "0.00") &amp; "X" &amp; IF(L18, "", "*")))</f>
        <v>3.16X</v>
      </c>
      <c r="J72" t="str">
        <f>IF($F72=$C$1, $D$1, IF($K18="DNF", "&gt;" &amp; TEXT($B$1/$F72,"0.00") &amp; "X", TEXT($K18, "0.00") &amp; "X" &amp; IF(N18, "", "*")))</f>
        <v>1.28X*</v>
      </c>
      <c r="K72" t="str">
        <f>"&amp;" &amp; B72 &amp; "&amp;" &amp; C72 &amp; "&amp;" &amp; D72 &amp; "&amp;" &amp; E72 &amp; "&amp;" &amp; F72 &amp; "&amp;" &amp; H72 &amp; "&amp;" &amp; I72 &amp;  "&amp;" &amp;  J72  &amp; "\\"</f>
        <v>&amp;0.2MB&amp;1&amp;TO&amp;0.062&amp;0.025&amp;&gt;24000.00X&amp;3.16X&amp;1.28X*\\</v>
      </c>
    </row>
    <row r="73" spans="1:11" x14ac:dyDescent="0.2">
      <c r="A73" t="s">
        <v>20</v>
      </c>
      <c r="B73" t="str">
        <f>C19</f>
        <v>0.01MB</v>
      </c>
      <c r="C73">
        <f>IF(ISBLANK(D19), "-", D19)</f>
        <v>3</v>
      </c>
      <c r="D73" t="str">
        <f>IF(ISNA(E19), $C$1, TEXT(E19, "0.000"))</f>
        <v>0.002</v>
      </c>
      <c r="E73" t="str">
        <f>IF(ISNA(F19), $C$1, TEXT(F19, "0.000"))</f>
        <v>0.067</v>
      </c>
      <c r="F73" t="str">
        <f>IF(ISNA(G19), $C$1, TEXT(G19, "0.000"))</f>
        <v>0.010</v>
      </c>
      <c r="G73" t="str">
        <f>IF(ISNA(H19), $C$1, TEXT(H19, "0.000"))</f>
        <v>0.011</v>
      </c>
      <c r="H73" t="str">
        <f>IF($F73=$C$1, $D$1, IF($J19="DNF", "&gt;" &amp; TEXT($B$1/$F73,"0.00") &amp; "X", TEXT($J19, "0.00") &amp; "X" &amp; IF(M19, "", "*")))</f>
        <v>0.22X*</v>
      </c>
      <c r="I73" t="str">
        <f>IF($F73=$C$1, $D$1, IF($I19="DNF", "&gt;" &amp; TEXT($B$1/$F73,"0.00") &amp; "X", TEXT($I19, "0.00") &amp; "X" &amp; IF(L19, "", "*")))</f>
        <v>6.32X</v>
      </c>
      <c r="J73" t="str">
        <f>IF($F73=$C$1, $D$1, IF($K19="DNF", "&gt;" &amp; TEXT($B$1/$F73,"0.00") &amp; "X", TEXT($K19, "0.00") &amp; "X" &amp; IF(N19, "", "*")))</f>
        <v>0.93X*</v>
      </c>
      <c r="K73" t="str">
        <f>"&amp;" &amp; B73 &amp; "&amp;" &amp; C73 &amp; "&amp;" &amp; D73 &amp; "&amp;" &amp; E73 &amp; "&amp;" &amp; F73 &amp; "&amp;" &amp; H73 &amp; "&amp;" &amp; I73 &amp;  "&amp;" &amp;  J73  &amp; "\\"</f>
        <v>&amp;0.01MB&amp;3&amp;0.002&amp;0.067&amp;0.010&amp;0.22X*&amp;6.32X&amp;0.93X*\\</v>
      </c>
    </row>
    <row r="74" spans="1:11" x14ac:dyDescent="0.2">
      <c r="B74" t="str">
        <f>C20</f>
        <v>1MB</v>
      </c>
      <c r="C74">
        <f>IF(ISBLANK(D20), "-", D20)</f>
        <v>3</v>
      </c>
      <c r="D74" t="str">
        <f>IF(ISNA(E20), $C$1, TEXT(E20, "0.000"))</f>
        <v>14.768</v>
      </c>
      <c r="E74" t="str">
        <f>IF(ISNA(F20), $C$1, TEXT(F20, "0.000"))</f>
        <v>0.766</v>
      </c>
      <c r="F74" t="str">
        <f>IF(ISNA(G20), $C$1, TEXT(G20, "0.000"))</f>
        <v>0.303</v>
      </c>
      <c r="G74" t="str">
        <f>IF(ISNA(H20), $C$1, TEXT(H20, "0.000"))</f>
        <v>0.292</v>
      </c>
      <c r="H74" t="str">
        <f>IF($F74=$C$1, $D$1, IF($J20="DNF", "&gt;" &amp; TEXT($B$1/$F74,"0.00") &amp; "X", TEXT($J20, "0.00") &amp; "X" &amp; IF(M20, "", "*")))</f>
        <v>50.66X</v>
      </c>
      <c r="I74" t="str">
        <f>IF($F74=$C$1, $D$1, IF($I20="DNF", "&gt;" &amp; TEXT($B$1/$F74,"0.00") &amp; "X", TEXT($I20, "0.00") &amp; "X" &amp; IF(L20, "", "*")))</f>
        <v>2.63X</v>
      </c>
      <c r="J74" t="str">
        <f>IF($F74=$C$1, $D$1, IF($K20="DNF", "&gt;" &amp; TEXT($B$1/$F74,"0.00") &amp; "X", TEXT($K20, "0.00") &amp; "X" &amp; IF(N20, "", "*")))</f>
        <v>1.04X*</v>
      </c>
      <c r="K74" t="str">
        <f>"&amp;" &amp; B74 &amp; "&amp;" &amp; C74 &amp; "&amp;" &amp; D74 &amp; "&amp;" &amp; E74 &amp; "&amp;" &amp; F74 &amp; "&amp;" &amp; H74 &amp; "&amp;" &amp; I74 &amp;  "&amp;" &amp;  J74  &amp; "\\"</f>
        <v>&amp;1MB&amp;3&amp;14.768&amp;0.766&amp;0.303&amp;50.66X&amp;2.63X&amp;1.04X*\\</v>
      </c>
    </row>
    <row r="75" spans="1:11" x14ac:dyDescent="0.2">
      <c r="B75" t="str">
        <f>C21</f>
        <v>1.5MB</v>
      </c>
      <c r="C75">
        <f>IF(ISBLANK(D21), "-", D21)</f>
        <v>3</v>
      </c>
      <c r="D75" t="str">
        <f>IF(ISNA(E21), $C$1, TEXT(E21, "0.000"))</f>
        <v>33.902</v>
      </c>
      <c r="E75" t="str">
        <f>IF(ISNA(F21), $C$1, TEXT(F21, "0.000"))</f>
        <v>0.918</v>
      </c>
      <c r="F75" t="str">
        <f>IF(ISNA(G21), $C$1, TEXT(G21, "0.000"))</f>
        <v>0.739</v>
      </c>
      <c r="G75" t="str">
        <f>IF(ISNA(H21), $C$1, TEXT(H21, "0.000"))</f>
        <v>0.695</v>
      </c>
      <c r="H75" t="str">
        <f>IF($F75=$C$1, $D$1, IF($J21="DNF", "&gt;" &amp; TEXT($B$1/$F75,"0.00") &amp; "X", TEXT($J21, "0.00") &amp; "X" &amp; IF(M21, "", "*")))</f>
        <v>48.81X</v>
      </c>
      <c r="I75" t="str">
        <f>IF($F75=$C$1, $D$1, IF($I21="DNF", "&gt;" &amp; TEXT($B$1/$F75,"0.00") &amp; "X", TEXT($I21, "0.00") &amp; "X" &amp; IF(L21, "", "*")))</f>
        <v>1.32X*</v>
      </c>
      <c r="J75" t="str">
        <f>IF($F75=$C$1, $D$1, IF($K21="DNF", "&gt;" &amp; TEXT($B$1/$F75,"0.00") &amp; "X", TEXT($K21, "0.00") &amp; "X" &amp; IF(N21, "", "*")))</f>
        <v>1.06X*</v>
      </c>
      <c r="K75" t="str">
        <f>"&amp;" &amp; B75 &amp; "&amp;" &amp; C75 &amp; "&amp;" &amp; D75 &amp; "&amp;" &amp; E75 &amp; "&amp;" &amp; F75 &amp; "&amp;" &amp; H75 &amp; "&amp;" &amp; I75 &amp;  "&amp;" &amp;  J75  &amp; "\\"</f>
        <v>&amp;1.5MB&amp;3&amp;33.902&amp;0.918&amp;0.739&amp;48.81X&amp;1.32X*&amp;1.06X*\\</v>
      </c>
    </row>
    <row r="76" spans="1:11" x14ac:dyDescent="0.2">
      <c r="A76" t="s">
        <v>22</v>
      </c>
      <c r="B76" t="str">
        <f>C22</f>
        <v>0.01MB</v>
      </c>
      <c r="C76">
        <f>IF(ISBLANK(D22), "-", D22)</f>
        <v>5</v>
      </c>
      <c r="D76" t="str">
        <f>IF(ISNA(E22), $C$1, TEXT(E22, "0.000"))</f>
        <v>0.002</v>
      </c>
      <c r="E76" t="str">
        <f>IF(ISNA(F22), $C$1, TEXT(F22, "0.000"))</f>
        <v>0.155</v>
      </c>
      <c r="F76" t="str">
        <f>IF(ISNA(G22), $C$1, TEXT(G22, "0.000"))</f>
        <v>0.026</v>
      </c>
      <c r="G76" t="str">
        <f>IF(ISNA(H22), $C$1, TEXT(H22, "0.000"))</f>
        <v>0.021</v>
      </c>
      <c r="H76" t="str">
        <f>IF($F76=$C$1, $D$1, IF($J22="DNF", "&gt;" &amp; TEXT($B$1/$F76,"0.00") &amp; "X", TEXT($J22, "0.00") &amp; "X" &amp; IF(M22, "", "*")))</f>
        <v>0.12X</v>
      </c>
      <c r="I76" t="str">
        <f>IF($F76=$C$1, $D$1, IF($I22="DNF", "&gt;" &amp; TEXT($B$1/$F76,"0.00") &amp; "X", TEXT($I22, "0.00") &amp; "X" &amp; IF(L22, "", "*")))</f>
        <v>7.42X</v>
      </c>
      <c r="J76" t="str">
        <f>IF($F76=$C$1, $D$1, IF($K22="DNF", "&gt;" &amp; TEXT($B$1/$F76,"0.00") &amp; "X", TEXT($K22, "0.00") &amp; "X" &amp; IF(N22, "", "*")))</f>
        <v>1.26X*</v>
      </c>
      <c r="K76" t="str">
        <f>"&amp;" &amp; B76 &amp; "&amp;" &amp; C76 &amp; "&amp;" &amp; D76 &amp; "&amp;" &amp; E76 &amp; "&amp;" &amp; F76 &amp; "&amp;" &amp; H76 &amp; "&amp;" &amp; I76 &amp;  "&amp;" &amp;  J76  &amp; "\\"</f>
        <v>&amp;0.01MB&amp;5&amp;0.002&amp;0.155&amp;0.026&amp;0.12X&amp;7.42X&amp;1.26X*\\</v>
      </c>
    </row>
    <row r="77" spans="1:11" x14ac:dyDescent="0.2">
      <c r="B77" t="str">
        <f>C23</f>
        <v>2MB</v>
      </c>
      <c r="C77">
        <f>IF(ISBLANK(D23), "-", D23)</f>
        <v>11</v>
      </c>
      <c r="D77" t="str">
        <f>IF(ISNA(E23), $C$1, TEXT(E23, "0.000"))</f>
        <v>TO</v>
      </c>
      <c r="E77" t="str">
        <f>IF(ISNA(F23), $C$1, TEXT(F23, "0.000"))</f>
        <v>5.713</v>
      </c>
      <c r="F77" t="str">
        <f>IF(ISNA(G23), $C$1, TEXT(G23, "0.000"))</f>
        <v>1.110</v>
      </c>
      <c r="G77" t="str">
        <f>IF(ISNA(H23), $C$1, TEXT(H23, "0.000"))</f>
        <v>1.059</v>
      </c>
      <c r="H77" t="str">
        <f>IF($F77=$C$1, $D$1, IF($J23="DNF", "&gt;" &amp; TEXT($B$1/$F77,"0.00") &amp; "X", TEXT($J23, "0.00") &amp; "X" &amp; IF(M23, "", "*")))</f>
        <v>&gt;540.54X</v>
      </c>
      <c r="I77" t="str">
        <f>IF($F77=$C$1, $D$1, IF($I23="DNF", "&gt;" &amp; TEXT($B$1/$F77,"0.00") &amp; "X", TEXT($I23, "0.00") &amp; "X" &amp; IF(L23, "", "*")))</f>
        <v>5.40X</v>
      </c>
      <c r="J77" t="str">
        <f>IF($F77=$C$1, $D$1, IF($K23="DNF", "&gt;" &amp; TEXT($B$1/$F77,"0.00") &amp; "X", TEXT($K23, "0.00") &amp; "X" &amp; IF(N23, "", "*")))</f>
        <v>1.05X*</v>
      </c>
      <c r="K77" t="str">
        <f>"&amp;" &amp; B77 &amp; "&amp;" &amp; C77 &amp; "&amp;" &amp; D77 &amp; "&amp;" &amp; E77 &amp; "&amp;" &amp; F77 &amp; "&amp;" &amp; H77 &amp; "&amp;" &amp; I77 &amp;  "&amp;" &amp;  J77  &amp; "\\"</f>
        <v>&amp;2MB&amp;11&amp;TO&amp;5.713&amp;1.110&amp;&gt;540.54X&amp;5.40X&amp;1.05X*\\</v>
      </c>
    </row>
    <row r="78" spans="1:11" x14ac:dyDescent="0.2">
      <c r="B78" t="str">
        <f>C24</f>
        <v>10MB</v>
      </c>
      <c r="C78">
        <f>IF(ISBLANK(D24), "-", D24)</f>
        <v>14</v>
      </c>
      <c r="D78" t="str">
        <f>IF(ISNA(E24), $C$1, TEXT(E24, "0.000"))</f>
        <v>TO</v>
      </c>
      <c r="E78" t="str">
        <f>IF(ISNA(F24), $C$1, TEXT(F24, "0.000"))</f>
        <v>280.456</v>
      </c>
      <c r="F78" t="str">
        <f>IF(ISNA(G24), $C$1, TEXT(G24, "0.000"))</f>
        <v>28.579</v>
      </c>
      <c r="G78" t="str">
        <f>IF(ISNA(H24), $C$1, TEXT(H24, "0.000"))</f>
        <v>28.562</v>
      </c>
      <c r="H78" t="str">
        <f>IF($F78=$C$1, $D$1, IF($J24="DNF", "&gt;" &amp; TEXT($B$1/$F78,"0.00") &amp; "X", TEXT($J24, "0.00") &amp; "X" &amp; IF(M24, "", "*")))</f>
        <v>&gt;20.99X</v>
      </c>
      <c r="I78" t="str">
        <f>IF($F78=$C$1, $D$1, IF($I24="DNF", "&gt;" &amp; TEXT($B$1/$F78,"0.00") &amp; "X", TEXT($I24, "0.00") &amp; "X" &amp; IF(L24, "", "*")))</f>
        <v>9.82X</v>
      </c>
      <c r="J78" t="str">
        <f>IF($F78=$C$1, $D$1, IF($K24="DNF", "&gt;" &amp; TEXT($B$1/$F78,"0.00") &amp; "X", TEXT($K24, "0.00") &amp; "X" &amp; IF(N24, "", "*")))</f>
        <v>1.00X*</v>
      </c>
      <c r="K78" t="str">
        <f>"&amp;" &amp; B78 &amp; "&amp;" &amp; C78 &amp; "&amp;" &amp; D78 &amp; "&amp;" &amp; E78 &amp; "&amp;" &amp; F78 &amp; "&amp;" &amp; H78 &amp; "&amp;" &amp; I78 &amp;  "&amp;" &amp;  J78  &amp; "\\"</f>
        <v>&amp;10MB&amp;14&amp;TO&amp;280.456&amp;28.579&amp;&gt;20.99X&amp;9.82X&amp;1.00X*\\</v>
      </c>
    </row>
    <row r="79" spans="1:11" x14ac:dyDescent="0.2">
      <c r="A79" t="s">
        <v>58</v>
      </c>
      <c r="B79" t="str">
        <f>C25</f>
        <v>0.01MB</v>
      </c>
      <c r="C79">
        <f>IF(ISBLANK(D25), "-", D25)</f>
        <v>3</v>
      </c>
      <c r="D79" t="str">
        <f>IF(ISNA(E25), $C$1, TEXT(E25, "0.000"))</f>
        <v>0.002</v>
      </c>
      <c r="E79" t="str">
        <f>IF(ISNA(F25), $C$1, TEXT(F25, "0.000"))</f>
        <v>0.045</v>
      </c>
      <c r="F79" t="str">
        <f>IF(ISNA(G25), $C$1, TEXT(G25, "0.000"))</f>
        <v>0.007</v>
      </c>
      <c r="G79" t="str">
        <f>IF(ISNA(H25), $C$1, TEXT(H25, "0.000"))</f>
        <v>0.005</v>
      </c>
      <c r="H79" t="str">
        <f>IF($F79=$C$1, $D$1, IF($J25="DNF", "&gt;" &amp; TEXT($B$1/$F79,"0.00") &amp; "X", TEXT($J25, "0.00") &amp; "X" &amp; IF(M25, "", "*")))</f>
        <v>0.45X*</v>
      </c>
      <c r="I79" t="str">
        <f>IF($F79=$C$1, $D$1, IF($I25="DNF", "&gt;" &amp; TEXT($B$1/$F79,"0.00") &amp; "X", TEXT($I25, "0.00") &amp; "X" &amp; IF(L25, "", "*")))</f>
        <v>9.76X</v>
      </c>
      <c r="J79" t="str">
        <f>IF($F79=$C$1, $D$1, IF($K25="DNF", "&gt;" &amp; TEXT($B$1/$F79,"0.00") &amp; "X", TEXT($K25, "0.00") &amp; "X" &amp; IF(N25, "", "*")))</f>
        <v>1.54X*</v>
      </c>
      <c r="K79" t="str">
        <f>"&amp;" &amp; B79 &amp; "&amp;" &amp; C79 &amp; "&amp;" &amp; D79 &amp; "&amp;" &amp; E79 &amp; "&amp;" &amp; F79 &amp; "&amp;" &amp; H79 &amp; "&amp;" &amp; I79 &amp;  "&amp;" &amp;  J79  &amp; "\\"</f>
        <v>&amp;0.01MB&amp;3&amp;0.002&amp;0.045&amp;0.007&amp;0.45X*&amp;9.76X&amp;1.54X*\\</v>
      </c>
    </row>
    <row r="80" spans="1:11" x14ac:dyDescent="0.2">
      <c r="B80" t="str">
        <f>C26</f>
        <v>0.03MB</v>
      </c>
      <c r="C80">
        <f>IF(ISBLANK(D26), "-", D26)</f>
        <v>3</v>
      </c>
      <c r="D80" t="str">
        <f>IF(ISNA(E26), $C$1, TEXT(E26, "0.000"))</f>
        <v>18.281</v>
      </c>
      <c r="E80" t="str">
        <f>IF(ISNA(F26), $C$1, TEXT(F26, "0.000"))</f>
        <v>0.064</v>
      </c>
      <c r="F80" t="str">
        <f>IF(ISNA(G26), $C$1, TEXT(G26, "0.000"))</f>
        <v>0.008</v>
      </c>
      <c r="G80" t="str">
        <f>IF(ISNA(H26), $C$1, TEXT(H26, "0.000"))</f>
        <v>0.008</v>
      </c>
      <c r="H80" t="str">
        <f>IF($F80=$C$1, $D$1, IF($J26="DNF", "&gt;" &amp; TEXT($B$1/$F80,"0.00") &amp; "X", TEXT($J26, "0.00") &amp; "X" &amp; IF(M26, "", "*")))</f>
        <v>2238.17X</v>
      </c>
      <c r="I80" t="str">
        <f>IF($F80=$C$1, $D$1, IF($I26="DNF", "&gt;" &amp; TEXT($B$1/$F80,"0.00") &amp; "X", TEXT($I26, "0.00") &amp; "X" &amp; IF(L26, "", "*")))</f>
        <v>7.83X</v>
      </c>
      <c r="J80" t="str">
        <f>IF($F80=$C$1, $D$1, IF($K26="DNF", "&gt;" &amp; TEXT($B$1/$F80,"0.00") &amp; "X", TEXT($K26, "0.00") &amp; "X" &amp; IF(N26, "", "*")))</f>
        <v>0.94X*</v>
      </c>
      <c r="K80" t="str">
        <f>"&amp;" &amp; B80 &amp; "&amp;" &amp; C80 &amp; "&amp;" &amp; D80 &amp; "&amp;" &amp; E80 &amp; "&amp;" &amp; F80 &amp; "&amp;" &amp; H80 &amp; "&amp;" &amp; I80 &amp;  "&amp;" &amp;  J80  &amp; "\\"</f>
        <v>&amp;0.03MB&amp;3&amp;18.281&amp;0.064&amp;0.008&amp;2238.17X&amp;7.83X&amp;0.94X*\\</v>
      </c>
    </row>
    <row r="81" spans="1:11" x14ac:dyDescent="0.2">
      <c r="B81" t="str">
        <f>C27</f>
        <v>0.05MB</v>
      </c>
      <c r="C81">
        <f>IF(ISBLANK(D27), "-", D27)</f>
        <v>5</v>
      </c>
      <c r="D81" t="str">
        <f>IF(ISNA(E27), $C$1, TEXT(E27, "0.000"))</f>
        <v>210.906</v>
      </c>
      <c r="E81" t="str">
        <f>IF(ISNA(F27), $C$1, TEXT(F27, "0.000"))</f>
        <v>0.121</v>
      </c>
      <c r="F81" t="str">
        <f>IF(ISNA(G27), $C$1, TEXT(G27, "0.000"))</f>
        <v>0.011</v>
      </c>
      <c r="G81" t="str">
        <f>IF(ISNA(H27), $C$1, TEXT(H27, "0.000"))</f>
        <v>0.010</v>
      </c>
      <c r="H81" t="str">
        <f>IF($F81=$C$1, $D$1, IF($J27="DNF", "&gt;" &amp; TEXT($B$1/$F81,"0.00") &amp; "X", TEXT($J27, "0.00") &amp; "X" &amp; IF(M27, "", "*")))</f>
        <v>20534.08X</v>
      </c>
      <c r="I81" t="str">
        <f>IF($F81=$C$1, $D$1, IF($I27="DNF", "&gt;" &amp; TEXT($B$1/$F81,"0.00") &amp; "X", TEXT($I27, "0.00") &amp; "X" &amp; IF(L27, "", "*")))</f>
        <v>11.74X</v>
      </c>
      <c r="J81" t="str">
        <f>IF($F81=$C$1, $D$1, IF($K27="DNF", "&gt;" &amp; TEXT($B$1/$F81,"0.00") &amp; "X", TEXT($K27, "0.00") &amp; "X" &amp; IF(N27, "", "*")))</f>
        <v>1.10X*</v>
      </c>
      <c r="K81" t="str">
        <f>"&amp;" &amp; B81 &amp; "&amp;" &amp; C81 &amp; "&amp;" &amp; D81 &amp; "&amp;" &amp; E81 &amp; "&amp;" &amp; F81 &amp; "&amp;" &amp; H81 &amp; "&amp;" &amp; I81 &amp;  "&amp;" &amp;  J81  &amp; "\\"</f>
        <v>&amp;0.05MB&amp;5&amp;210.906&amp;0.121&amp;0.011&amp;20534.08X&amp;11.74X&amp;1.10X*\\</v>
      </c>
    </row>
    <row r="82" spans="1:11" x14ac:dyDescent="0.2">
      <c r="A82" t="s">
        <v>25</v>
      </c>
      <c r="B82" t="str">
        <f>C28</f>
        <v>0.01MB</v>
      </c>
      <c r="C82">
        <f>IF(ISBLANK(D28), "-", D28)</f>
        <v>17</v>
      </c>
      <c r="D82" t="str">
        <f>IF(ISNA(E28), $C$1, TEXT(E28, "0.000"))</f>
        <v>0.002</v>
      </c>
      <c r="E82" t="str">
        <f>IF(ISNA(F28), $C$1, TEXT(F28, "0.000"))</f>
        <v>0.295</v>
      </c>
      <c r="F82" t="str">
        <f>IF(ISNA(G28), $C$1, TEXT(G28, "0.000"))</f>
        <v>0.011</v>
      </c>
      <c r="G82" t="str">
        <f>IF(ISNA(H28), $C$1, TEXT(H28, "0.000"))</f>
        <v>0.010</v>
      </c>
      <c r="H82" t="str">
        <f>IF($F82=$C$1, $D$1, IF($J28="DNF", "&gt;" &amp; TEXT($B$1/$F82,"0.00") &amp; "X", TEXT($J28, "0.00") &amp; "X" &amp; IF(M28, "", "*")))</f>
        <v>0.26X*</v>
      </c>
      <c r="I82" t="str">
        <f>IF($F82=$C$1, $D$1, IF($I28="DNF", "&gt;" &amp; TEXT($B$1/$F82,"0.00") &amp; "X", TEXT($I28, "0.00") &amp; "X" &amp; IF(L28, "", "*")))</f>
        <v>30.92X</v>
      </c>
      <c r="J82" t="str">
        <f>IF($F82=$C$1, $D$1, IF($K28="DNF", "&gt;" &amp; TEXT($B$1/$F82,"0.00") &amp; "X", TEXT($K28, "0.00") &amp; "X" &amp; IF(N28, "", "*")))</f>
        <v>1.18X*</v>
      </c>
      <c r="K82" t="str">
        <f>"&amp;" &amp; B82 &amp; "&amp;" &amp; C82 &amp; "&amp;" &amp; D82 &amp; "&amp;" &amp; E82 &amp; "&amp;" &amp; F82 &amp; "&amp;" &amp; H82 &amp; "&amp;" &amp; I82 &amp;  "&amp;" &amp;  J82  &amp; "\\"</f>
        <v>&amp;0.01MB&amp;17&amp;0.002&amp;0.295&amp;0.011&amp;0.26X*&amp;30.92X&amp;1.18X*\\</v>
      </c>
    </row>
    <row r="83" spans="1:11" x14ac:dyDescent="0.2">
      <c r="B83" t="str">
        <f>C29</f>
        <v>1MB</v>
      </c>
      <c r="C83" t="str">
        <f>IF(ISBLANK(D29), "-", D29)</f>
        <v>-</v>
      </c>
      <c r="D83" t="str">
        <f>IF(ISNA(E29), $C$1, TEXT(E29, "0.000"))</f>
        <v>TO</v>
      </c>
      <c r="E83" t="str">
        <f>IF(ISNA(F29), $C$1, TEXT(F29, "0.000"))</f>
        <v>TO</v>
      </c>
      <c r="F83" t="str">
        <f>IF(ISNA(G29), $C$1, TEXT(G29, "0.000"))</f>
        <v>182.745</v>
      </c>
      <c r="G83" t="str">
        <f>IF(ISNA(H29), $C$1, TEXT(H29, "0.000"))</f>
        <v>183.960</v>
      </c>
      <c r="H83" t="str">
        <f>IF($F83=$C$1, $D$1, IF($J29="DNF", "&gt;" &amp; TEXT($B$1/$F83,"0.00") &amp; "X", TEXT($J29, "0.00") &amp; "X" &amp; IF(M29, "", "*")))</f>
        <v>&gt;3.28X</v>
      </c>
      <c r="I83" t="str">
        <f>IF($F83=$C$1, $D$1, IF($I29="DNF", "&gt;" &amp; TEXT($B$1/$F83,"0.00") &amp; "X", TEXT($I29, "0.00") &amp; "X" &amp; IF(L29, "", "*")))</f>
        <v>&gt;3.28X</v>
      </c>
      <c r="J83" t="str">
        <f>IF($F83=$C$1, $D$1, IF($K29="DNF", "&gt;" &amp; TEXT($B$1/$F83,"0.00") &amp; "X", TEXT($K29, "0.00") &amp; "X" &amp; IF(N29, "", "*")))</f>
        <v>0.99X*</v>
      </c>
      <c r="K83" t="str">
        <f>"&amp;" &amp; B83 &amp; "&amp;" &amp; C83 &amp; "&amp;" &amp; D83 &amp; "&amp;" &amp; E83 &amp; "&amp;" &amp; F83 &amp; "&amp;" &amp; H83 &amp; "&amp;" &amp; I83 &amp;  "&amp;" &amp;  J83  &amp; "\\"</f>
        <v>&amp;1MB&amp;-&amp;TO&amp;TO&amp;182.745&amp;&gt;3.28X&amp;&gt;3.28X&amp;0.99X*\\</v>
      </c>
    </row>
    <row r="84" spans="1:11" x14ac:dyDescent="0.2">
      <c r="B84" t="str">
        <f>C30</f>
        <v>2MB</v>
      </c>
      <c r="C84" t="str">
        <f>IF(ISBLANK(D30), "-", D30)</f>
        <v>-</v>
      </c>
      <c r="D84" t="str">
        <f>IF(ISNA(E30), $C$1, TEXT(E30, "0.000"))</f>
        <v>TO</v>
      </c>
      <c r="E84" t="str">
        <f>IF(ISNA(F30), $C$1, TEXT(F30, "0.000"))</f>
        <v>TO</v>
      </c>
      <c r="F84" t="str">
        <f>IF(ISNA(G30), $C$1, TEXT(G30, "0.000"))</f>
        <v>447.755</v>
      </c>
      <c r="G84" t="str">
        <f>IF(ISNA(H30), $C$1, TEXT(H30, "0.000"))</f>
        <v>442.862</v>
      </c>
      <c r="H84" t="str">
        <f>IF($F84=$C$1, $D$1, IF($J30="DNF", "&gt;" &amp; TEXT($B$1/$F84,"0.00") &amp; "X", TEXT($J30, "0.00") &amp; "X" &amp; IF(M30, "", "*")))</f>
        <v>&gt;1.34X</v>
      </c>
      <c r="I84" t="str">
        <f>IF($F84=$C$1, $D$1, IF($I30="DNF", "&gt;" &amp; TEXT($B$1/$F84,"0.00") &amp; "X", TEXT($I30, "0.00") &amp; "X" &amp; IF(L30, "", "*")))</f>
        <v>&gt;1.34X</v>
      </c>
      <c r="J84" t="str">
        <f>IF($F84=$C$1, $D$1, IF($K30="DNF", "&gt;" &amp; TEXT($B$1/$F84,"0.00") &amp; "X", TEXT($K30, "0.00") &amp; "X" &amp; IF(N30, "", "*")))</f>
        <v>1.01X*</v>
      </c>
      <c r="K84" t="str">
        <f>"&amp;" &amp; B84 &amp; "&amp;" &amp; C84 &amp; "&amp;" &amp; D84 &amp; "&amp;" &amp; E84 &amp; "&amp;" &amp; F84 &amp; "&amp;" &amp; H84 &amp; "&amp;" &amp; I84 &amp;  "&amp;" &amp;  J84  &amp; "\\"</f>
        <v>&amp;2MB&amp;-&amp;TO&amp;TO&amp;447.755&amp;&gt;1.34X&amp;&gt;1.34X&amp;1.01X*\\</v>
      </c>
    </row>
    <row r="85" spans="1:11" x14ac:dyDescent="0.2">
      <c r="A85" t="s">
        <v>27</v>
      </c>
      <c r="B85" t="str">
        <f>C31</f>
        <v>0.02MB</v>
      </c>
      <c r="C85">
        <f>IF(ISBLANK(D31), "-", D31)</f>
        <v>3</v>
      </c>
      <c r="D85" t="str">
        <f>IF(ISNA(E31), $C$1, TEXT(E31, "0.000"))</f>
        <v>0.002</v>
      </c>
      <c r="E85" t="str">
        <f>IF(ISNA(F31), $C$1, TEXT(F31, "0.000"))</f>
        <v>0.071</v>
      </c>
      <c r="F85" t="str">
        <f>IF(ISNA(G31), $C$1, TEXT(G31, "0.000"))</f>
        <v>0.018</v>
      </c>
      <c r="G85" t="str">
        <f>IF(ISNA(H31), $C$1, TEXT(H31, "0.000"))</f>
        <v>0.013</v>
      </c>
      <c r="H85" t="str">
        <f>IF($F85=$C$1, $D$1, IF($J31="DNF", "&gt;" &amp; TEXT($B$1/$F85,"0.00") &amp; "X", TEXT($J31, "0.00") &amp; "X" &amp; IF(M31, "", "*")))</f>
        <v>0.17X</v>
      </c>
      <c r="I85" t="str">
        <f>IF($F85=$C$1, $D$1, IF($I31="DNF", "&gt;" &amp; TEXT($B$1/$F85,"0.00") &amp; "X", TEXT($I31, "0.00") &amp; "X" &amp; IF(L31, "", "*")))</f>
        <v>5.60X</v>
      </c>
      <c r="J85" t="str">
        <f>IF($F85=$C$1, $D$1, IF($K31="DNF", "&gt;" &amp; TEXT($B$1/$F85,"0.00") &amp; "X", TEXT($K31, "0.00") &amp; "X" &amp; IF(N31, "", "*")))</f>
        <v>1.38X*</v>
      </c>
      <c r="K85" t="str">
        <f>"&amp;" &amp; B85 &amp; "&amp;" &amp; C85 &amp; "&amp;" &amp; D85 &amp; "&amp;" &amp; E85 &amp; "&amp;" &amp; F85 &amp; "&amp;" &amp; H85 &amp; "&amp;" &amp; I85 &amp;  "&amp;" &amp;  J85  &amp; "\\"</f>
        <v>&amp;0.02MB&amp;3&amp;0.002&amp;0.071&amp;0.018&amp;0.17X&amp;5.60X&amp;1.38X*\\</v>
      </c>
    </row>
    <row r="86" spans="1:11" x14ac:dyDescent="0.2">
      <c r="B86" t="str">
        <f>C32</f>
        <v>0.05MB</v>
      </c>
      <c r="C86">
        <f>IF(ISBLANK(D32), "-", D32)</f>
        <v>16</v>
      </c>
      <c r="D86" t="str">
        <f>IF(ISNA(E32), $C$1, TEXT(E32, "0.000"))</f>
        <v>TO</v>
      </c>
      <c r="E86" t="str">
        <f>IF(ISNA(F32), $C$1, TEXT(F32, "0.000"))</f>
        <v>0.828</v>
      </c>
      <c r="F86" t="str">
        <f>IF(ISNA(G32), $C$1, TEXT(G32, "0.000"))</f>
        <v>0.055</v>
      </c>
      <c r="G86" t="str">
        <f>IF(ISNA(H32), $C$1, TEXT(H32, "0.000"))</f>
        <v>0.053</v>
      </c>
      <c r="H86" t="str">
        <f>IF($F86=$C$1, $D$1, IF($J32="DNF", "&gt;" &amp; TEXT($B$1/$F86,"0.00") &amp; "X", TEXT($J32, "0.00") &amp; "X" &amp; IF(M32, "", "*")))</f>
        <v>&gt;10909.09X</v>
      </c>
      <c r="I86" t="str">
        <f>IF($F86=$C$1, $D$1, IF($I32="DNF", "&gt;" &amp; TEXT($B$1/$F86,"0.00") &amp; "X", TEXT($I32, "0.00") &amp; "X" &amp; IF(L32, "", "*")))</f>
        <v>15.62X</v>
      </c>
      <c r="J86" t="str">
        <f>IF($F86=$C$1, $D$1, IF($K32="DNF", "&gt;" &amp; TEXT($B$1/$F86,"0.00") &amp; "X", TEXT($K32, "0.00") &amp; "X" &amp; IF(N32, "", "*")))</f>
        <v>1.05X*</v>
      </c>
      <c r="K86" t="str">
        <f>"&amp;" &amp; B86 &amp; "&amp;" &amp; C86 &amp; "&amp;" &amp; D86 &amp; "&amp;" &amp; E86 &amp; "&amp;" &amp; F86 &amp; "&amp;" &amp; H86 &amp; "&amp;" &amp; I86 &amp;  "&amp;" &amp;  J86  &amp; "\\"</f>
        <v>&amp;0.05MB&amp;16&amp;TO&amp;0.828&amp;0.055&amp;&gt;10909.09X&amp;15.62X&amp;1.05X*\\</v>
      </c>
    </row>
    <row r="87" spans="1:11" x14ac:dyDescent="0.2">
      <c r="B87" t="str">
        <f>C33</f>
        <v>0.1MB</v>
      </c>
      <c r="C87" t="str">
        <f>IF(ISBLANK(D33), "-", D33)</f>
        <v>-</v>
      </c>
      <c r="D87" t="str">
        <f>IF(ISNA(E33), $C$1, TEXT(E33, "0.000"))</f>
        <v>TO</v>
      </c>
      <c r="E87" t="str">
        <f>IF(ISNA(F33), $C$1, TEXT(F33, "0.000"))</f>
        <v>TO</v>
      </c>
      <c r="F87" t="str">
        <f>IF(ISNA(G33), $C$1, TEXT(G33, "0.000"))</f>
        <v>0.478</v>
      </c>
      <c r="G87" t="str">
        <f>IF(ISNA(H33), $C$1, TEXT(H33, "0.000"))</f>
        <v>0.477</v>
      </c>
      <c r="H87" t="str">
        <f>IF($F87=$C$1, $D$1, IF($J33="DNF", "&gt;" &amp; TEXT($B$1/$F87,"0.00") &amp; "X", TEXT($J33, "0.00") &amp; "X" &amp; IF(M33, "", "*")))</f>
        <v>&gt;1255.23X</v>
      </c>
      <c r="I87" t="str">
        <f>IF($F87=$C$1, $D$1, IF($I33="DNF", "&gt;" &amp; TEXT($B$1/$F87,"0.00") &amp; "X", TEXT($I33, "0.00") &amp; "X" &amp; IF(L33, "", "*")))</f>
        <v>&gt;1255.23X</v>
      </c>
      <c r="J87" t="str">
        <f>IF($F87=$C$1, $D$1, IF($K33="DNF", "&gt;" &amp; TEXT($B$1/$F87,"0.00") &amp; "X", TEXT($K33, "0.00") &amp; "X" &amp; IF(N33, "", "*")))</f>
        <v>1.00X*</v>
      </c>
      <c r="K87" t="str">
        <f>"&amp;" &amp; B87 &amp; "&amp;" &amp; C87 &amp; "&amp;" &amp; D87 &amp; "&amp;" &amp; E87 &amp; "&amp;" &amp; F87 &amp; "&amp;" &amp; H87 &amp; "&amp;" &amp; I87 &amp;  "&amp;" &amp;  J87  &amp; "\\"</f>
        <v>&amp;0.1MB&amp;-&amp;TO&amp;TO&amp;0.478&amp;&gt;1255.23X&amp;&gt;1255.23X&amp;1.00X*\\</v>
      </c>
    </row>
    <row r="88" spans="1:11" x14ac:dyDescent="0.2">
      <c r="A88" t="s">
        <v>29</v>
      </c>
      <c r="B88" t="str">
        <f>C34</f>
        <v>0.01MB</v>
      </c>
      <c r="C88">
        <f>IF(ISBLANK(D34), "-", D34)</f>
        <v>2</v>
      </c>
      <c r="D88" t="str">
        <f>IF(ISNA(E34), $C$1, TEXT(E34, "0.000"))</f>
        <v>0.002</v>
      </c>
      <c r="E88" t="str">
        <f>IF(ISNA(F34), $C$1, TEXT(F34, "0.000"))</f>
        <v>0.037</v>
      </c>
      <c r="F88" t="str">
        <f>IF(ISNA(G34), $C$1, TEXT(G34, "0.000"))</f>
        <v>0.007</v>
      </c>
      <c r="G88" t="str">
        <f>IF(ISNA(H34), $C$1, TEXT(H34, "0.000"))</f>
        <v>0.006</v>
      </c>
      <c r="H88" t="str">
        <f>IF($F88=$C$1, $D$1, IF($J34="DNF", "&gt;" &amp; TEXT($B$1/$F88,"0.00") &amp; "X", TEXT($J34, "0.00") &amp; "X" &amp; IF(M34, "", "*")))</f>
        <v>0.37X*</v>
      </c>
      <c r="I88" t="str">
        <f>IF($F88=$C$1, $D$1, IF($I34="DNF", "&gt;" &amp; TEXT($B$1/$F88,"0.00") &amp; "X", TEXT($I34, "0.00") &amp; "X" &amp; IF(L34, "", "*")))</f>
        <v>6.38X</v>
      </c>
      <c r="J88" t="str">
        <f>IF($F88=$C$1, $D$1, IF($K34="DNF", "&gt;" &amp; TEXT($B$1/$F88,"0.00") &amp; "X", TEXT($K34, "0.00") &amp; "X" &amp; IF(N34, "", "*")))</f>
        <v>1.17X*</v>
      </c>
      <c r="K88" t="str">
        <f>"&amp;" &amp; B88 &amp; "&amp;" &amp; C88 &amp; "&amp;" &amp; D88 &amp; "&amp;" &amp; E88 &amp; "&amp;" &amp; F88 &amp; "&amp;" &amp; H88 &amp; "&amp;" &amp; I88 &amp;  "&amp;" &amp;  J88  &amp; "\\"</f>
        <v>&amp;0.01MB&amp;2&amp;0.002&amp;0.037&amp;0.007&amp;0.37X*&amp;6.38X&amp;1.17X*\\</v>
      </c>
    </row>
    <row r="89" spans="1:11" x14ac:dyDescent="0.2">
      <c r="B89" t="str">
        <f>C35</f>
        <v>1MB</v>
      </c>
      <c r="C89">
        <f>IF(ISBLANK(D35), "-", D35)</f>
        <v>2</v>
      </c>
      <c r="D89" t="str">
        <f>IF(ISNA(E35), $C$1, TEXT(E35, "0.000"))</f>
        <v>TO</v>
      </c>
      <c r="E89" t="str">
        <f>IF(ISNA(F35), $C$1, TEXT(F35, "0.000"))</f>
        <v>0.392</v>
      </c>
      <c r="F89" t="str">
        <f>IF(ISNA(G35), $C$1, TEXT(G35, "0.000"))</f>
        <v>0.067</v>
      </c>
      <c r="G89" t="str">
        <f>IF(ISNA(H35), $C$1, TEXT(H35, "0.000"))</f>
        <v>0.069</v>
      </c>
      <c r="H89" t="str">
        <f>IF($F89=$C$1, $D$1, IF($J35="DNF", "&gt;" &amp; TEXT($B$1/$F89,"0.00") &amp; "X", TEXT($J35, "0.00") &amp; "X" &amp; IF(M35, "", "*")))</f>
        <v>&gt;8955.22X</v>
      </c>
      <c r="I89" t="str">
        <f>IF($F89=$C$1, $D$1, IF($I35="DNF", "&gt;" &amp; TEXT($B$1/$F89,"0.00") &amp; "X", TEXT($I35, "0.00") &amp; "X" &amp; IF(L35, "", "*")))</f>
        <v>5.68X</v>
      </c>
      <c r="J89" t="str">
        <f>IF($F89=$C$1, $D$1, IF($K35="DNF", "&gt;" &amp; TEXT($B$1/$F89,"0.00") &amp; "X", TEXT($K35, "0.00") &amp; "X" &amp; IF(N35, "", "*")))</f>
        <v>0.96X*</v>
      </c>
      <c r="K89" t="str">
        <f>"&amp;" &amp; B89 &amp; "&amp;" &amp; C89 &amp; "&amp;" &amp; D89 &amp; "&amp;" &amp; E89 &amp; "&amp;" &amp; F89 &amp; "&amp;" &amp; H89 &amp; "&amp;" &amp; I89 &amp;  "&amp;" &amp;  J89  &amp; "\\"</f>
        <v>&amp;1MB&amp;2&amp;TO&amp;0.392&amp;0.067&amp;&gt;8955.22X&amp;5.68X&amp;0.96X*\\</v>
      </c>
    </row>
    <row r="90" spans="1:11" x14ac:dyDescent="0.2">
      <c r="B90" t="str">
        <f>C36</f>
        <v>10MB</v>
      </c>
      <c r="C90">
        <f>IF(ISBLANK(D36), "-", D36)</f>
        <v>2</v>
      </c>
      <c r="D90" t="str">
        <f>IF(ISNA(E36), $C$1, TEXT(E36, "0.000"))</f>
        <v>TO</v>
      </c>
      <c r="E90" t="str">
        <f>IF(ISNA(F36), $C$1, TEXT(F36, "0.000"))</f>
        <v>0.717</v>
      </c>
      <c r="F90" t="str">
        <f>IF(ISNA(G36), $C$1, TEXT(G36, "0.000"))</f>
        <v>0.706</v>
      </c>
      <c r="G90" t="str">
        <f>IF(ISNA(H36), $C$1, TEXT(H36, "0.000"))</f>
        <v>0.713</v>
      </c>
      <c r="H90" t="str">
        <f>IF($F90=$C$1, $D$1, IF($J36="DNF", "&gt;" &amp; TEXT($B$1/$F90,"0.00") &amp; "X", TEXT($J36, "0.00") &amp; "X" &amp; IF(M36, "", "*")))</f>
        <v>&gt;849.86X</v>
      </c>
      <c r="I90" t="str">
        <f>IF($F90=$C$1, $D$1, IF($I36="DNF", "&gt;" &amp; TEXT($B$1/$F90,"0.00") &amp; "X", TEXT($I36, "0.00") &amp; "X" &amp; IF(L36, "", "*")))</f>
        <v>1.00X*</v>
      </c>
      <c r="J90" t="str">
        <f>IF($F90=$C$1, $D$1, IF($K36="DNF", "&gt;" &amp; TEXT($B$1/$F90,"0.00") &amp; "X", TEXT($K36, "0.00") &amp; "X" &amp; IF(N36, "", "*")))</f>
        <v>0.99X*</v>
      </c>
      <c r="K90" t="str">
        <f>"&amp;" &amp; B90 &amp; "&amp;" &amp; C90 &amp; "&amp;" &amp; D90 &amp; "&amp;" &amp; E90 &amp; "&amp;" &amp; F90 &amp; "&amp;" &amp; H90 &amp; "&amp;" &amp; I90 &amp;  "&amp;" &amp;  J90  &amp; "\\"</f>
        <v>&amp;10MB&amp;2&amp;TO&amp;0.717&amp;0.706&amp;&gt;849.86X&amp;1.00X*&amp;0.99X*\\</v>
      </c>
    </row>
    <row r="91" spans="1:11" x14ac:dyDescent="0.2">
      <c r="A91" t="s">
        <v>31</v>
      </c>
      <c r="B91" t="str">
        <f>C37</f>
        <v>0.01MB</v>
      </c>
      <c r="C91">
        <f>IF(ISBLANK(D37), "-", D37)</f>
        <v>5</v>
      </c>
      <c r="D91" t="str">
        <f>IF(ISNA(E37), $C$1, TEXT(E37, "0.000"))</f>
        <v>0.003</v>
      </c>
      <c r="E91" t="str">
        <f>IF(ISNA(F37), $C$1, TEXT(F37, "0.000"))</f>
        <v>0.074</v>
      </c>
      <c r="F91" t="str">
        <f>IF(ISNA(G37), $C$1, TEXT(G37, "0.000"))</f>
        <v>0.009</v>
      </c>
      <c r="G91" t="str">
        <f>IF(ISNA(H37), $C$1, TEXT(H37, "0.000"))</f>
        <v>0.006</v>
      </c>
      <c r="H91" t="str">
        <f>IF($F91=$C$1, $D$1, IF($J37="DNF", "&gt;" &amp; TEXT($B$1/$F91,"0.00") &amp; "X", TEXT($J37, "0.00") &amp; "X" &amp; IF(M37, "", "*")))</f>
        <v>0.58X*</v>
      </c>
      <c r="I91" t="str">
        <f>IF($F91=$C$1, $D$1, IF($I37="DNF", "&gt;" &amp; TEXT($B$1/$F91,"0.00") &amp; "X", TEXT($I37, "0.00") &amp; "X" &amp; IF(L37, "", "*")))</f>
        <v>12.40X</v>
      </c>
      <c r="J91" t="str">
        <f>IF($F91=$C$1, $D$1, IF($K37="DNF", "&gt;" &amp; TEXT($B$1/$F91,"0.00") &amp; "X", TEXT($K37, "0.00") &amp; "X" &amp; IF(N37, "", "*")))</f>
        <v>1.49X*</v>
      </c>
      <c r="K91" t="str">
        <f>"&amp;" &amp; B91 &amp; "&amp;" &amp; C91 &amp; "&amp;" &amp; D91 &amp; "&amp;" &amp; E91 &amp; "&amp;" &amp; F91 &amp; "&amp;" &amp; H91 &amp; "&amp;" &amp; I91 &amp;  "&amp;" &amp;  J91  &amp; "\\"</f>
        <v>&amp;0.01MB&amp;5&amp;0.003&amp;0.074&amp;0.009&amp;0.58X*&amp;12.40X&amp;1.49X*\\</v>
      </c>
    </row>
    <row r="92" spans="1:11" x14ac:dyDescent="0.2">
      <c r="B92" t="str">
        <f>C38</f>
        <v>2MB</v>
      </c>
      <c r="C92">
        <f>IF(ISBLANK(D38), "-", D38)</f>
        <v>5</v>
      </c>
      <c r="D92" t="str">
        <f>IF(ISNA(E38), $C$1, TEXT(E38, "0.000"))</f>
        <v>TO</v>
      </c>
      <c r="E92" t="str">
        <f>IF(ISNA(F38), $C$1, TEXT(F38, "0.000"))</f>
        <v>0.650</v>
      </c>
      <c r="F92" t="str">
        <f>IF(ISNA(G38), $C$1, TEXT(G38, "0.000"))</f>
        <v>0.091</v>
      </c>
      <c r="G92" t="str">
        <f>IF(ISNA(H38), $C$1, TEXT(H38, "0.000"))</f>
        <v>0.087</v>
      </c>
      <c r="H92" t="str">
        <f>IF($F92=$C$1, $D$1, IF($J38="DNF", "&gt;" &amp; TEXT($B$1/$F92,"0.00") &amp; "X", TEXT($J38, "0.00") &amp; "X" &amp; IF(M38, "", "*")))</f>
        <v>&gt;6593.41X</v>
      </c>
      <c r="I92" t="str">
        <f>IF($F92=$C$1, $D$1, IF($I38="DNF", "&gt;" &amp; TEXT($B$1/$F92,"0.00") &amp; "X", TEXT($I38, "0.00") &amp; "X" &amp; IF(L38, "", "*")))</f>
        <v>7.45X</v>
      </c>
      <c r="J92" t="str">
        <f>IF($F92=$C$1, $D$1, IF($K38="DNF", "&gt;" &amp; TEXT($B$1/$F92,"0.00") &amp; "X", TEXT($K38, "0.00") &amp; "X" &amp; IF(N38, "", "*")))</f>
        <v>1.04X*</v>
      </c>
      <c r="K92" t="str">
        <f>"&amp;" &amp; B92 &amp; "&amp;" &amp; C92 &amp; "&amp;" &amp; D92 &amp; "&amp;" &amp; E92 &amp; "&amp;" &amp; F92 &amp; "&amp;" &amp; H92 &amp; "&amp;" &amp; I92 &amp;  "&amp;" &amp;  J92  &amp; "\\"</f>
        <v>&amp;2MB&amp;5&amp;TO&amp;0.650&amp;0.091&amp;&gt;6593.41X&amp;7.45X&amp;1.04X*\\</v>
      </c>
    </row>
    <row r="93" spans="1:11" x14ac:dyDescent="0.2">
      <c r="B93" t="str">
        <f>C39</f>
        <v>20MB</v>
      </c>
      <c r="C93">
        <f>IF(ISBLANK(D39), "-", D39)</f>
        <v>7</v>
      </c>
      <c r="D93" t="str">
        <f>IF(ISNA(E39), $C$1, TEXT(E39, "0.000"))</f>
        <v>TO</v>
      </c>
      <c r="E93" t="str">
        <f>IF(ISNA(F39), $C$1, TEXT(F39, "0.000"))</f>
        <v>3.369</v>
      </c>
      <c r="F93" t="str">
        <f>IF(ISNA(G39), $C$1, TEXT(G39, "0.000"))</f>
        <v>0.873</v>
      </c>
      <c r="G93" t="str">
        <f>IF(ISNA(H39), $C$1, TEXT(H39, "0.000"))</f>
        <v>0.866</v>
      </c>
      <c r="H93" t="str">
        <f>IF($F93=$C$1, $D$1, IF($J39="DNF", "&gt;" &amp; TEXT($B$1/$F93,"0.00") &amp; "X", TEXT($J39, "0.00") &amp; "X" &amp; IF(M39, "", "*")))</f>
        <v>&gt;687.29X</v>
      </c>
      <c r="I93" t="str">
        <f>IF($F93=$C$1, $D$1, IF($I39="DNF", "&gt;" &amp; TEXT($B$1/$F93,"0.00") &amp; "X", TEXT($I39, "0.00") &amp; "X" &amp; IF(L39, "", "*")))</f>
        <v>3.89X</v>
      </c>
      <c r="J93" t="str">
        <f>IF($F93=$C$1, $D$1, IF($K39="DNF", "&gt;" &amp; TEXT($B$1/$F93,"0.00") &amp; "X", TEXT($K39, "0.00") &amp; "X" &amp; IF(N39, "", "*")))</f>
        <v>1.01X*</v>
      </c>
      <c r="K93" t="str">
        <f>"&amp;" &amp; B93 &amp; "&amp;" &amp; C93 &amp; "&amp;" &amp; D93 &amp; "&amp;" &amp; E93 &amp; "&amp;" &amp; F93 &amp; "&amp;" &amp; H93 &amp; "&amp;" &amp; I93 &amp;  "&amp;" &amp;  J93  &amp; "\\"</f>
        <v>&amp;20MB&amp;7&amp;TO&amp;3.369&amp;0.873&amp;&gt;687.29X&amp;3.89X&amp;1.01X*\\</v>
      </c>
    </row>
    <row r="94" spans="1:11" x14ac:dyDescent="0.2">
      <c r="A94" t="s">
        <v>33</v>
      </c>
      <c r="B94" t="str">
        <f>C40</f>
        <v>0.02MB</v>
      </c>
      <c r="C94">
        <f>IF(ISBLANK(D40), "-", D40)</f>
        <v>3</v>
      </c>
      <c r="D94" t="str">
        <f>IF(ISNA(E40), $C$1, TEXT(E40, "0.000"))</f>
        <v>0.002</v>
      </c>
      <c r="E94" t="str">
        <f>IF(ISNA(F40), $C$1, TEXT(F40, "0.000"))</f>
        <v>0.079</v>
      </c>
      <c r="F94" t="str">
        <f>IF(ISNA(G40), $C$1, TEXT(G40, "0.000"))</f>
        <v>0.014</v>
      </c>
      <c r="G94" t="str">
        <f>IF(ISNA(H40), $C$1, TEXT(H40, "0.000"))</f>
        <v>0.014</v>
      </c>
      <c r="H94" t="str">
        <f>IF($F94=$C$1, $D$1, IF($J40="DNF", "&gt;" &amp; TEXT($B$1/$F94,"0.00") &amp; "X", TEXT($J40, "0.00") &amp; "X" &amp; IF(M40, "", "*")))</f>
        <v>0.15X</v>
      </c>
      <c r="I94" t="str">
        <f>IF($F94=$C$1, $D$1, IF($I40="DNF", "&gt;" &amp; TEXT($B$1/$F94,"0.00") &amp; "X", TEXT($I40, "0.00") &amp; "X" &amp; IF(L40, "", "*")))</f>
        <v>5.47X</v>
      </c>
      <c r="J94" t="str">
        <f>IF($F94=$C$1, $D$1, IF($K40="DNF", "&gt;" &amp; TEXT($B$1/$F94,"0.00") &amp; "X", TEXT($K40, "0.00") &amp; "X" &amp; IF(N40, "", "*")))</f>
        <v>0.98X*</v>
      </c>
      <c r="K94" t="str">
        <f>"&amp;" &amp; B94 &amp; "&amp;" &amp; C94 &amp; "&amp;" &amp; D94 &amp; "&amp;" &amp; E94 &amp; "&amp;" &amp; F94 &amp; "&amp;" &amp; H94 &amp; "&amp;" &amp; I94 &amp;  "&amp;" &amp;  J94  &amp; "\\"</f>
        <v>&amp;0.02MB&amp;3&amp;0.002&amp;0.079&amp;0.014&amp;0.15X&amp;5.47X&amp;0.98X*\\</v>
      </c>
    </row>
    <row r="95" spans="1:11" x14ac:dyDescent="0.2">
      <c r="B95" t="str">
        <f>C41</f>
        <v>0.05MB</v>
      </c>
      <c r="C95">
        <f>IF(ISBLANK(D41), "-", D41)</f>
        <v>16</v>
      </c>
      <c r="D95" t="str">
        <f>IF(ISNA(E41), $C$1, TEXT(E41, "0.000"))</f>
        <v>TO</v>
      </c>
      <c r="E95" t="str">
        <f>IF(ISNA(F41), $C$1, TEXT(F41, "0.000"))</f>
        <v>0.860</v>
      </c>
      <c r="F95" t="str">
        <f>IF(ISNA(G41), $C$1, TEXT(G41, "0.000"))</f>
        <v>0.054</v>
      </c>
      <c r="G95" t="str">
        <f>IF(ISNA(H41), $C$1, TEXT(H41, "0.000"))</f>
        <v>0.052</v>
      </c>
      <c r="H95" t="str">
        <f>IF($F95=$C$1, $D$1, IF($J41="DNF", "&gt;" &amp; TEXT($B$1/$F95,"0.00") &amp; "X", TEXT($J41, "0.00") &amp; "X" &amp; IF(M41, "", "*")))</f>
        <v>&gt;11111.11X</v>
      </c>
      <c r="I95" t="str">
        <f>IF($F95=$C$1, $D$1, IF($I41="DNF", "&gt;" &amp; TEXT($B$1/$F95,"0.00") &amp; "X", TEXT($I41, "0.00") &amp; "X" &amp; IF(L41, "", "*")))</f>
        <v>16.57X</v>
      </c>
      <c r="J95" t="str">
        <f>IF($F95=$C$1, $D$1, IF($K41="DNF", "&gt;" &amp; TEXT($B$1/$F95,"0.00") &amp; "X", TEXT($K41, "0.00") &amp; "X" &amp; IF(N41, "", "*")))</f>
        <v>1.03X*</v>
      </c>
      <c r="K95" t="str">
        <f>"&amp;" &amp; B95 &amp; "&amp;" &amp; C95 &amp; "&amp;" &amp; D95 &amp; "&amp;" &amp; E95 &amp; "&amp;" &amp; F95 &amp; "&amp;" &amp; H95 &amp; "&amp;" &amp; I95 &amp;  "&amp;" &amp;  J95  &amp; "\\"</f>
        <v>&amp;0.05MB&amp;16&amp;TO&amp;0.860&amp;0.054&amp;&gt;11111.11X&amp;16.57X&amp;1.03X*\\</v>
      </c>
    </row>
    <row r="96" spans="1:11" x14ac:dyDescent="0.2">
      <c r="B96" t="str">
        <f>C42</f>
        <v>0.1MB</v>
      </c>
      <c r="C96" t="str">
        <f>IF(ISBLANK(D42), "-", D42)</f>
        <v>-</v>
      </c>
      <c r="D96" t="str">
        <f>IF(ISNA(E42), $C$1, TEXT(E42, "0.000"))</f>
        <v>TO</v>
      </c>
      <c r="E96" t="str">
        <f>IF(ISNA(F42), $C$1, TEXT(F42, "0.000"))</f>
        <v>TO</v>
      </c>
      <c r="F96" t="str">
        <f>IF(ISNA(G42), $C$1, TEXT(G42, "0.000"))</f>
        <v>2.188</v>
      </c>
      <c r="G96" t="str">
        <f>IF(ISNA(H42), $C$1, TEXT(H42, "0.000"))</f>
        <v>2.112</v>
      </c>
      <c r="H96" t="str">
        <f>IF($F96=$C$1, $D$1, IF($J42="DNF", "&gt;" &amp; TEXT($B$1/$F96,"0.00") &amp; "X", TEXT($J42, "0.00") &amp; "X" &amp; IF(M42, "", "*")))</f>
        <v>&gt;274.22X</v>
      </c>
      <c r="I96" t="str">
        <f>IF($F96=$C$1, $D$1, IF($I42="DNF", "&gt;" &amp; TEXT($B$1/$F96,"0.00") &amp; "X", TEXT($I42, "0.00") &amp; "X" &amp; IF(L42, "", "*")))</f>
        <v>&gt;274.22X</v>
      </c>
      <c r="J96" t="str">
        <f>IF($F96=$C$1, $D$1, IF($K42="DNF", "&gt;" &amp; TEXT($B$1/$F96,"0.00") &amp; "X", TEXT($K42, "0.00") &amp; "X" &amp; IF(N42, "", "*")))</f>
        <v>1.04X*</v>
      </c>
      <c r="K96" t="str">
        <f>"&amp;" &amp; B96 &amp; "&amp;" &amp; C96 &amp; "&amp;" &amp; D96 &amp; "&amp;" &amp; E96 &amp; "&amp;" &amp; F96 &amp; "&amp;" &amp; H96 &amp; "&amp;" &amp; I96 &amp;  "&amp;" &amp;  J96  &amp; "\\"</f>
        <v>&amp;0.1MB&amp;-&amp;TO&amp;TO&amp;2.188&amp;&gt;274.22X&amp;&gt;274.22X&amp;1.04X*\\</v>
      </c>
    </row>
    <row r="97" spans="1:11" x14ac:dyDescent="0.2">
      <c r="A97" t="s">
        <v>35</v>
      </c>
      <c r="B97" t="str">
        <f>C43</f>
        <v>0.01MB</v>
      </c>
      <c r="C97">
        <f>IF(ISBLANK(D43), "-", D43)</f>
        <v>5</v>
      </c>
      <c r="D97" t="str">
        <f>IF(ISNA(E43), $C$1, TEXT(E43, "0.000"))</f>
        <v>0.002</v>
      </c>
      <c r="E97" t="str">
        <f>IF(ISNA(F43), $C$1, TEXT(F43, "0.000"))</f>
        <v>0.064</v>
      </c>
      <c r="F97" t="str">
        <f>IF(ISNA(G43), $C$1, TEXT(G43, "0.000"))</f>
        <v>0.012</v>
      </c>
      <c r="G97" t="str">
        <f>IF(ISNA(H43), $C$1, TEXT(H43, "0.000"))</f>
        <v>0.008</v>
      </c>
      <c r="H97" t="str">
        <f>IF($F97=$C$1, $D$1, IF($J43="DNF", "&gt;" &amp; TEXT($B$1/$F97,"0.00") &amp; "X", TEXT($J43, "0.00") &amp; "X" &amp; IF(M43, "", "*")))</f>
        <v>0.27X*</v>
      </c>
      <c r="I97" t="str">
        <f>IF($F97=$C$1, $D$1, IF($I43="DNF", "&gt;" &amp; TEXT($B$1/$F97,"0.00") &amp; "X", TEXT($I43, "0.00") &amp; "X" &amp; IF(L43, "", "*")))</f>
        <v>7.55X</v>
      </c>
      <c r="J97" t="str">
        <f>IF($F97=$C$1, $D$1, IF($K43="DNF", "&gt;" &amp; TEXT($B$1/$F97,"0.00") &amp; "X", TEXT($K43, "0.00") &amp; "X" &amp; IF(N43, "", "*")))</f>
        <v>1.42X*</v>
      </c>
      <c r="K97" t="str">
        <f>"&amp;" &amp; B97 &amp; "&amp;" &amp; C97 &amp; "&amp;" &amp; D97 &amp; "&amp;" &amp; E97 &amp; "&amp;" &amp; F97 &amp; "&amp;" &amp; H97 &amp; "&amp;" &amp; I97 &amp;  "&amp;" &amp;  J97  &amp; "\\"</f>
        <v>&amp;0.01MB&amp;5&amp;0.002&amp;0.064&amp;0.012&amp;0.27X*&amp;7.55X&amp;1.42X*\\</v>
      </c>
    </row>
    <row r="98" spans="1:11" x14ac:dyDescent="0.2">
      <c r="B98" t="str">
        <f>C44</f>
        <v>10MB</v>
      </c>
      <c r="C98">
        <f>IF(ISBLANK(D44), "-", D44)</f>
        <v>9</v>
      </c>
      <c r="D98" t="str">
        <f>IF(ISNA(E44), $C$1, TEXT(E44, "0.000"))</f>
        <v>0.513</v>
      </c>
      <c r="E98" t="str">
        <f>IF(ISNA(F44), $C$1, TEXT(F44, "0.000"))</f>
        <v>0.161</v>
      </c>
      <c r="F98" t="str">
        <f>IF(ISNA(G44), $C$1, TEXT(G44, "0.000"))</f>
        <v>0.029</v>
      </c>
      <c r="G98" t="str">
        <f>IF(ISNA(H44), $C$1, TEXT(H44, "0.000"))</f>
        <v>0.027</v>
      </c>
      <c r="H98" t="str">
        <f>IF($F98=$C$1, $D$1, IF($J44="DNF", "&gt;" &amp; TEXT($B$1/$F98,"0.00") &amp; "X", TEXT($J44, "0.00") &amp; "X" &amp; IF(M44, "", "*")))</f>
        <v>18.67X</v>
      </c>
      <c r="I98" t="str">
        <f>IF($F98=$C$1, $D$1, IF($I44="DNF", "&gt;" &amp; TEXT($B$1/$F98,"0.00") &amp; "X", TEXT($I44, "0.00") &amp; "X" &amp; IF(L44, "", "*")))</f>
        <v>5.88X</v>
      </c>
      <c r="J98" t="str">
        <f>IF($F98=$C$1, $D$1, IF($K44="DNF", "&gt;" &amp; TEXT($B$1/$F98,"0.00") &amp; "X", TEXT($K44, "0.00") &amp; "X" &amp; IF(N44, "", "*")))</f>
        <v>1.07X*</v>
      </c>
      <c r="K98" t="str">
        <f>"&amp;" &amp; B98 &amp; "&amp;" &amp; C98 &amp; "&amp;" &amp; D98 &amp; "&amp;" &amp; E98 &amp; "&amp;" &amp; F98 &amp; "&amp;" &amp; H98 &amp; "&amp;" &amp; I98 &amp;  "&amp;" &amp;  J98  &amp; "\\"</f>
        <v>&amp;10MB&amp;9&amp;0.513&amp;0.161&amp;0.029&amp;18.67X&amp;5.88X&amp;1.07X*\\</v>
      </c>
    </row>
    <row r="99" spans="1:11" x14ac:dyDescent="0.2">
      <c r="B99" t="str">
        <f>C45</f>
        <v>25MB</v>
      </c>
      <c r="C99">
        <f>IF(ISBLANK(D45), "-", D45)</f>
        <v>42</v>
      </c>
      <c r="D99" t="str">
        <f>IF(ISNA(E45), $C$1, TEXT(E45, "0.000"))</f>
        <v>160.057</v>
      </c>
      <c r="E99" t="str">
        <f>IF(ISNA(F45), $C$1, TEXT(F45, "0.000"))</f>
        <v>1.773</v>
      </c>
      <c r="F99" t="str">
        <f>IF(ISNA(G45), $C$1, TEXT(G45, "0.000"))</f>
        <v>0.173</v>
      </c>
      <c r="G99" t="str">
        <f>IF(ISNA(H45), $C$1, TEXT(H45, "0.000"))</f>
        <v>0.172</v>
      </c>
      <c r="H99" t="str">
        <f>IF($F99=$C$1, $D$1, IF($J45="DNF", "&gt;" &amp; TEXT($B$1/$F99,"0.00") &amp; "X", TEXT($J45, "0.00") &amp; "X" &amp; IF(M45, "", "*")))</f>
        <v>931.47X</v>
      </c>
      <c r="I99" t="str">
        <f>IF($F99=$C$1, $D$1, IF($I45="DNF", "&gt;" &amp; TEXT($B$1/$F99,"0.00") &amp; "X", TEXT($I45, "0.00") &amp; "X" &amp; IF(L45, "", "*")))</f>
        <v>10.32X</v>
      </c>
      <c r="J99" t="str">
        <f>IF($F99=$C$1, $D$1, IF($K45="DNF", "&gt;" &amp; TEXT($B$1/$F99,"0.00") &amp; "X", TEXT($K45, "0.00") &amp; "X" &amp; IF(N45, "", "*")))</f>
        <v>1.01X*</v>
      </c>
      <c r="K99" t="str">
        <f>"&amp;" &amp; B99 &amp; "&amp;" &amp; C99 &amp; "&amp;" &amp; D99 &amp; "&amp;" &amp; E99 &amp; "&amp;" &amp; F99 &amp; "&amp;" &amp; H99 &amp; "&amp;" &amp; I99 &amp;  "&amp;" &amp;  J99  &amp; "\\"</f>
        <v>&amp;25MB&amp;42&amp;160.057&amp;1.773&amp;0.173&amp;931.47X&amp;10.32X&amp;1.01X*\\</v>
      </c>
    </row>
    <row r="100" spans="1:11" x14ac:dyDescent="0.2">
      <c r="A100" t="s">
        <v>37</v>
      </c>
      <c r="B100" t="str">
        <f>C46</f>
        <v>0.01MB</v>
      </c>
      <c r="C100">
        <f>IF(ISBLANK(D46), "-", D46)</f>
        <v>2</v>
      </c>
      <c r="D100" t="str">
        <f>IF(ISNA(E46), $C$1, TEXT(E46, "0.000"))</f>
        <v>0.001</v>
      </c>
      <c r="E100" t="str">
        <f>IF(ISNA(F46), $C$1, TEXT(F46, "0.000"))</f>
        <v>0.030</v>
      </c>
      <c r="F100" t="str">
        <f>IF(ISNA(G46), $C$1, TEXT(G46, "0.000"))</f>
        <v>0.009</v>
      </c>
      <c r="G100" t="str">
        <f>IF(ISNA(H46), $C$1, TEXT(H46, "0.000"))</f>
        <v>0.004</v>
      </c>
      <c r="H100" t="str">
        <f>IF($F100=$C$1, $D$1, IF($J46="DNF", "&gt;" &amp; TEXT($B$1/$F100,"0.00") &amp; "X", TEXT($J46, "0.00") &amp; "X" &amp; IF(M46, "", "*")))</f>
        <v>0.22X*</v>
      </c>
      <c r="I100" t="str">
        <f>IF($F100=$C$1, $D$1, IF($I46="DNF", "&gt;" &amp; TEXT($B$1/$F100,"0.00") &amp; "X", TEXT($I46, "0.00") &amp; "X" &amp; IF(L46, "", "*")))</f>
        <v>7.13X</v>
      </c>
      <c r="J100" t="str">
        <f>IF($F100=$C$1, $D$1, IF($K46="DNF", "&gt;" &amp; TEXT($B$1/$F100,"0.00") &amp; "X", TEXT($K46, "0.00") &amp; "X" &amp; IF(N46, "", "*")))</f>
        <v>2.12X*</v>
      </c>
      <c r="K100" t="str">
        <f>"&amp;" &amp; B100 &amp; "&amp;" &amp; C100 &amp; "&amp;" &amp; D100 &amp; "&amp;" &amp; E100 &amp; "&amp;" &amp; F100 &amp; "&amp;" &amp; H100 &amp; "&amp;" &amp; I100 &amp;  "&amp;" &amp;  J100  &amp; "\\"</f>
        <v>&amp;0.01MB&amp;2&amp;0.001&amp;0.030&amp;0.009&amp;0.22X*&amp;7.13X&amp;2.12X*\\</v>
      </c>
    </row>
    <row r="101" spans="1:11" x14ac:dyDescent="0.2">
      <c r="B101" t="str">
        <f>C47</f>
        <v>5MB</v>
      </c>
      <c r="C101">
        <f>IF(ISBLANK(D47), "-", D47)</f>
        <v>5</v>
      </c>
      <c r="D101" t="str">
        <f>IF(ISNA(E47), $C$1, TEXT(E47, "0.000"))</f>
        <v>0.365</v>
      </c>
      <c r="E101" t="str">
        <f>IF(ISNA(F47), $C$1, TEXT(F47, "0.000"))</f>
        <v>0.076</v>
      </c>
      <c r="F101" t="str">
        <f>IF(ISNA(G47), $C$1, TEXT(G47, "0.000"))</f>
        <v>0.021</v>
      </c>
      <c r="G101" t="str">
        <f>IF(ISNA(H47), $C$1, TEXT(H47, "0.000"))</f>
        <v>0.019</v>
      </c>
      <c r="H101" t="str">
        <f>IF($F101=$C$1, $D$1, IF($J47="DNF", "&gt;" &amp; TEXT($B$1/$F101,"0.00") &amp; "X", TEXT($J47, "0.00") &amp; "X" &amp; IF(M47, "", "*")))</f>
        <v>19.70X</v>
      </c>
      <c r="I101" t="str">
        <f>IF($F101=$C$1, $D$1, IF($I47="DNF", "&gt;" &amp; TEXT($B$1/$F101,"0.00") &amp; "X", TEXT($I47, "0.00") &amp; "X" &amp; IF(L47, "", "*")))</f>
        <v>4.12X</v>
      </c>
      <c r="J101" t="str">
        <f>IF($F101=$C$1, $D$1, IF($K47="DNF", "&gt;" &amp; TEXT($B$1/$F101,"0.00") &amp; "X", TEXT($K47, "0.00") &amp; "X" &amp; IF(N47, "", "*")))</f>
        <v>1.16X*</v>
      </c>
      <c r="K101" t="str">
        <f>"&amp;" &amp; B101 &amp; "&amp;" &amp; C101 &amp; "&amp;" &amp; D101 &amp; "&amp;" &amp; E101 &amp; "&amp;" &amp; F101 &amp; "&amp;" &amp; H101 &amp; "&amp;" &amp; I101 &amp;  "&amp;" &amp;  J101  &amp; "\\"</f>
        <v>&amp;5MB&amp;5&amp;0.365&amp;0.076&amp;0.021&amp;19.70X&amp;4.12X&amp;1.16X*\\</v>
      </c>
    </row>
    <row r="102" spans="1:11" x14ac:dyDescent="0.2">
      <c r="B102" t="str">
        <f>C48</f>
        <v>10MB</v>
      </c>
      <c r="C102">
        <f>IF(ISBLANK(D48), "-", D48)</f>
        <v>10</v>
      </c>
      <c r="D102" t="str">
        <f>IF(ISNA(E48), $C$1, TEXT(E48, "0.000"))</f>
        <v>6.182</v>
      </c>
      <c r="E102" t="str">
        <f>IF(ISNA(F48), $C$1, TEXT(F48, "0.000"))</f>
        <v>0.243</v>
      </c>
      <c r="F102" t="str">
        <f>IF(ISNA(G48), $C$1, TEXT(G48, "0.000"))</f>
        <v>0.069</v>
      </c>
      <c r="G102" t="str">
        <f>IF(ISNA(H48), $C$1, TEXT(H48, "0.000"))</f>
        <v>0.065</v>
      </c>
      <c r="H102" t="str">
        <f>IF($F102=$C$1, $D$1, IF($J48="DNF", "&gt;" &amp; TEXT($B$1/$F102,"0.00") &amp; "X", TEXT($J48, "0.00") &amp; "X" &amp; IF(M48, "", "*")))</f>
        <v>95.06X</v>
      </c>
      <c r="I102" t="str">
        <f>IF($F102=$C$1, $D$1, IF($I48="DNF", "&gt;" &amp; TEXT($B$1/$F102,"0.00") &amp; "X", TEXT($I48, "0.00") &amp; "X" &amp; IF(L48, "", "*")))</f>
        <v>3.74X</v>
      </c>
      <c r="J102" t="str">
        <f>IF($F102=$C$1, $D$1, IF($K48="DNF", "&gt;" &amp; TEXT($B$1/$F102,"0.00") &amp; "X", TEXT($K48, "0.00") &amp; "X" &amp; IF(N48, "", "*")))</f>
        <v>1.06X*</v>
      </c>
      <c r="K102" t="str">
        <f>"&amp;" &amp; B102 &amp; "&amp;" &amp; C102 &amp; "&amp;" &amp; D102 &amp; "&amp;" &amp; E102 &amp; "&amp;" &amp; F102 &amp; "&amp;" &amp; H102 &amp; "&amp;" &amp; I102 &amp;  "&amp;" &amp;  J102  &amp; "\\"</f>
        <v>&amp;10MB&amp;10&amp;6.182&amp;0.243&amp;0.069&amp;95.06X&amp;3.74X&amp;1.06X*\\</v>
      </c>
    </row>
    <row r="103" spans="1:11" x14ac:dyDescent="0.2">
      <c r="A103" t="s">
        <v>39</v>
      </c>
      <c r="B103" t="str">
        <f>C49</f>
        <v>0.01MB</v>
      </c>
      <c r="C103">
        <f>IF(ISBLANK(D49), "-", D49)</f>
        <v>7</v>
      </c>
      <c r="D103" t="str">
        <f>IF(ISNA(E49), $C$1, TEXT(E49, "0.000"))</f>
        <v>0.002</v>
      </c>
      <c r="E103" t="str">
        <f>IF(ISNA(F49), $C$1, TEXT(F49, "0.000"))</f>
        <v>0.146</v>
      </c>
      <c r="F103" t="str">
        <f>IF(ISNA(G49), $C$1, TEXT(G49, "0.000"))</f>
        <v>0.012</v>
      </c>
      <c r="G103" t="str">
        <f>IF(ISNA(H49), $C$1, TEXT(H49, "0.000"))</f>
        <v>0.008</v>
      </c>
      <c r="H103" t="str">
        <f>IF($F103=$C$1, $D$1, IF($J49="DNF", "&gt;" &amp; TEXT($B$1/$F103,"0.00") &amp; "X", TEXT($J49, "0.00") &amp; "X" &amp; IF(M49, "", "*")))</f>
        <v>0.29X</v>
      </c>
      <c r="I103" t="str">
        <f>IF($F103=$C$1, $D$1, IF($I49="DNF", "&gt;" &amp; TEXT($B$1/$F103,"0.00") &amp; "X", TEXT($I49, "0.00") &amp; "X" &amp; IF(L49, "", "*")))</f>
        <v>19.00X</v>
      </c>
      <c r="J103" t="str">
        <f>IF($F103=$C$1, $D$1, IF($K49="DNF", "&gt;" &amp; TEXT($B$1/$F103,"0.00") &amp; "X", TEXT($K49, "0.00") &amp; "X" &amp; IF(N49, "", "*")))</f>
        <v>1.61X*</v>
      </c>
      <c r="K103" t="str">
        <f>"&amp;" &amp; B103 &amp; "&amp;" &amp; C103 &amp; "&amp;" &amp; D103 &amp; "&amp;" &amp; E103 &amp; "&amp;" &amp; F103 &amp; "&amp;" &amp; H103 &amp; "&amp;" &amp; I103 &amp;  "&amp;" &amp;  J103  &amp; "\\"</f>
        <v>&amp;0.01MB&amp;7&amp;0.002&amp;0.146&amp;0.012&amp;0.29X&amp;19.00X&amp;1.61X*\\</v>
      </c>
    </row>
    <row r="104" spans="1:11" x14ac:dyDescent="0.2">
      <c r="B104" t="str">
        <f>C50</f>
        <v>1MB</v>
      </c>
      <c r="C104">
        <f>IF(ISBLANK(D50), "-", D50)</f>
        <v>7</v>
      </c>
      <c r="D104" t="str">
        <f>IF(ISNA(E50), $C$1, TEXT(E50, "0.000"))</f>
        <v>TO</v>
      </c>
      <c r="E104" t="str">
        <f>IF(ISNA(F50), $C$1, TEXT(F50, "0.000"))</f>
        <v>2.644</v>
      </c>
      <c r="F104" t="str">
        <f>IF(ISNA(G50), $C$1, TEXT(G50, "0.000"))</f>
        <v>0.129</v>
      </c>
      <c r="G104" t="str">
        <f>IF(ISNA(H50), $C$1, TEXT(H50, "0.000"))</f>
        <v>0.131</v>
      </c>
      <c r="H104" t="str">
        <f>IF($F104=$C$1, $D$1, IF($J50="DNF", "&gt;" &amp; TEXT($B$1/$F104,"0.00") &amp; "X", TEXT($J50, "0.00") &amp; "X" &amp; IF(M50, "", "*")))</f>
        <v>&gt;4651.16X</v>
      </c>
      <c r="I104" t="str">
        <f>IF($F104=$C$1, $D$1, IF($I50="DNF", "&gt;" &amp; TEXT($B$1/$F104,"0.00") &amp; "X", TEXT($I50, "0.00") &amp; "X" &amp; IF(L50, "", "*")))</f>
        <v>20.15X</v>
      </c>
      <c r="J104" t="str">
        <f>IF($F104=$C$1, $D$1, IF($K50="DNF", "&gt;" &amp; TEXT($B$1/$F104,"0.00") &amp; "X", TEXT($K50, "0.00") &amp; "X" &amp; IF(N50, "", "*")))</f>
        <v>0.98X*</v>
      </c>
      <c r="K104" t="str">
        <f>"&amp;" &amp; B104 &amp; "&amp;" &amp; C104 &amp; "&amp;" &amp; D104 &amp; "&amp;" &amp; E104 &amp; "&amp;" &amp; F104 &amp; "&amp;" &amp; H104 &amp; "&amp;" &amp; I104 &amp;  "&amp;" &amp;  J104  &amp; "\\"</f>
        <v>&amp;1MB&amp;7&amp;TO&amp;2.644&amp;0.129&amp;&gt;4651.16X&amp;20.15X&amp;0.98X*\\</v>
      </c>
    </row>
    <row r="105" spans="1:11" x14ac:dyDescent="0.2">
      <c r="B105" t="str">
        <f>C51</f>
        <v>15MB</v>
      </c>
      <c r="C105" t="str">
        <f>IF(ISBLANK(D51), "-", D51)</f>
        <v>-</v>
      </c>
      <c r="D105" t="str">
        <f>IF(ISNA(E51), $C$1, TEXT(E51, "0.000"))</f>
        <v>TO</v>
      </c>
      <c r="E105" t="str">
        <f>IF(ISNA(F51), $C$1, TEXT(F51, "0.000"))</f>
        <v>9.303</v>
      </c>
      <c r="F105" t="str">
        <f>IF(ISNA(G51), $C$1, TEXT(G51, "0.000"))</f>
        <v>1.344</v>
      </c>
      <c r="G105" t="str">
        <f>IF(ISNA(H51), $C$1, TEXT(H51, "0.000"))</f>
        <v>1.351</v>
      </c>
      <c r="H105" t="str">
        <f>IF($F105=$C$1, $D$1, IF($J51="DNF", "&gt;" &amp; TEXT($B$1/$F105,"0.00") &amp; "X", TEXT($J51, "0.00") &amp; "X" &amp; IF(M51, "", "*")))</f>
        <v>&gt;446.43X</v>
      </c>
      <c r="I105" t="str">
        <f>IF($F105=$C$1, $D$1, IF($I51="DNF", "&gt;" &amp; TEXT($B$1/$F105,"0.00") &amp; "X", TEXT($I51, "0.00") &amp; "X" &amp; IF(L51, "", "*")))</f>
        <v>6.89X</v>
      </c>
      <c r="J105" t="str">
        <f>IF($F105=$C$1, $D$1, IF($K51="DNF", "&gt;" &amp; TEXT($B$1/$F105,"0.00") &amp; "X", TEXT($K51, "0.00") &amp; "X" &amp; IF(N51, "", "*")))</f>
        <v>1.00X*</v>
      </c>
      <c r="K105" t="str">
        <f>"&amp;" &amp; B105 &amp; "&amp;" &amp; C105 &amp; "&amp;" &amp; D105 &amp; "&amp;" &amp; E105 &amp; "&amp;" &amp; F105 &amp; "&amp;" &amp; H105 &amp; "&amp;" &amp; I105 &amp;  "&amp;" &amp;  J105  &amp; "\\"</f>
        <v>&amp;15MB&amp;-&amp;TO&amp;9.303&amp;1.344&amp;&gt;446.43X&amp;6.89X&amp;1.00X*\\</v>
      </c>
    </row>
    <row r="108" spans="1:11" x14ac:dyDescent="0.2">
      <c r="F108" t="s">
        <v>97</v>
      </c>
      <c r="G108" cm="1">
        <f t="array" ref="G108">MAX(IF((ISNUMBER(VALUE(SUBSTITUTE(I58:I105, "X", "")))) * (LEFT(I58:I105, 1) &lt;&gt; "&gt;"), VALUE(SUBSTITUTE(I58:I105, "X", ""))))</f>
        <v>30.92</v>
      </c>
      <c r="H108" cm="1">
        <f t="array" ref="H108">MAX(IF((ISNUMBER(VALUE(SUBSTITUTE(I58:I105, "X", "")))) * (LEFT(I58:I105, 1) &lt;&gt; "&gt;"), VALUE(SUBSTITUTE(I58:I105, "X", ""))))</f>
        <v>30.92</v>
      </c>
    </row>
    <row r="109" spans="1:11" x14ac:dyDescent="0.2">
      <c r="F109" t="s">
        <v>98</v>
      </c>
      <c r="G109" cm="1">
        <f t="array" ref="G109">MAX(IF(LEFT(I58:I105, 1) = "&gt;", VALUE(SUBSTITUTE(MID(I58:I105, 2, LEN(I58:I105) - 2), "X", "")), ""))</f>
        <v>1255.23</v>
      </c>
      <c r="H109" cm="1">
        <f t="array" ref="H109">MAX(IF(LEFT(I58:I105, 1) = "&gt;", VALUE(SUBSTITUTE(MID(I58:I105, 2, LEN(I58:I105) - 2), "X", "")), ""))</f>
        <v>1255.23</v>
      </c>
    </row>
    <row r="110" spans="1:11" x14ac:dyDescent="0.2">
      <c r="G110" t="s">
        <v>99</v>
      </c>
      <c r="H110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0F50-4E97-E54B-9CC7-6E9F39BE8355}">
  <dimension ref="A2:P72"/>
  <sheetViews>
    <sheetView topLeftCell="A42" workbookViewId="0">
      <selection activeCell="K50" sqref="K50"/>
    </sheetView>
  </sheetViews>
  <sheetFormatPr baseColWidth="10" defaultRowHeight="16" x14ac:dyDescent="0.2"/>
  <cols>
    <col min="1" max="1" width="12.83203125" bestFit="1" customWidth="1"/>
    <col min="2" max="2" width="9.33203125" bestFit="1" customWidth="1"/>
    <col min="3" max="3" width="10.5" bestFit="1" customWidth="1"/>
    <col min="4" max="4" width="8.83203125" bestFit="1" customWidth="1"/>
    <col min="6" max="6" width="5.1640625" bestFit="1" customWidth="1"/>
    <col min="7" max="7" width="9" bestFit="1" customWidth="1"/>
    <col min="9" max="9" width="8" bestFit="1" customWidth="1"/>
    <col min="10" max="10" width="12.1640625" bestFit="1" customWidth="1"/>
    <col min="12" max="12" width="7" bestFit="1" customWidth="1"/>
    <col min="13" max="13" width="9.1640625" bestFit="1" customWidth="1"/>
    <col min="15" max="15" width="12.6640625" bestFit="1" customWidth="1"/>
    <col min="16" max="16" width="25.83203125" bestFit="1" customWidth="1"/>
  </cols>
  <sheetData>
    <row r="2" spans="1:5" x14ac:dyDescent="0.2">
      <c r="A2" t="s">
        <v>0</v>
      </c>
      <c r="B2" t="s">
        <v>1</v>
      </c>
      <c r="C2" t="s">
        <v>4</v>
      </c>
      <c r="D2" t="s">
        <v>3</v>
      </c>
      <c r="E2" t="s">
        <v>5</v>
      </c>
    </row>
    <row r="3" spans="1:5" x14ac:dyDescent="0.2">
      <c r="A3" t="s">
        <v>73</v>
      </c>
      <c r="B3" t="s">
        <v>8</v>
      </c>
      <c r="C3">
        <f>IF(ISNUMBER(SEARCH("~*", 'helper-calculations'!H58)), 1, VALUE(SUBSTITUTE(SUBSTITUTE('helper-calculations'!H58, "X", ""), "&gt;", "")))</f>
        <v>0.24</v>
      </c>
      <c r="D3">
        <f>IF(ISNUMBER(SEARCH("~*", 'helper-calculations'!I58)), 1, VALUE(SUBSTITUTE(SUBSTITUTE('helper-calculations'!I58, "X", ""), "&gt;", "")))</f>
        <v>7.79</v>
      </c>
      <c r="E3">
        <f>IF(ISNUMBER(SEARCH("~*", 'helper-calculations'!J58)), 1, VALUE(SUBSTITUTE(SUBSTITUTE('helper-calculations'!J58, "X", ""), "&gt;", "")))</f>
        <v>1</v>
      </c>
    </row>
    <row r="4" spans="1:5" x14ac:dyDescent="0.2">
      <c r="A4" t="s">
        <v>75</v>
      </c>
      <c r="B4" t="s">
        <v>8</v>
      </c>
      <c r="C4">
        <f>IF(ISNUMBER(SEARCH("~*", 'helper-calculations'!H59)), 1, VALUE(SUBSTITUTE(SUBSTITUTE('helper-calculations'!H59, "X", ""), "&gt;", "")))</f>
        <v>14.74</v>
      </c>
      <c r="D4">
        <f>IF(ISNUMBER(SEARCH("~*", 'helper-calculations'!I59)), 1, VALUE(SUBSTITUTE(SUBSTITUTE('helper-calculations'!I59, "X", ""), "&gt;", "")))</f>
        <v>1.86</v>
      </c>
      <c r="E4">
        <f>IF(ISNUMBER(SEARCH("~*", 'helper-calculations'!J59)), 1, VALUE(SUBSTITUTE(SUBSTITUTE('helper-calculations'!J59, "X", ""), "&gt;", "")))</f>
        <v>1</v>
      </c>
    </row>
    <row r="5" spans="1:5" x14ac:dyDescent="0.2">
      <c r="A5" t="s">
        <v>77</v>
      </c>
      <c r="B5" t="s">
        <v>8</v>
      </c>
      <c r="C5">
        <f>IF(ISNUMBER(SEARCH("~*", 'helper-calculations'!H60)), 1, VALUE(SUBSTITUTE(SUBSTITUTE('helper-calculations'!H60, "X", ""), "&gt;", "")))</f>
        <v>15.01</v>
      </c>
      <c r="D5">
        <f>IF(ISNUMBER(SEARCH("~*", 'helper-calculations'!I60)), 1, VALUE(SUBSTITUTE(SUBSTITUTE('helper-calculations'!I60, "X", ""), "&gt;", "")))</f>
        <v>15.01</v>
      </c>
      <c r="E5">
        <f>IF(ISNUMBER(SEARCH("~*", 'helper-calculations'!J60)), 1, VALUE(SUBSTITUTE(SUBSTITUTE('helper-calculations'!J60, "X", ""), "&gt;", "")))</f>
        <v>1</v>
      </c>
    </row>
    <row r="6" spans="1:5" x14ac:dyDescent="0.2">
      <c r="A6" t="s">
        <v>73</v>
      </c>
      <c r="B6" t="s">
        <v>11</v>
      </c>
      <c r="C6">
        <f>IF(ISNUMBER(SEARCH("~*", 'helper-calculations'!H61)), 1, VALUE(SUBSTITUTE(SUBSTITUTE('helper-calculations'!H61, "X", ""), "&gt;", "")))</f>
        <v>1</v>
      </c>
      <c r="D6">
        <f>IF(ISNUMBER(SEARCH("~*", 'helper-calculations'!I61)), 1, VALUE(SUBSTITUTE(SUBSTITUTE('helper-calculations'!I61, "X", ""), "&gt;", "")))</f>
        <v>3.64</v>
      </c>
      <c r="E6">
        <f>IF(ISNUMBER(SEARCH("~*", 'helper-calculations'!J61)), 1, VALUE(SUBSTITUTE(SUBSTITUTE('helper-calculations'!J61, "X", ""), "&gt;", "")))</f>
        <v>1</v>
      </c>
    </row>
    <row r="7" spans="1:5" x14ac:dyDescent="0.2">
      <c r="A7" t="s">
        <v>75</v>
      </c>
      <c r="B7" t="s">
        <v>11</v>
      </c>
      <c r="C7">
        <f>IF(ISNUMBER(SEARCH("~*", 'helper-calculations'!H62)), 1, VALUE(SUBSTITUTE(SUBSTITUTE('helper-calculations'!H62, "X", ""), "&gt;", "")))</f>
        <v>191.05</v>
      </c>
      <c r="D7">
        <f>IF(ISNUMBER(SEARCH("~*", 'helper-calculations'!I62)), 1, VALUE(SUBSTITUTE(SUBSTITUTE('helper-calculations'!I62, "X", ""), "&gt;", "")))</f>
        <v>4.96</v>
      </c>
      <c r="E7">
        <f>IF(ISNUMBER(SEARCH("~*", 'helper-calculations'!J62)), 1, VALUE(SUBSTITUTE(SUBSTITUTE('helper-calculations'!J62, "X", ""), "&gt;", "")))</f>
        <v>1</v>
      </c>
    </row>
    <row r="8" spans="1:5" x14ac:dyDescent="0.2">
      <c r="A8" t="s">
        <v>77</v>
      </c>
      <c r="B8" t="s">
        <v>11</v>
      </c>
      <c r="C8">
        <f>IF(ISNUMBER(SEARCH("~*", 'helper-calculations'!H63)), 1, VALUE(SUBSTITUTE(SUBSTITUTE('helper-calculations'!H63, "X", ""), "&gt;", "")))</f>
        <v>793.86</v>
      </c>
      <c r="D8">
        <f>IF(ISNUMBER(SEARCH("~*", 'helper-calculations'!I63)), 1, VALUE(SUBSTITUTE(SUBSTITUTE('helper-calculations'!I63, "X", ""), "&gt;", "")))</f>
        <v>5.41</v>
      </c>
      <c r="E8">
        <f>IF(ISNUMBER(SEARCH("~*", 'helper-calculations'!J63)), 1, VALUE(SUBSTITUTE(SUBSTITUTE('helper-calculations'!J63, "X", ""), "&gt;", "")))</f>
        <v>1</v>
      </c>
    </row>
    <row r="9" spans="1:5" x14ac:dyDescent="0.2">
      <c r="A9" t="s">
        <v>73</v>
      </c>
      <c r="B9" t="s">
        <v>14</v>
      </c>
      <c r="C9">
        <f>IF(ISNUMBER(SEARCH("~*", 'helper-calculations'!H64)), 1, VALUE(SUBSTITUTE(SUBSTITUTE('helper-calculations'!H64, "X", ""), "&gt;", "")))</f>
        <v>1</v>
      </c>
      <c r="D9">
        <f>IF(ISNUMBER(SEARCH("~*", 'helper-calculations'!I64)), 1, VALUE(SUBSTITUTE(SUBSTITUTE('helper-calculations'!I64, "X", ""), "&gt;", "")))</f>
        <v>4.2</v>
      </c>
      <c r="E9">
        <f>IF(ISNUMBER(SEARCH("~*", 'helper-calculations'!J64)), 1, VALUE(SUBSTITUTE(SUBSTITUTE('helper-calculations'!J64, "X", ""), "&gt;", "")))</f>
        <v>1</v>
      </c>
    </row>
    <row r="10" spans="1:5" x14ac:dyDescent="0.2">
      <c r="A10" t="s">
        <v>75</v>
      </c>
      <c r="B10" t="s">
        <v>14</v>
      </c>
      <c r="C10">
        <f>IF(ISNUMBER(SEARCH("~*", 'helper-calculations'!H65)), 1, VALUE(SUBSTITUTE(SUBSTITUTE('helper-calculations'!H65, "X", ""), "&gt;", "")))</f>
        <v>440.16</v>
      </c>
      <c r="D10">
        <f>IF(ISNUMBER(SEARCH("~*", 'helper-calculations'!I65)), 1, VALUE(SUBSTITUTE(SUBSTITUTE('helper-calculations'!I65, "X", ""), "&gt;", "")))</f>
        <v>4.0999999999999996</v>
      </c>
      <c r="E10">
        <f>IF(ISNUMBER(SEARCH("~*", 'helper-calculations'!J65)), 1, VALUE(SUBSTITUTE(SUBSTITUTE('helper-calculations'!J65, "X", ""), "&gt;", "")))</f>
        <v>1</v>
      </c>
    </row>
    <row r="11" spans="1:5" x14ac:dyDescent="0.2">
      <c r="A11" t="s">
        <v>77</v>
      </c>
      <c r="B11" t="s">
        <v>14</v>
      </c>
      <c r="C11">
        <f>IF(ISNUMBER(SEARCH("~*", 'helper-calculations'!H66)), 1, VALUE(SUBSTITUTE(SUBSTITUTE('helper-calculations'!H66, "X", ""), "&gt;", "")))</f>
        <v>3448.28</v>
      </c>
      <c r="D11">
        <f>IF(ISNUMBER(SEARCH("~*", 'helper-calculations'!I66)), 1, VALUE(SUBSTITUTE(SUBSTITUTE('helper-calculations'!I66, "X", ""), "&gt;", "")))</f>
        <v>3.72</v>
      </c>
      <c r="E11">
        <f>IF(ISNUMBER(SEARCH("~*", 'helper-calculations'!J66)), 1, VALUE(SUBSTITUTE(SUBSTITUTE('helper-calculations'!J66, "X", ""), "&gt;", "")))</f>
        <v>1</v>
      </c>
    </row>
    <row r="12" spans="1:5" x14ac:dyDescent="0.2">
      <c r="A12" t="s">
        <v>73</v>
      </c>
      <c r="B12" t="s">
        <v>16</v>
      </c>
      <c r="C12">
        <f>IF(ISNUMBER(SEARCH("~*", 'helper-calculations'!H67)), 1, VALUE(SUBSTITUTE(SUBSTITUTE('helper-calculations'!H67, "X", ""), "&gt;", "")))</f>
        <v>0.21</v>
      </c>
      <c r="D12">
        <f>IF(ISNUMBER(SEARCH("~*", 'helper-calculations'!I67)), 1, VALUE(SUBSTITUTE(SUBSTITUTE('helper-calculations'!I67, "X", ""), "&gt;", "")))</f>
        <v>4.3899999999999997</v>
      </c>
      <c r="E12">
        <f>IF(ISNUMBER(SEARCH("~*", 'helper-calculations'!J67)), 1, VALUE(SUBSTITUTE(SUBSTITUTE('helper-calculations'!J67, "X", ""), "&gt;", "")))</f>
        <v>1</v>
      </c>
    </row>
    <row r="13" spans="1:5" x14ac:dyDescent="0.2">
      <c r="A13" t="s">
        <v>75</v>
      </c>
      <c r="B13" t="s">
        <v>16</v>
      </c>
      <c r="C13">
        <f>IF(ISNUMBER(SEARCH("~*", 'helper-calculations'!H68)), 1, VALUE(SUBSTITUTE(SUBSTITUTE('helper-calculations'!H68, "X", ""), "&gt;", "")))</f>
        <v>1518.09</v>
      </c>
      <c r="D13">
        <f>IF(ISNUMBER(SEARCH("~*", 'helper-calculations'!I68)), 1, VALUE(SUBSTITUTE(SUBSTITUTE('helper-calculations'!I68, "X", ""), "&gt;", "")))</f>
        <v>6.3</v>
      </c>
      <c r="E13">
        <f>IF(ISNUMBER(SEARCH("~*", 'helper-calculations'!J68)), 1, VALUE(SUBSTITUTE(SUBSTITUTE('helper-calculations'!J68, "X", ""), "&gt;", "")))</f>
        <v>1</v>
      </c>
    </row>
    <row r="14" spans="1:5" x14ac:dyDescent="0.2">
      <c r="A14" t="s">
        <v>77</v>
      </c>
      <c r="B14" t="s">
        <v>16</v>
      </c>
      <c r="C14">
        <f>IF(ISNUMBER(SEARCH("~*", 'helper-calculations'!H69)), 1, VALUE(SUBSTITUTE(SUBSTITUTE('helper-calculations'!H69, "X", ""), "&gt;", "")))</f>
        <v>293.54000000000002</v>
      </c>
      <c r="D14">
        <f>IF(ISNUMBER(SEARCH("~*", 'helper-calculations'!I69)), 1, VALUE(SUBSTITUTE(SUBSTITUTE('helper-calculations'!I69, "X", ""), "&gt;", "")))</f>
        <v>6.81</v>
      </c>
      <c r="E14">
        <f>IF(ISNUMBER(SEARCH("~*", 'helper-calculations'!J69)), 1, VALUE(SUBSTITUTE(SUBSTITUTE('helper-calculations'!J69, "X", ""), "&gt;", "")))</f>
        <v>1</v>
      </c>
    </row>
    <row r="15" spans="1:5" x14ac:dyDescent="0.2">
      <c r="A15" t="s">
        <v>73</v>
      </c>
      <c r="B15" t="s">
        <v>18</v>
      </c>
      <c r="C15">
        <f>IF(ISNUMBER(SEARCH("~*", 'helper-calculations'!H70)), 1, VALUE(SUBSTITUTE(SUBSTITUTE('helper-calculations'!H70, "X", ""), "&gt;", "")))</f>
        <v>0.21</v>
      </c>
      <c r="D15">
        <f>IF(ISNUMBER(SEARCH("~*", 'helper-calculations'!I70)), 1, VALUE(SUBSTITUTE(SUBSTITUTE('helper-calculations'!I70, "X", ""), "&gt;", "")))</f>
        <v>13.12</v>
      </c>
      <c r="E15">
        <f>IF(ISNUMBER(SEARCH("~*", 'helper-calculations'!J70)), 1, VALUE(SUBSTITUTE(SUBSTITUTE('helper-calculations'!J70, "X", ""), "&gt;", "")))</f>
        <v>1</v>
      </c>
    </row>
    <row r="16" spans="1:5" x14ac:dyDescent="0.2">
      <c r="A16" t="s">
        <v>75</v>
      </c>
      <c r="B16" t="s">
        <v>18</v>
      </c>
      <c r="C16">
        <f>IF(ISNUMBER(SEARCH("~*", 'helper-calculations'!H71)), 1, VALUE(SUBSTITUTE(SUBSTITUTE('helper-calculations'!H71, "X", ""), "&gt;", "")))</f>
        <v>25000</v>
      </c>
      <c r="D16">
        <f>IF(ISNUMBER(SEARCH("~*", 'helper-calculations'!I71)), 1, VALUE(SUBSTITUTE(SUBSTITUTE('helper-calculations'!I71, "X", ""), "&gt;", "")))</f>
        <v>3.91</v>
      </c>
      <c r="E16">
        <f>IF(ISNUMBER(SEARCH("~*", 'helper-calculations'!J71)), 1, VALUE(SUBSTITUTE(SUBSTITUTE('helper-calculations'!J71, "X", ""), "&gt;", "")))</f>
        <v>1</v>
      </c>
    </row>
    <row r="17" spans="1:5" x14ac:dyDescent="0.2">
      <c r="A17" t="s">
        <v>77</v>
      </c>
      <c r="B17" t="s">
        <v>18</v>
      </c>
      <c r="C17">
        <f>IF(ISNUMBER(SEARCH("~*", 'helper-calculations'!H72)), 1, VALUE(SUBSTITUTE(SUBSTITUTE('helper-calculations'!H72, "X", ""), "&gt;", "")))</f>
        <v>24000</v>
      </c>
      <c r="D17">
        <f>IF(ISNUMBER(SEARCH("~*", 'helper-calculations'!I72)), 1, VALUE(SUBSTITUTE(SUBSTITUTE('helper-calculations'!I72, "X", ""), "&gt;", "")))</f>
        <v>3.16</v>
      </c>
      <c r="E17">
        <f>IF(ISNUMBER(SEARCH("~*", 'helper-calculations'!J72)), 1, VALUE(SUBSTITUTE(SUBSTITUTE('helper-calculations'!J72, "X", ""), "&gt;", "")))</f>
        <v>1</v>
      </c>
    </row>
    <row r="18" spans="1:5" x14ac:dyDescent="0.2">
      <c r="A18" t="s">
        <v>73</v>
      </c>
      <c r="B18" t="s">
        <v>20</v>
      </c>
      <c r="C18">
        <f>IF(ISNUMBER(SEARCH("~*", 'helper-calculations'!H73)), 1, VALUE(SUBSTITUTE(SUBSTITUTE('helper-calculations'!H73, "X", ""), "&gt;", "")))</f>
        <v>1</v>
      </c>
      <c r="D18">
        <f>IF(ISNUMBER(SEARCH("~*", 'helper-calculations'!I73)), 1, VALUE(SUBSTITUTE(SUBSTITUTE('helper-calculations'!I73, "X", ""), "&gt;", "")))</f>
        <v>6.32</v>
      </c>
      <c r="E18">
        <f>IF(ISNUMBER(SEARCH("~*", 'helper-calculations'!J73)), 1, VALUE(SUBSTITUTE(SUBSTITUTE('helper-calculations'!J73, "X", ""), "&gt;", "")))</f>
        <v>1</v>
      </c>
    </row>
    <row r="19" spans="1:5" x14ac:dyDescent="0.2">
      <c r="A19" t="s">
        <v>75</v>
      </c>
      <c r="B19" t="s">
        <v>20</v>
      </c>
      <c r="C19">
        <f>IF(ISNUMBER(SEARCH("~*", 'helper-calculations'!H74)), 1, VALUE(SUBSTITUTE(SUBSTITUTE('helper-calculations'!H74, "X", ""), "&gt;", "")))</f>
        <v>50.66</v>
      </c>
      <c r="D19">
        <f>IF(ISNUMBER(SEARCH("~*", 'helper-calculations'!I74)), 1, VALUE(SUBSTITUTE(SUBSTITUTE('helper-calculations'!I74, "X", ""), "&gt;", "")))</f>
        <v>2.63</v>
      </c>
      <c r="E19">
        <f>IF(ISNUMBER(SEARCH("~*", 'helper-calculations'!J74)), 1, VALUE(SUBSTITUTE(SUBSTITUTE('helper-calculations'!J74, "X", ""), "&gt;", "")))</f>
        <v>1</v>
      </c>
    </row>
    <row r="20" spans="1:5" x14ac:dyDescent="0.2">
      <c r="A20" t="s">
        <v>77</v>
      </c>
      <c r="B20" t="s">
        <v>20</v>
      </c>
      <c r="C20">
        <f>IF(ISNUMBER(SEARCH("~*", 'helper-calculations'!H75)), 1, VALUE(SUBSTITUTE(SUBSTITUTE('helper-calculations'!H75, "X", ""), "&gt;", "")))</f>
        <v>48.81</v>
      </c>
      <c r="D20">
        <f>IF(ISNUMBER(SEARCH("~*", 'helper-calculations'!I75)), 1, VALUE(SUBSTITUTE(SUBSTITUTE('helper-calculations'!I75, "X", ""), "&gt;", "")))</f>
        <v>1</v>
      </c>
      <c r="E20">
        <f>IF(ISNUMBER(SEARCH("~*", 'helper-calculations'!J75)), 1, VALUE(SUBSTITUTE(SUBSTITUTE('helper-calculations'!J75, "X", ""), "&gt;", "")))</f>
        <v>1</v>
      </c>
    </row>
    <row r="21" spans="1:5" x14ac:dyDescent="0.2">
      <c r="A21" t="s">
        <v>73</v>
      </c>
      <c r="B21" t="s">
        <v>22</v>
      </c>
      <c r="C21">
        <f>IF(ISNUMBER(SEARCH("~*", 'helper-calculations'!H76)), 1, VALUE(SUBSTITUTE(SUBSTITUTE('helper-calculations'!H76, "X", ""), "&gt;", "")))</f>
        <v>0.12</v>
      </c>
      <c r="D21">
        <f>IF(ISNUMBER(SEARCH("~*", 'helper-calculations'!I76)), 1, VALUE(SUBSTITUTE(SUBSTITUTE('helper-calculations'!I76, "X", ""), "&gt;", "")))</f>
        <v>7.42</v>
      </c>
      <c r="E21">
        <f>IF(ISNUMBER(SEARCH("~*", 'helper-calculations'!J76)), 1, VALUE(SUBSTITUTE(SUBSTITUTE('helper-calculations'!J76, "X", ""), "&gt;", "")))</f>
        <v>1</v>
      </c>
    </row>
    <row r="22" spans="1:5" x14ac:dyDescent="0.2">
      <c r="A22" t="s">
        <v>75</v>
      </c>
      <c r="B22" t="s">
        <v>22</v>
      </c>
      <c r="C22">
        <f>IF(ISNUMBER(SEARCH("~*", 'helper-calculations'!H77)), 1, VALUE(SUBSTITUTE(SUBSTITUTE('helper-calculations'!H77, "X", ""), "&gt;", "")))</f>
        <v>540.54</v>
      </c>
      <c r="D22">
        <f>IF(ISNUMBER(SEARCH("~*", 'helper-calculations'!I77)), 1, VALUE(SUBSTITUTE(SUBSTITUTE('helper-calculations'!I77, "X", ""), "&gt;", "")))</f>
        <v>5.4</v>
      </c>
      <c r="E22">
        <f>IF(ISNUMBER(SEARCH("~*", 'helper-calculations'!J77)), 1, VALUE(SUBSTITUTE(SUBSTITUTE('helper-calculations'!J77, "X", ""), "&gt;", "")))</f>
        <v>1</v>
      </c>
    </row>
    <row r="23" spans="1:5" x14ac:dyDescent="0.2">
      <c r="A23" t="s">
        <v>77</v>
      </c>
      <c r="B23" t="s">
        <v>22</v>
      </c>
      <c r="C23">
        <f>IF(ISNUMBER(SEARCH("~*", 'helper-calculations'!H78)), 1, VALUE(SUBSTITUTE(SUBSTITUTE('helper-calculations'!H78, "X", ""), "&gt;", "")))</f>
        <v>20.99</v>
      </c>
      <c r="D23">
        <f>IF(ISNUMBER(SEARCH("~*", 'helper-calculations'!I78)), 1, VALUE(SUBSTITUTE(SUBSTITUTE('helper-calculations'!I78, "X", ""), "&gt;", "")))</f>
        <v>9.82</v>
      </c>
      <c r="E23">
        <f>IF(ISNUMBER(SEARCH("~*", 'helper-calculations'!J78)), 1, VALUE(SUBSTITUTE(SUBSTITUTE('helper-calculations'!J78, "X", ""), "&gt;", "")))</f>
        <v>1</v>
      </c>
    </row>
    <row r="24" spans="1:5" x14ac:dyDescent="0.2">
      <c r="A24" t="s">
        <v>73</v>
      </c>
      <c r="B24" t="s">
        <v>58</v>
      </c>
      <c r="C24">
        <f>IF(ISNUMBER(SEARCH("~*", 'helper-calculations'!H79)), 1, VALUE(SUBSTITUTE(SUBSTITUTE('helper-calculations'!H79, "X", ""), "&gt;", "")))</f>
        <v>1</v>
      </c>
      <c r="D24">
        <f>IF(ISNUMBER(SEARCH("~*", 'helper-calculations'!I79)), 1, VALUE(SUBSTITUTE(SUBSTITUTE('helper-calculations'!I79, "X", ""), "&gt;", "")))</f>
        <v>9.76</v>
      </c>
      <c r="E24">
        <f>IF(ISNUMBER(SEARCH("~*", 'helper-calculations'!J79)), 1, VALUE(SUBSTITUTE(SUBSTITUTE('helper-calculations'!J79, "X", ""), "&gt;", "")))</f>
        <v>1</v>
      </c>
    </row>
    <row r="25" spans="1:5" x14ac:dyDescent="0.2">
      <c r="A25" t="s">
        <v>75</v>
      </c>
      <c r="B25" t="s">
        <v>58</v>
      </c>
      <c r="C25">
        <f>IF(ISNUMBER(SEARCH("~*", 'helper-calculations'!H80)), 1, VALUE(SUBSTITUTE(SUBSTITUTE('helper-calculations'!H80, "X", ""), "&gt;", "")))</f>
        <v>2238.17</v>
      </c>
      <c r="D25">
        <f>IF(ISNUMBER(SEARCH("~*", 'helper-calculations'!I80)), 1, VALUE(SUBSTITUTE(SUBSTITUTE('helper-calculations'!I80, "X", ""), "&gt;", "")))</f>
        <v>7.83</v>
      </c>
      <c r="E25">
        <f>IF(ISNUMBER(SEARCH("~*", 'helper-calculations'!J80)), 1, VALUE(SUBSTITUTE(SUBSTITUTE('helper-calculations'!J80, "X", ""), "&gt;", "")))</f>
        <v>1</v>
      </c>
    </row>
    <row r="26" spans="1:5" x14ac:dyDescent="0.2">
      <c r="A26" t="s">
        <v>77</v>
      </c>
      <c r="B26" t="s">
        <v>58</v>
      </c>
      <c r="C26">
        <f>IF(ISNUMBER(SEARCH("~*", 'helper-calculations'!H81)), 1, VALUE(SUBSTITUTE(SUBSTITUTE('helper-calculations'!H81, "X", ""), "&gt;", "")))</f>
        <v>20534.080000000002</v>
      </c>
      <c r="D26">
        <f>IF(ISNUMBER(SEARCH("~*", 'helper-calculations'!I81)), 1, VALUE(SUBSTITUTE(SUBSTITUTE('helper-calculations'!I81, "X", ""), "&gt;", "")))</f>
        <v>11.74</v>
      </c>
      <c r="E26">
        <f>IF(ISNUMBER(SEARCH("~*", 'helper-calculations'!J81)), 1, VALUE(SUBSTITUTE(SUBSTITUTE('helper-calculations'!J81, "X", ""), "&gt;", "")))</f>
        <v>1</v>
      </c>
    </row>
    <row r="27" spans="1:5" x14ac:dyDescent="0.2">
      <c r="A27" t="s">
        <v>73</v>
      </c>
      <c r="B27" t="s">
        <v>25</v>
      </c>
      <c r="C27">
        <f>IF(ISNUMBER(SEARCH("~*", 'helper-calculations'!H82)), 1, VALUE(SUBSTITUTE(SUBSTITUTE('helper-calculations'!H82, "X", ""), "&gt;", "")))</f>
        <v>1</v>
      </c>
      <c r="D27">
        <f>IF(ISNUMBER(SEARCH("~*", 'helper-calculations'!I82)), 1, VALUE(SUBSTITUTE(SUBSTITUTE('helper-calculations'!I82, "X", ""), "&gt;", "")))</f>
        <v>30.92</v>
      </c>
      <c r="E27">
        <f>IF(ISNUMBER(SEARCH("~*", 'helper-calculations'!J82)), 1, VALUE(SUBSTITUTE(SUBSTITUTE('helper-calculations'!J82, "X", ""), "&gt;", "")))</f>
        <v>1</v>
      </c>
    </row>
    <row r="28" spans="1:5" x14ac:dyDescent="0.2">
      <c r="A28" t="s">
        <v>75</v>
      </c>
      <c r="B28" t="s">
        <v>25</v>
      </c>
      <c r="C28">
        <f>IF(ISNUMBER(SEARCH("~*", 'helper-calculations'!H83)), 1, VALUE(SUBSTITUTE(SUBSTITUTE('helper-calculations'!H83, "X", ""), "&gt;", "")))</f>
        <v>3.28</v>
      </c>
      <c r="D28">
        <f>IF(ISNUMBER(SEARCH("~*", 'helper-calculations'!I83)), 1, VALUE(SUBSTITUTE(SUBSTITUTE('helper-calculations'!I83, "X", ""), "&gt;", "")))</f>
        <v>3.28</v>
      </c>
      <c r="E28">
        <f>IF(ISNUMBER(SEARCH("~*", 'helper-calculations'!J83)), 1, VALUE(SUBSTITUTE(SUBSTITUTE('helper-calculations'!J83, "X", ""), "&gt;", "")))</f>
        <v>1</v>
      </c>
    </row>
    <row r="29" spans="1:5" x14ac:dyDescent="0.2">
      <c r="A29" t="s">
        <v>77</v>
      </c>
      <c r="B29" t="s">
        <v>25</v>
      </c>
      <c r="C29">
        <f>IF(ISNUMBER(SEARCH("~*", 'helper-calculations'!H84)), 1, VALUE(SUBSTITUTE(SUBSTITUTE('helper-calculations'!H84, "X", ""), "&gt;", "")))</f>
        <v>1.34</v>
      </c>
      <c r="D29">
        <f>IF(ISNUMBER(SEARCH("~*", 'helper-calculations'!I84)), 1, VALUE(SUBSTITUTE(SUBSTITUTE('helper-calculations'!I84, "X", ""), "&gt;", "")))</f>
        <v>1.34</v>
      </c>
      <c r="E29">
        <f>IF(ISNUMBER(SEARCH("~*", 'helper-calculations'!J84)), 1, VALUE(SUBSTITUTE(SUBSTITUTE('helper-calculations'!J84, "X", ""), "&gt;", "")))</f>
        <v>1</v>
      </c>
    </row>
    <row r="30" spans="1:5" x14ac:dyDescent="0.2">
      <c r="A30" t="s">
        <v>73</v>
      </c>
      <c r="B30" t="s">
        <v>27</v>
      </c>
      <c r="C30">
        <f>IF(ISNUMBER(SEARCH("~*", 'helper-calculations'!H85)), 1, VALUE(SUBSTITUTE(SUBSTITUTE('helper-calculations'!H85, "X", ""), "&gt;", "")))</f>
        <v>0.17</v>
      </c>
      <c r="D30">
        <f>IF(ISNUMBER(SEARCH("~*", 'helper-calculations'!I85)), 1, VALUE(SUBSTITUTE(SUBSTITUTE('helper-calculations'!I85, "X", ""), "&gt;", "")))</f>
        <v>5.6</v>
      </c>
      <c r="E30">
        <f>IF(ISNUMBER(SEARCH("~*", 'helper-calculations'!J85)), 1, VALUE(SUBSTITUTE(SUBSTITUTE('helper-calculations'!J85, "X", ""), "&gt;", "")))</f>
        <v>1</v>
      </c>
    </row>
    <row r="31" spans="1:5" x14ac:dyDescent="0.2">
      <c r="A31" t="s">
        <v>75</v>
      </c>
      <c r="B31" t="s">
        <v>27</v>
      </c>
      <c r="C31">
        <f>IF(ISNUMBER(SEARCH("~*", 'helper-calculations'!H86)), 1, VALUE(SUBSTITUTE(SUBSTITUTE('helper-calculations'!H86, "X", ""), "&gt;", "")))</f>
        <v>10909.09</v>
      </c>
      <c r="D31">
        <f>IF(ISNUMBER(SEARCH("~*", 'helper-calculations'!I86)), 1, VALUE(SUBSTITUTE(SUBSTITUTE('helper-calculations'!I86, "X", ""), "&gt;", "")))</f>
        <v>15.62</v>
      </c>
      <c r="E31">
        <f>IF(ISNUMBER(SEARCH("~*", 'helper-calculations'!J86)), 1, VALUE(SUBSTITUTE(SUBSTITUTE('helper-calculations'!J86, "X", ""), "&gt;", "")))</f>
        <v>1</v>
      </c>
    </row>
    <row r="32" spans="1:5" x14ac:dyDescent="0.2">
      <c r="A32" t="s">
        <v>77</v>
      </c>
      <c r="B32" t="s">
        <v>27</v>
      </c>
      <c r="C32">
        <f>IF(ISNUMBER(SEARCH("~*", 'helper-calculations'!H87)), 1, VALUE(SUBSTITUTE(SUBSTITUTE('helper-calculations'!H87, "X", ""), "&gt;", "")))</f>
        <v>1255.23</v>
      </c>
      <c r="D32">
        <f>IF(ISNUMBER(SEARCH("~*", 'helper-calculations'!I87)), 1, VALUE(SUBSTITUTE(SUBSTITUTE('helper-calculations'!I87, "X", ""), "&gt;", "")))</f>
        <v>1255.23</v>
      </c>
      <c r="E32">
        <f>IF(ISNUMBER(SEARCH("~*", 'helper-calculations'!J87)), 1, VALUE(SUBSTITUTE(SUBSTITUTE('helper-calculations'!J87, "X", ""), "&gt;", "")))</f>
        <v>1</v>
      </c>
    </row>
    <row r="33" spans="1:5" x14ac:dyDescent="0.2">
      <c r="A33" t="s">
        <v>73</v>
      </c>
      <c r="B33" t="s">
        <v>29</v>
      </c>
      <c r="C33">
        <f>IF(ISNUMBER(SEARCH("~*", 'helper-calculations'!H88)), 1, VALUE(SUBSTITUTE(SUBSTITUTE('helper-calculations'!H88, "X", ""), "&gt;", "")))</f>
        <v>1</v>
      </c>
      <c r="D33">
        <f>IF(ISNUMBER(SEARCH("~*", 'helper-calculations'!I88)), 1, VALUE(SUBSTITUTE(SUBSTITUTE('helper-calculations'!I88, "X", ""), "&gt;", "")))</f>
        <v>6.38</v>
      </c>
      <c r="E33">
        <f>IF(ISNUMBER(SEARCH("~*", 'helper-calculations'!J88)), 1, VALUE(SUBSTITUTE(SUBSTITUTE('helper-calculations'!J88, "X", ""), "&gt;", "")))</f>
        <v>1</v>
      </c>
    </row>
    <row r="34" spans="1:5" x14ac:dyDescent="0.2">
      <c r="A34" t="s">
        <v>75</v>
      </c>
      <c r="B34" t="s">
        <v>29</v>
      </c>
      <c r="C34">
        <f>IF(ISNUMBER(SEARCH("~*", 'helper-calculations'!H89)), 1, VALUE(SUBSTITUTE(SUBSTITUTE('helper-calculations'!H89, "X", ""), "&gt;", "")))</f>
        <v>8955.2199999999993</v>
      </c>
      <c r="D34">
        <f>IF(ISNUMBER(SEARCH("~*", 'helper-calculations'!I89)), 1, VALUE(SUBSTITUTE(SUBSTITUTE('helper-calculations'!I89, "X", ""), "&gt;", "")))</f>
        <v>5.68</v>
      </c>
      <c r="E34">
        <f>IF(ISNUMBER(SEARCH("~*", 'helper-calculations'!J89)), 1, VALUE(SUBSTITUTE(SUBSTITUTE('helper-calculations'!J89, "X", ""), "&gt;", "")))</f>
        <v>1</v>
      </c>
    </row>
    <row r="35" spans="1:5" x14ac:dyDescent="0.2">
      <c r="A35" t="s">
        <v>77</v>
      </c>
      <c r="B35" t="s">
        <v>29</v>
      </c>
      <c r="C35">
        <f>IF(ISNUMBER(SEARCH("~*", 'helper-calculations'!H90)), 1, VALUE(SUBSTITUTE(SUBSTITUTE('helper-calculations'!H90, "X", ""), "&gt;", "")))</f>
        <v>849.86</v>
      </c>
      <c r="D35">
        <f>IF(ISNUMBER(SEARCH("~*", 'helper-calculations'!I90)), 1, VALUE(SUBSTITUTE(SUBSTITUTE('helper-calculations'!I90, "X", ""), "&gt;", "")))</f>
        <v>1</v>
      </c>
      <c r="E35">
        <f>IF(ISNUMBER(SEARCH("~*", 'helper-calculations'!J90)), 1, VALUE(SUBSTITUTE(SUBSTITUTE('helper-calculations'!J90, "X", ""), "&gt;", "")))</f>
        <v>1</v>
      </c>
    </row>
    <row r="36" spans="1:5" x14ac:dyDescent="0.2">
      <c r="A36" t="s">
        <v>73</v>
      </c>
      <c r="B36" t="s">
        <v>31</v>
      </c>
      <c r="C36">
        <f>IF(ISNUMBER(SEARCH("~*", 'helper-calculations'!H91)), 1, VALUE(SUBSTITUTE(SUBSTITUTE('helper-calculations'!H91, "X", ""), "&gt;", "")))</f>
        <v>1</v>
      </c>
      <c r="D36">
        <f>IF(ISNUMBER(SEARCH("~*", 'helper-calculations'!I91)), 1, VALUE(SUBSTITUTE(SUBSTITUTE('helper-calculations'!I91, "X", ""), "&gt;", "")))</f>
        <v>12.4</v>
      </c>
      <c r="E36">
        <f>IF(ISNUMBER(SEARCH("~*", 'helper-calculations'!J91)), 1, VALUE(SUBSTITUTE(SUBSTITUTE('helper-calculations'!J91, "X", ""), "&gt;", "")))</f>
        <v>1</v>
      </c>
    </row>
    <row r="37" spans="1:5" x14ac:dyDescent="0.2">
      <c r="A37" t="s">
        <v>75</v>
      </c>
      <c r="B37" t="s">
        <v>31</v>
      </c>
      <c r="C37">
        <f>IF(ISNUMBER(SEARCH("~*", 'helper-calculations'!H92)), 1, VALUE(SUBSTITUTE(SUBSTITUTE('helper-calculations'!H92, "X", ""), "&gt;", "")))</f>
        <v>6593.41</v>
      </c>
      <c r="D37">
        <f>IF(ISNUMBER(SEARCH("~*", 'helper-calculations'!I92)), 1, VALUE(SUBSTITUTE(SUBSTITUTE('helper-calculations'!I92, "X", ""), "&gt;", "")))</f>
        <v>7.45</v>
      </c>
      <c r="E37">
        <f>IF(ISNUMBER(SEARCH("~*", 'helper-calculations'!J92)), 1, VALUE(SUBSTITUTE(SUBSTITUTE('helper-calculations'!J92, "X", ""), "&gt;", "")))</f>
        <v>1</v>
      </c>
    </row>
    <row r="38" spans="1:5" x14ac:dyDescent="0.2">
      <c r="A38" t="s">
        <v>77</v>
      </c>
      <c r="B38" t="s">
        <v>31</v>
      </c>
      <c r="C38">
        <f>IF(ISNUMBER(SEARCH("~*", 'helper-calculations'!H93)), 1, VALUE(SUBSTITUTE(SUBSTITUTE('helper-calculations'!H93, "X", ""), "&gt;", "")))</f>
        <v>687.29</v>
      </c>
      <c r="D38">
        <f>IF(ISNUMBER(SEARCH("~*", 'helper-calculations'!I93)), 1, VALUE(SUBSTITUTE(SUBSTITUTE('helper-calculations'!I93, "X", ""), "&gt;", "")))</f>
        <v>3.89</v>
      </c>
      <c r="E38">
        <f>IF(ISNUMBER(SEARCH("~*", 'helper-calculations'!J93)), 1, VALUE(SUBSTITUTE(SUBSTITUTE('helper-calculations'!J93, "X", ""), "&gt;", "")))</f>
        <v>1</v>
      </c>
    </row>
    <row r="39" spans="1:5" x14ac:dyDescent="0.2">
      <c r="A39" t="s">
        <v>73</v>
      </c>
      <c r="B39" t="s">
        <v>33</v>
      </c>
      <c r="C39">
        <f>IF(ISNUMBER(SEARCH("~*", 'helper-calculations'!H94)), 1, VALUE(SUBSTITUTE(SUBSTITUTE('helper-calculations'!H94, "X", ""), "&gt;", "")))</f>
        <v>0.15</v>
      </c>
      <c r="D39">
        <f>IF(ISNUMBER(SEARCH("~*", 'helper-calculations'!I94)), 1, VALUE(SUBSTITUTE(SUBSTITUTE('helper-calculations'!I94, "X", ""), "&gt;", "")))</f>
        <v>5.47</v>
      </c>
      <c r="E39">
        <f>IF(ISNUMBER(SEARCH("~*", 'helper-calculations'!J94)), 1, VALUE(SUBSTITUTE(SUBSTITUTE('helper-calculations'!J94, "X", ""), "&gt;", "")))</f>
        <v>1</v>
      </c>
    </row>
    <row r="40" spans="1:5" x14ac:dyDescent="0.2">
      <c r="A40" t="s">
        <v>75</v>
      </c>
      <c r="B40" t="s">
        <v>33</v>
      </c>
      <c r="C40">
        <f>IF(ISNUMBER(SEARCH("~*", 'helper-calculations'!H95)), 1, VALUE(SUBSTITUTE(SUBSTITUTE('helper-calculations'!H95, "X", ""), "&gt;", "")))</f>
        <v>11111.11</v>
      </c>
      <c r="D40">
        <f>IF(ISNUMBER(SEARCH("~*", 'helper-calculations'!I95)), 1, VALUE(SUBSTITUTE(SUBSTITUTE('helper-calculations'!I95, "X", ""), "&gt;", "")))</f>
        <v>16.57</v>
      </c>
      <c r="E40">
        <f>IF(ISNUMBER(SEARCH("~*", 'helper-calculations'!J95)), 1, VALUE(SUBSTITUTE(SUBSTITUTE('helper-calculations'!J95, "X", ""), "&gt;", "")))</f>
        <v>1</v>
      </c>
    </row>
    <row r="41" spans="1:5" x14ac:dyDescent="0.2">
      <c r="A41" t="s">
        <v>77</v>
      </c>
      <c r="B41" t="s">
        <v>33</v>
      </c>
      <c r="C41">
        <f>IF(ISNUMBER(SEARCH("~*", 'helper-calculations'!H96)), 1, VALUE(SUBSTITUTE(SUBSTITUTE('helper-calculations'!H96, "X", ""), "&gt;", "")))</f>
        <v>274.22000000000003</v>
      </c>
      <c r="D41">
        <f>IF(ISNUMBER(SEARCH("~*", 'helper-calculations'!I96)), 1, VALUE(SUBSTITUTE(SUBSTITUTE('helper-calculations'!I96, "X", ""), "&gt;", "")))</f>
        <v>274.22000000000003</v>
      </c>
      <c r="E41">
        <f>IF(ISNUMBER(SEARCH("~*", 'helper-calculations'!J96)), 1, VALUE(SUBSTITUTE(SUBSTITUTE('helper-calculations'!J96, "X", ""), "&gt;", "")))</f>
        <v>1</v>
      </c>
    </row>
    <row r="42" spans="1:5" x14ac:dyDescent="0.2">
      <c r="A42" t="s">
        <v>73</v>
      </c>
      <c r="B42" t="s">
        <v>35</v>
      </c>
      <c r="C42">
        <f>IF(ISNUMBER(SEARCH("~*", 'helper-calculations'!H97)), 1, VALUE(SUBSTITUTE(SUBSTITUTE('helper-calculations'!H97, "X", ""), "&gt;", "")))</f>
        <v>1</v>
      </c>
      <c r="D42">
        <f>IF(ISNUMBER(SEARCH("~*", 'helper-calculations'!I97)), 1, VALUE(SUBSTITUTE(SUBSTITUTE('helper-calculations'!I97, "X", ""), "&gt;", "")))</f>
        <v>7.55</v>
      </c>
      <c r="E42">
        <f>IF(ISNUMBER(SEARCH("~*", 'helper-calculations'!J97)), 1, VALUE(SUBSTITUTE(SUBSTITUTE('helper-calculations'!J97, "X", ""), "&gt;", "")))</f>
        <v>1</v>
      </c>
    </row>
    <row r="43" spans="1:5" x14ac:dyDescent="0.2">
      <c r="A43" t="s">
        <v>75</v>
      </c>
      <c r="B43" t="s">
        <v>35</v>
      </c>
      <c r="C43">
        <f>IF(ISNUMBER(SEARCH("~*", 'helper-calculations'!H98)), 1, VALUE(SUBSTITUTE(SUBSTITUTE('helper-calculations'!H98, "X", ""), "&gt;", "")))</f>
        <v>18.670000000000002</v>
      </c>
      <c r="D43">
        <f>IF(ISNUMBER(SEARCH("~*", 'helper-calculations'!I98)), 1, VALUE(SUBSTITUTE(SUBSTITUTE('helper-calculations'!I98, "X", ""), "&gt;", "")))</f>
        <v>5.88</v>
      </c>
      <c r="E43">
        <f>IF(ISNUMBER(SEARCH("~*", 'helper-calculations'!J98)), 1, VALUE(SUBSTITUTE(SUBSTITUTE('helper-calculations'!J98, "X", ""), "&gt;", "")))</f>
        <v>1</v>
      </c>
    </row>
    <row r="44" spans="1:5" x14ac:dyDescent="0.2">
      <c r="A44" t="s">
        <v>77</v>
      </c>
      <c r="B44" t="s">
        <v>35</v>
      </c>
      <c r="C44">
        <f>IF(ISNUMBER(SEARCH("~*", 'helper-calculations'!H99)), 1, VALUE(SUBSTITUTE(SUBSTITUTE('helper-calculations'!H99, "X", ""), "&gt;", "")))</f>
        <v>931.47</v>
      </c>
      <c r="D44">
        <f>IF(ISNUMBER(SEARCH("~*", 'helper-calculations'!I99)), 1, VALUE(SUBSTITUTE(SUBSTITUTE('helper-calculations'!I99, "X", ""), "&gt;", "")))</f>
        <v>10.32</v>
      </c>
      <c r="E44">
        <f>IF(ISNUMBER(SEARCH("~*", 'helper-calculations'!J99)), 1, VALUE(SUBSTITUTE(SUBSTITUTE('helper-calculations'!J99, "X", ""), "&gt;", "")))</f>
        <v>1</v>
      </c>
    </row>
    <row r="45" spans="1:5" x14ac:dyDescent="0.2">
      <c r="A45" t="s">
        <v>73</v>
      </c>
      <c r="B45" t="s">
        <v>37</v>
      </c>
      <c r="C45">
        <f>IF(ISNUMBER(SEARCH("~*", 'helper-calculations'!H100)), 1, VALUE(SUBSTITUTE(SUBSTITUTE('helper-calculations'!H100, "X", ""), "&gt;", "")))</f>
        <v>1</v>
      </c>
      <c r="D45">
        <f>IF(ISNUMBER(SEARCH("~*", 'helper-calculations'!I100)), 1, VALUE(SUBSTITUTE(SUBSTITUTE('helper-calculations'!I100, "X", ""), "&gt;", "")))</f>
        <v>7.13</v>
      </c>
      <c r="E45">
        <f>IF(ISNUMBER(SEARCH("~*", 'helper-calculations'!J100)), 1, VALUE(SUBSTITUTE(SUBSTITUTE('helper-calculations'!J100, "X", ""), "&gt;", "")))</f>
        <v>1</v>
      </c>
    </row>
    <row r="46" spans="1:5" x14ac:dyDescent="0.2">
      <c r="A46" t="s">
        <v>75</v>
      </c>
      <c r="B46" t="s">
        <v>37</v>
      </c>
      <c r="C46">
        <f>IF(ISNUMBER(SEARCH("~*", 'helper-calculations'!H101)), 1, VALUE(SUBSTITUTE(SUBSTITUTE('helper-calculations'!H101, "X", ""), "&gt;", "")))</f>
        <v>19.7</v>
      </c>
      <c r="D46">
        <f>IF(ISNUMBER(SEARCH("~*", 'helper-calculations'!I101)), 1, VALUE(SUBSTITUTE(SUBSTITUTE('helper-calculations'!I101, "X", ""), "&gt;", "")))</f>
        <v>4.12</v>
      </c>
      <c r="E46">
        <f>IF(ISNUMBER(SEARCH("~*", 'helper-calculations'!J101)), 1, VALUE(SUBSTITUTE(SUBSTITUTE('helper-calculations'!J101, "X", ""), "&gt;", "")))</f>
        <v>1</v>
      </c>
    </row>
    <row r="47" spans="1:5" x14ac:dyDescent="0.2">
      <c r="A47" t="s">
        <v>77</v>
      </c>
      <c r="B47" t="s">
        <v>37</v>
      </c>
      <c r="C47">
        <f>IF(ISNUMBER(SEARCH("~*", 'helper-calculations'!H102)), 1, VALUE(SUBSTITUTE(SUBSTITUTE('helper-calculations'!H102, "X", ""), "&gt;", "")))</f>
        <v>95.06</v>
      </c>
      <c r="D47">
        <f>IF(ISNUMBER(SEARCH("~*", 'helper-calculations'!I102)), 1, VALUE(SUBSTITUTE(SUBSTITUTE('helper-calculations'!I102, "X", ""), "&gt;", "")))</f>
        <v>3.74</v>
      </c>
      <c r="E47">
        <f>IF(ISNUMBER(SEARCH("~*", 'helper-calculations'!J102)), 1, VALUE(SUBSTITUTE(SUBSTITUTE('helper-calculations'!J102, "X", ""), "&gt;", "")))</f>
        <v>1</v>
      </c>
    </row>
    <row r="48" spans="1:5" x14ac:dyDescent="0.2">
      <c r="A48" t="s">
        <v>73</v>
      </c>
      <c r="B48" t="s">
        <v>39</v>
      </c>
      <c r="C48">
        <f>IF(ISNUMBER(SEARCH("~*", 'helper-calculations'!H103)), 1, VALUE(SUBSTITUTE(SUBSTITUTE('helper-calculations'!H103, "X", ""), "&gt;", "")))</f>
        <v>0.28999999999999998</v>
      </c>
      <c r="D48">
        <f>IF(ISNUMBER(SEARCH("~*", 'helper-calculations'!I103)), 1, VALUE(SUBSTITUTE(SUBSTITUTE('helper-calculations'!I103, "X", ""), "&gt;", "")))</f>
        <v>19</v>
      </c>
      <c r="E48">
        <f>IF(ISNUMBER(SEARCH("~*", 'helper-calculations'!J103)), 1, VALUE(SUBSTITUTE(SUBSTITUTE('helper-calculations'!J103, "X", ""), "&gt;", "")))</f>
        <v>1</v>
      </c>
    </row>
    <row r="49" spans="1:16" x14ac:dyDescent="0.2">
      <c r="A49" t="s">
        <v>75</v>
      </c>
      <c r="B49" t="s">
        <v>39</v>
      </c>
      <c r="C49">
        <f>IF(ISNUMBER(SEARCH("~*", 'helper-calculations'!H104)), 1, VALUE(SUBSTITUTE(SUBSTITUTE('helper-calculations'!H104, "X", ""), "&gt;", "")))</f>
        <v>4651.16</v>
      </c>
      <c r="D49">
        <f>IF(ISNUMBER(SEARCH("~*", 'helper-calculations'!I104)), 1, VALUE(SUBSTITUTE(SUBSTITUTE('helper-calculations'!I104, "X", ""), "&gt;", "")))</f>
        <v>20.149999999999999</v>
      </c>
      <c r="E49">
        <f>IF(ISNUMBER(SEARCH("~*", 'helper-calculations'!J104)), 1, VALUE(SUBSTITUTE(SUBSTITUTE('helper-calculations'!J104, "X", ""), "&gt;", "")))</f>
        <v>1</v>
      </c>
    </row>
    <row r="50" spans="1:16" x14ac:dyDescent="0.2">
      <c r="A50" t="s">
        <v>77</v>
      </c>
      <c r="B50" t="s">
        <v>39</v>
      </c>
      <c r="C50">
        <f>IF(ISNUMBER(SEARCH("~*", 'helper-calculations'!H105)), 1, VALUE(SUBSTITUTE(SUBSTITUTE('helper-calculations'!H105, "X", ""), "&gt;", "")))</f>
        <v>446.43</v>
      </c>
      <c r="D50">
        <f>IF(ISNUMBER(SEARCH("~*", 'helper-calculations'!I105)), 1, VALUE(SUBSTITUTE(SUBSTITUTE('helper-calculations'!I105, "X", ""), "&gt;", "")))</f>
        <v>6.89</v>
      </c>
      <c r="E50">
        <f>IF(ISNUMBER(SEARCH("~*", 'helper-calculations'!J105)), 1, VALUE(SUBSTITUTE(SUBSTITUTE('helper-calculations'!J105, "X", ""), "&gt;", "")))</f>
        <v>1</v>
      </c>
    </row>
    <row r="56" spans="1:16" ht="65" x14ac:dyDescent="0.75">
      <c r="A56" t="s">
        <v>41</v>
      </c>
      <c r="O56" s="14" t="s">
        <v>136</v>
      </c>
      <c r="P56" s="4"/>
    </row>
    <row r="57" spans="1:16" x14ac:dyDescent="0.2">
      <c r="A57" t="s">
        <v>106</v>
      </c>
      <c r="B57">
        <f>MAX(B58:B60)</f>
        <v>25000</v>
      </c>
      <c r="E57" t="s">
        <v>107</v>
      </c>
      <c r="F57">
        <f>MIN(F58:F60)</f>
        <v>0.12</v>
      </c>
      <c r="I57" t="s">
        <v>108</v>
      </c>
      <c r="J57">
        <f>AVERAGE(J58:J60)</f>
        <v>2624.1856250000001</v>
      </c>
      <c r="O57" s="4" t="s">
        <v>103</v>
      </c>
      <c r="P57" s="4" t="str">
        <f>B57 &amp; "X, "   &amp; F57 &amp;  "X, " &amp;   J57 &amp; "X"</f>
        <v>25000X, 0.12X, 2624.185625X</v>
      </c>
    </row>
    <row r="58" spans="1:16" x14ac:dyDescent="0.2">
      <c r="A58" t="s">
        <v>109</v>
      </c>
      <c r="B58">
        <f>_xlfn.MAXIFS(C3:C50, A3:A50, "S", C3:C50, "&lt;&gt;")</f>
        <v>1</v>
      </c>
      <c r="C58" t="str">
        <f>INDEX(B2:B50, MATCH(B58, C2:C50, 0))</f>
        <v>APT</v>
      </c>
      <c r="E58" t="s">
        <v>110</v>
      </c>
      <c r="F58">
        <f>_xlfn.MINIFS(C3:C50, A3:A50, "S", C3:C50, "&lt;&gt;")</f>
        <v>0.12</v>
      </c>
      <c r="G58" t="str">
        <f>INDEX(B$2:B$50, MATCH(F58, C$2:C$50, 0))</f>
        <v>CSPA</v>
      </c>
      <c r="I58" t="s">
        <v>111</v>
      </c>
      <c r="J58">
        <f>AVERAGEIFS(C3:C50, A3:A50, "S", C3:C50, "&lt;&gt;")</f>
        <v>0.64937499999999992</v>
      </c>
      <c r="L58" t="s">
        <v>112</v>
      </c>
      <c r="M58" cm="1">
        <f t="array" ref="M58">MEDIAN(IF(A2:A50="S", C2:C50))</f>
        <v>1</v>
      </c>
      <c r="O58" s="4"/>
      <c r="P58" s="4"/>
    </row>
    <row r="59" spans="1:16" x14ac:dyDescent="0.2">
      <c r="A59" t="s">
        <v>113</v>
      </c>
      <c r="B59">
        <f>_xlfn.MAXIFS(C3:C50, A3:A50, "M", C3:C50, "&lt;&gt;")</f>
        <v>25000</v>
      </c>
      <c r="C59" t="str">
        <f>INDEX(B2:B50, MATCH(B59, C2:C50, 0))</f>
        <v>CBA</v>
      </c>
      <c r="E59" t="s">
        <v>114</v>
      </c>
      <c r="F59">
        <f>_xlfn.MINIFS(C3:C50, A3:A50, "M", C3:C50, "&lt;&gt;")</f>
        <v>3.28</v>
      </c>
      <c r="G59" t="str">
        <f>INDEX(B$2:B$50, MATCH(F59, C$2:C$50, 0))</f>
        <v>Even-Odd</v>
      </c>
      <c r="I59" t="s">
        <v>115</v>
      </c>
      <c r="J59">
        <f>AVERAGEIFS(C3:C50, A3:A50, "M", C3:C50, "&lt;&gt;")</f>
        <v>4515.9406250000002</v>
      </c>
      <c r="L59" t="s">
        <v>116</v>
      </c>
      <c r="M59" cm="1">
        <f t="array" ref="M59">MEDIAN(IF(A2:A50="M", C2:C50))</f>
        <v>1029.3150000000001</v>
      </c>
      <c r="O59" s="4"/>
      <c r="P59" s="4"/>
    </row>
    <row r="60" spans="1:16" x14ac:dyDescent="0.2">
      <c r="A60" t="s">
        <v>117</v>
      </c>
      <c r="B60">
        <f>_xlfn.MAXIFS(C3:C50, A3:A50, "L", C3:C50, "&lt;&gt;")</f>
        <v>24000</v>
      </c>
      <c r="C60" t="str">
        <f>INDEX(B2:B50, MATCH(B60, C2:C50, 0))</f>
        <v>CBA</v>
      </c>
      <c r="E60" t="s">
        <v>118</v>
      </c>
      <c r="F60">
        <f>_xlfn.MINIFS(C3:C50, A3:A50, "L", C3:C50, "&lt;&gt;")</f>
        <v>1.34</v>
      </c>
      <c r="G60" t="str">
        <f>INDEX(B$2:B$50, MATCH(F60, C$2:C$50, 0))</f>
        <v>Even-Odd</v>
      </c>
      <c r="I60" t="s">
        <v>119</v>
      </c>
      <c r="J60">
        <f>AVERAGEIFS(C3:C50, A3:A50, "L", C3:C50, "&lt;&gt;")</f>
        <v>3355.9668750000005</v>
      </c>
      <c r="L60" t="s">
        <v>120</v>
      </c>
      <c r="M60" cm="1">
        <f t="array" ref="M60">MEDIAN(IF(A2:A50="L", C2:C50))</f>
        <v>566.86</v>
      </c>
      <c r="O60" s="4"/>
      <c r="P60" s="4"/>
    </row>
    <row r="61" spans="1:16" x14ac:dyDescent="0.2">
      <c r="O61" s="4"/>
      <c r="P61" s="4"/>
    </row>
    <row r="62" spans="1:16" x14ac:dyDescent="0.2">
      <c r="A62" t="s">
        <v>104</v>
      </c>
      <c r="O62" s="4"/>
      <c r="P62" s="4"/>
    </row>
    <row r="63" spans="1:16" x14ac:dyDescent="0.2">
      <c r="A63" t="s">
        <v>106</v>
      </c>
      <c r="B63">
        <f>MAX(B64:B66)</f>
        <v>1255.23</v>
      </c>
      <c r="E63" t="s">
        <v>107</v>
      </c>
      <c r="F63">
        <f>MIN(F64:F66)</f>
        <v>1</v>
      </c>
      <c r="I63" t="s">
        <v>108</v>
      </c>
      <c r="J63">
        <f>AVERAGE(J64:J66)</f>
        <v>39.169375000000002</v>
      </c>
      <c r="O63" s="4" t="s">
        <v>103</v>
      </c>
      <c r="P63" s="4" t="str">
        <f>B63 &amp; "X, "   &amp; F63 &amp;  "X, " &amp;   J63&amp; "X"</f>
        <v>1255.23X, 1X, 39.169375X</v>
      </c>
    </row>
    <row r="64" spans="1:16" x14ac:dyDescent="0.2">
      <c r="A64" t="s">
        <v>109</v>
      </c>
      <c r="B64">
        <f>_xlfn.MAXIFS(D3:D50, A3:A50, "S", D3:D50, "&lt;&gt;")</f>
        <v>30.92</v>
      </c>
      <c r="C64" t="str">
        <f>INDEX(B2:B50, MATCH(B64, D2:D50, 0))</f>
        <v>Even-Odd</v>
      </c>
      <c r="E64" t="s">
        <v>110</v>
      </c>
      <c r="F64">
        <f>_xlfn.MINIFS(D3:D50, A3:A50, "S", D3:D50, "&lt;&gt;")</f>
        <v>3.64</v>
      </c>
      <c r="G64" t="str">
        <f>INDEX(B$2:B$50, MATCH(F64, D$2:D$50, 0))</f>
        <v>APT</v>
      </c>
      <c r="I64" t="s">
        <v>111</v>
      </c>
      <c r="J64">
        <f>AVERAGEIFS(D3:D50, A3:A50, "S", D3:D50, "&lt;&gt;")</f>
        <v>9.4431250000000002</v>
      </c>
      <c r="L64" t="s">
        <v>112</v>
      </c>
      <c r="M64" cm="1">
        <f t="array" ref="M64">MEDIAN(IF(A2:A50="S", D2:D50))</f>
        <v>7.2750000000000004</v>
      </c>
      <c r="O64" s="4"/>
      <c r="P64" s="4"/>
    </row>
    <row r="65" spans="1:16" x14ac:dyDescent="0.2">
      <c r="A65" t="s">
        <v>113</v>
      </c>
      <c r="B65">
        <f>_xlfn.MAXIFS(D3:D50, A3:A50, "M", D3:D50, "&lt;&gt;")</f>
        <v>20.149999999999999</v>
      </c>
      <c r="C65" t="str">
        <f>INDEX(B2:B50, MATCH(B65, D2:D50, 0))</f>
        <v>COT</v>
      </c>
      <c r="E65" t="s">
        <v>114</v>
      </c>
      <c r="F65">
        <f>_xlfn.MINIFS(D3:D50, A3:A50, "M", D3:D50, "&lt;&gt;")</f>
        <v>1.86</v>
      </c>
      <c r="G65" t="str">
        <f>INDEX(B$2:B$50, MATCH(F65, D$2:D$50, 0))</f>
        <v>Ancestry</v>
      </c>
      <c r="I65" t="s">
        <v>115</v>
      </c>
      <c r="J65">
        <f>AVERAGEIFS(D3:D50, A3:A50, "M", D3:D50, "&lt;&gt;")</f>
        <v>7.2337500000000006</v>
      </c>
      <c r="L65" t="s">
        <v>116</v>
      </c>
      <c r="M65" cm="1">
        <f t="array" ref="M65">MEDIAN(IF(A2:A50="M", D2:D50))</f>
        <v>5.54</v>
      </c>
      <c r="O65" s="4"/>
      <c r="P65" s="4"/>
    </row>
    <row r="66" spans="1:16" x14ac:dyDescent="0.2">
      <c r="A66" t="s">
        <v>117</v>
      </c>
      <c r="B66">
        <f>_xlfn.MAXIFS(D3:D50, A3:A50, "L", D3:D50, "&lt;&gt;")</f>
        <v>1255.23</v>
      </c>
      <c r="C66" t="str">
        <f>INDEX(B2:B50, MATCH(B66, D2:D50, 0))</f>
        <v>JPT</v>
      </c>
      <c r="E66" t="s">
        <v>118</v>
      </c>
      <c r="F66">
        <f>_xlfn.MINIFS(D3:D50, A3:A50, "L", D3:D50, "&lt;&gt;")</f>
        <v>1</v>
      </c>
      <c r="G66" t="str">
        <f>INDEX(B$2:B$50, MATCH(F66, D$2:D$50, 0))</f>
        <v>CC</v>
      </c>
      <c r="I66" t="s">
        <v>119</v>
      </c>
      <c r="J66">
        <f>AVERAGEIFS(D3:D50, A3:A50, "L", D3:D50, "&lt;&gt;")</f>
        <v>100.83125000000001</v>
      </c>
      <c r="L66" t="s">
        <v>120</v>
      </c>
      <c r="M66" cm="1">
        <f t="array" ref="M66">MEDIAN(IF(A2:A50="L", D2:D50))</f>
        <v>6.1099999999999994</v>
      </c>
      <c r="O66" s="4"/>
      <c r="P66" s="4"/>
    </row>
    <row r="67" spans="1:16" x14ac:dyDescent="0.2">
      <c r="O67" s="4"/>
      <c r="P67" s="4"/>
    </row>
    <row r="68" spans="1:16" x14ac:dyDescent="0.2">
      <c r="A68" t="s">
        <v>105</v>
      </c>
      <c r="O68" s="4"/>
      <c r="P68" s="4"/>
    </row>
    <row r="69" spans="1:16" x14ac:dyDescent="0.2">
      <c r="A69" t="s">
        <v>106</v>
      </c>
      <c r="B69">
        <f>MAX(B70:B72)</f>
        <v>1</v>
      </c>
      <c r="E69" t="s">
        <v>107</v>
      </c>
      <c r="F69">
        <f>MIN(F70:F72)</f>
        <v>1</v>
      </c>
      <c r="I69" t="s">
        <v>108</v>
      </c>
      <c r="J69">
        <f>AVERAGE(J70:J72)</f>
        <v>1</v>
      </c>
      <c r="O69" s="4" t="s">
        <v>103</v>
      </c>
      <c r="P69" s="4" t="str">
        <f>B69 &amp; "X, "   &amp; F69 &amp;  "X, " &amp;   J69 &amp; "X"</f>
        <v>1X, 1X, 1X</v>
      </c>
    </row>
    <row r="70" spans="1:16" x14ac:dyDescent="0.2">
      <c r="A70" t="s">
        <v>109</v>
      </c>
      <c r="B70">
        <f>_xlfn.MAXIFS(E3:E50, A3:A50, "S",  E3:E50, "&lt;&gt;")</f>
        <v>1</v>
      </c>
      <c r="C70" t="str">
        <f>INDEX(B2:B50, MATCH(B70, E2:E50, 0))</f>
        <v>Ancestry</v>
      </c>
      <c r="E70" t="s">
        <v>110</v>
      </c>
      <c r="F70">
        <f>_xlfn.MINIFS(E3:E50, A3:A50, "S",  E3:E50, "&lt;&gt;")</f>
        <v>1</v>
      </c>
      <c r="G70" t="str">
        <f>INDEX(B$2:B$50, MATCH(F70, E$2:E$50, 0))</f>
        <v>Ancestry</v>
      </c>
      <c r="I70" t="s">
        <v>111</v>
      </c>
      <c r="J70">
        <f>AVERAGEIFS(E3:E50, A3:A50, "S",  E3:E50, "&lt;&gt;")</f>
        <v>1</v>
      </c>
      <c r="L70" t="s">
        <v>112</v>
      </c>
      <c r="M70" cm="1">
        <f t="array" ref="M70">MEDIAN(IF(A2:A50="S", E2:E50))</f>
        <v>1</v>
      </c>
    </row>
    <row r="71" spans="1:16" x14ac:dyDescent="0.2">
      <c r="A71" t="s">
        <v>113</v>
      </c>
      <c r="B71">
        <f>_xlfn.MAXIFS(E3:E50, A3:A50, "M",  E3:E50, "&lt;&gt;")</f>
        <v>1</v>
      </c>
      <c r="C71" t="str">
        <f>INDEX(B2:B50, MATCH(B71, E2:E50, 0))</f>
        <v>Ancestry</v>
      </c>
      <c r="E71" t="s">
        <v>114</v>
      </c>
      <c r="F71">
        <f>_xlfn.MINIFS(E3:E50, A3:A50, "M",  E3:E50, "&lt;&gt;")</f>
        <v>1</v>
      </c>
      <c r="G71" t="str">
        <f>INDEX(B$2:B$50, MATCH(F71, E$2:E$50, 0))</f>
        <v>Ancestry</v>
      </c>
      <c r="I71" t="s">
        <v>115</v>
      </c>
      <c r="J71">
        <f>AVERAGEIFS(E3:E50, A3:A50, "M",  E3:E50, "&lt;&gt;")</f>
        <v>1</v>
      </c>
      <c r="L71" t="s">
        <v>116</v>
      </c>
      <c r="M71" cm="1">
        <f t="array" ref="M71">MEDIAN(IF(A2:A50="M", E2:E50))</f>
        <v>1</v>
      </c>
    </row>
    <row r="72" spans="1:16" x14ac:dyDescent="0.2">
      <c r="A72" t="s">
        <v>117</v>
      </c>
      <c r="B72">
        <f>_xlfn.MAXIFS(E3:E50, A3:A50, "L",  E3:E50, "&lt;&gt;")</f>
        <v>1</v>
      </c>
      <c r="C72" t="str">
        <f>INDEX(B2:B50, MATCH(B72, E2:E50, 0))</f>
        <v>Ancestry</v>
      </c>
      <c r="E72" t="s">
        <v>118</v>
      </c>
      <c r="F72">
        <f>_xlfn.MINIFS(E3:E50, A3:A50, "L",  E3:E50, "&lt;&gt;")</f>
        <v>1</v>
      </c>
      <c r="G72" t="str">
        <f>INDEX(B$2:B$50, MATCH(F72, E$2:E$50, 0))</f>
        <v>Ancestry</v>
      </c>
      <c r="I72" t="s">
        <v>119</v>
      </c>
      <c r="J72">
        <f>AVERAGEIFS(E3:E50, A3:A50, "L",  E3:E50, "&lt;&gt;")</f>
        <v>1</v>
      </c>
      <c r="L72" t="s">
        <v>120</v>
      </c>
      <c r="M72" cm="1">
        <f t="array" ref="M72">MEDIAN(IF(A2:A50="L", E2:E50))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EXACT TABLE</vt:lpstr>
      <vt:lpstr>compare-with-submitted</vt:lpstr>
      <vt:lpstr>small</vt:lpstr>
      <vt:lpstr>medium</vt:lpstr>
      <vt:lpstr>large</vt:lpstr>
      <vt:lpstr>table-4</vt:lpstr>
      <vt:lpstr>helper-calculations</vt:lpstr>
      <vt:lpstr>table-5</vt:lpstr>
      <vt:lpstr>'compare-with-submitted'!test_formulas</vt:lpstr>
      <vt:lpstr>'helper-calculations'!test_formulas</vt:lpstr>
      <vt:lpstr>large!test_formulas</vt:lpstr>
      <vt:lpstr>medium!test_formulas</vt:lpstr>
      <vt:lpstr>small!test_formulas</vt:lpstr>
      <vt:lpstr>'table-4'!test_formulas</vt:lpstr>
      <vt:lpstr>'table-5'!test_formulas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Na</dc:creator>
  <cp:lastModifiedBy>An Na</cp:lastModifiedBy>
  <dcterms:created xsi:type="dcterms:W3CDTF">2026-04-17T11:57:22Z</dcterms:created>
  <dcterms:modified xsi:type="dcterms:W3CDTF">2026-04-17T13:31:58Z</dcterms:modified>
</cp:coreProperties>
</file>