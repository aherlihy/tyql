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lamp/tyql/"/>
    </mc:Choice>
  </mc:AlternateContent>
  <xr:revisionPtr revIDLastSave="0" documentId="8_{3FBDBE9C-8F66-7C46-B144-6591FDB8B276}" xr6:coauthVersionLast="47" xr6:coauthVersionMax="47" xr10:uidLastSave="{00000000-0000-0000-0000-000000000000}"/>
  <bookViews>
    <workbookView xWindow="30240" yWindow="-17320" windowWidth="28800" windowHeight="26240" xr2:uid="{0C5B438E-2F99-4244-AC78-8A676AC17360}"/>
  </bookViews>
  <sheets>
    <sheet name="small" sheetId="4" r:id="rId1"/>
    <sheet name="medium" sheetId="3" r:id="rId2"/>
    <sheet name="large" sheetId="2" r:id="rId3"/>
    <sheet name="perf-table-vs-tyql" sheetId="6" r:id="rId4"/>
    <sheet name="perf-table-vs-jdbc" sheetId="17" r:id="rId5"/>
    <sheet name="agg-table-tyql" sheetId="1" r:id="rId6"/>
    <sheet name="agg-table-jdbc" sheetId="18" r:id="rId7"/>
    <sheet name="Sheet10" sheetId="19" r:id="rId8"/>
  </sheets>
  <definedNames>
    <definedName name="_xlnm._FilterDatabase" localSheetId="6" hidden="1">'agg-table-jdbc'!$A$2:$D$50</definedName>
    <definedName name="_xlnm._FilterDatabase" localSheetId="5" hidden="1">'agg-table-tyql'!$A$2:$D$50</definedName>
    <definedName name="_xlnm._FilterDatabase" localSheetId="4" hidden="1">'perf-table-vs-jdbc'!$A$3:$J$52</definedName>
    <definedName name="_xlnm._FilterDatabase" localSheetId="3" hidden="1">'perf-table-vs-tyql'!$A$3:$J$52</definedName>
    <definedName name="feb14_repro48_large_iterations" localSheetId="2">large!$BE$2:$BG$175</definedName>
    <definedName name="feb14_repro48_medium_iterations" localSheetId="1">medium!$BB$2:$BD$231</definedName>
    <definedName name="feb21_rerun_jdbc48_large_clean" localSheetId="7">Sheet10!$U$1:$AB$50</definedName>
    <definedName name="feb21_rerun_jdbc48_medium_clean" localSheetId="7">Sheet10!$K$1:$R$56</definedName>
    <definedName name="feb21_rerun_jdbc48_small_clean" localSheetId="7">Sheet10!$A$1:$H$65</definedName>
    <definedName name="nov12_graal_data_10to_5x_8gb48_clean" localSheetId="0">small!$A$2:$H$34</definedName>
    <definedName name="nov12_graal_data_10to_5x_8gb48_iterations" localSheetId="0">small!$BF$1:$BH$321</definedName>
    <definedName name="nov12_large_graal_5x_8gb48_clean" localSheetId="2">large!$A$2:$H$19</definedName>
    <definedName name="nov12_large_graal_5x_8gb48_iterations" localSheetId="2">large!$BE$1:$BG$1</definedName>
    <definedName name="oct29_sized_3x47_clean" localSheetId="2">large!$A$2:$H$20</definedName>
    <definedName name="oct29_sized_3x47_clean" localSheetId="1">medium!$A$2:$H$2</definedName>
    <definedName name="oct29_sized_3x47_clean" localSheetId="0">small!#REF!</definedName>
    <definedName name="oct29_sized_3x48_clean" localSheetId="2">large!$A$2:$H$20</definedName>
    <definedName name="oct29_sized_3x48_clean" localSheetId="1">medium!$A$2:$H$2</definedName>
    <definedName name="oct29_sized_3x48_clean" localSheetId="0">small!#REF!</definedName>
  </definedNames>
  <calcPr calcId="191029"/>
  <pivotCaches>
    <pivotCache cacheId="11" r:id="rId9"/>
    <pivotCache cacheId="12" r:id="rId10"/>
    <pivotCache cacheId="13" r:id="rId11"/>
    <pivotCache cacheId="14" r:id="rId12"/>
    <pivotCache cacheId="15" r:id="rId13"/>
    <pivotCache cacheId="1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9" i="18" l="1"/>
  <c r="P63" i="18"/>
  <c r="P57" i="18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D51" i="17" a="1"/>
  <c r="D51" i="17" s="1"/>
  <c r="C105" i="17" s="1"/>
  <c r="D50" i="17" a="1"/>
  <c r="D50" i="17" s="1"/>
  <c r="C104" i="17" s="1"/>
  <c r="D49" i="17" a="1"/>
  <c r="D49" i="17" s="1"/>
  <c r="C103" i="17" s="1"/>
  <c r="D48" i="17" a="1"/>
  <c r="D48" i="17" s="1"/>
  <c r="C102" i="17" s="1"/>
  <c r="D47" i="17" a="1"/>
  <c r="D47" i="17" s="1"/>
  <c r="C101" i="17" s="1"/>
  <c r="D46" i="17" a="1"/>
  <c r="D46" i="17" s="1"/>
  <c r="C100" i="17" s="1"/>
  <c r="D45" i="17" a="1"/>
  <c r="D45" i="17" s="1"/>
  <c r="C99" i="17" s="1"/>
  <c r="D44" i="17" a="1"/>
  <c r="D44" i="17" s="1"/>
  <c r="C98" i="17" s="1"/>
  <c r="D43" i="17" a="1"/>
  <c r="D43" i="17" s="1"/>
  <c r="C97" i="17" s="1"/>
  <c r="D42" i="17" a="1"/>
  <c r="D42" i="17" s="1"/>
  <c r="C96" i="17" s="1"/>
  <c r="D41" i="17" a="1"/>
  <c r="D41" i="17" s="1"/>
  <c r="C95" i="17" s="1"/>
  <c r="D40" i="17" a="1"/>
  <c r="D40" i="17" s="1"/>
  <c r="C94" i="17" s="1"/>
  <c r="D39" i="17" a="1"/>
  <c r="D39" i="17" s="1"/>
  <c r="C93" i="17" s="1"/>
  <c r="D38" i="17" a="1"/>
  <c r="D38" i="17" s="1"/>
  <c r="C92" i="17" s="1"/>
  <c r="D37" i="17" a="1"/>
  <c r="D37" i="17" s="1"/>
  <c r="C91" i="17" s="1"/>
  <c r="D36" i="17" a="1"/>
  <c r="D36" i="17" s="1"/>
  <c r="C90" i="17" s="1"/>
  <c r="D35" i="17" a="1"/>
  <c r="D35" i="17" s="1"/>
  <c r="C89" i="17" s="1"/>
  <c r="D34" i="17" a="1"/>
  <c r="D34" i="17" s="1"/>
  <c r="C88" i="17" s="1"/>
  <c r="D33" i="17" a="1"/>
  <c r="D33" i="17" s="1"/>
  <c r="C87" i="17" s="1"/>
  <c r="D32" i="17" a="1"/>
  <c r="D32" i="17" s="1"/>
  <c r="C86" i="17" s="1"/>
  <c r="D31" i="17" a="1"/>
  <c r="D31" i="17" s="1"/>
  <c r="C85" i="17" s="1"/>
  <c r="D30" i="17" a="1"/>
  <c r="D30" i="17" s="1"/>
  <c r="C84" i="17" s="1"/>
  <c r="D29" i="17" a="1"/>
  <c r="D29" i="17" s="1"/>
  <c r="C83" i="17" s="1"/>
  <c r="D28" i="17" a="1"/>
  <c r="D28" i="17" s="1"/>
  <c r="C82" i="17" s="1"/>
  <c r="D27" i="17" a="1"/>
  <c r="D27" i="17" s="1"/>
  <c r="C81" i="17" s="1"/>
  <c r="D26" i="17" a="1"/>
  <c r="D26" i="17" s="1"/>
  <c r="C80" i="17" s="1"/>
  <c r="D25" i="17" a="1"/>
  <c r="D25" i="17" s="1"/>
  <c r="C79" i="17" s="1"/>
  <c r="D24" i="17" a="1"/>
  <c r="D24" i="17" s="1"/>
  <c r="C78" i="17" s="1"/>
  <c r="D23" i="17" a="1"/>
  <c r="D23" i="17" s="1"/>
  <c r="C77" i="17" s="1"/>
  <c r="D22" i="17" a="1"/>
  <c r="D22" i="17" s="1"/>
  <c r="C76" i="17" s="1"/>
  <c r="D21" i="17" a="1"/>
  <c r="D21" i="17" s="1"/>
  <c r="C75" i="17" s="1"/>
  <c r="D20" i="17" a="1"/>
  <c r="D20" i="17" s="1"/>
  <c r="C74" i="17" s="1"/>
  <c r="D19" i="17" a="1"/>
  <c r="D19" i="17" s="1"/>
  <c r="C73" i="17" s="1"/>
  <c r="D18" i="17" a="1"/>
  <c r="D18" i="17" s="1"/>
  <c r="C72" i="17" s="1"/>
  <c r="D17" i="17" a="1"/>
  <c r="D17" i="17" s="1"/>
  <c r="C71" i="17" s="1"/>
  <c r="D16" i="17" a="1"/>
  <c r="D16" i="17" s="1"/>
  <c r="C70" i="17" s="1"/>
  <c r="D15" i="17" a="1"/>
  <c r="D15" i="17" s="1"/>
  <c r="C69" i="17" s="1"/>
  <c r="D14" i="17" a="1"/>
  <c r="D14" i="17" s="1"/>
  <c r="C68" i="17" s="1"/>
  <c r="D13" i="17" a="1"/>
  <c r="D13" i="17" s="1"/>
  <c r="C67" i="17" s="1"/>
  <c r="D12" i="17" a="1"/>
  <c r="D12" i="17" s="1"/>
  <c r="C66" i="17" s="1"/>
  <c r="D11" i="17" a="1"/>
  <c r="D11" i="17" s="1"/>
  <c r="C65" i="17" s="1"/>
  <c r="D10" i="17" a="1"/>
  <c r="D10" i="17" s="1"/>
  <c r="C64" i="17" s="1"/>
  <c r="D9" i="17" a="1"/>
  <c r="D9" i="17" s="1"/>
  <c r="C63" i="17" s="1"/>
  <c r="D8" i="17" a="1"/>
  <c r="D8" i="17" s="1"/>
  <c r="C62" i="17" s="1"/>
  <c r="D7" i="17" a="1"/>
  <c r="D7" i="17" s="1"/>
  <c r="C61" i="17" s="1"/>
  <c r="D6" i="17" a="1"/>
  <c r="D6" i="17" s="1"/>
  <c r="C60" i="17" s="1"/>
  <c r="D5" i="17" a="1"/>
  <c r="D5" i="17" s="1"/>
  <c r="C59" i="17" s="1"/>
  <c r="D4" i="17" a="1"/>
  <c r="D4" i="17" s="1"/>
  <c r="C58" i="17" s="1"/>
  <c r="D51" i="6" a="1"/>
  <c r="D51" i="6" s="1"/>
  <c r="C105" i="6" s="1"/>
  <c r="D50" i="6" a="1"/>
  <c r="D50" i="6" s="1"/>
  <c r="C104" i="6" s="1"/>
  <c r="D48" i="6" a="1"/>
  <c r="D48" i="6" s="1"/>
  <c r="C102" i="6" s="1"/>
  <c r="D47" i="6" a="1"/>
  <c r="D47" i="6" s="1"/>
  <c r="C101" i="6" s="1"/>
  <c r="D45" i="6" a="1"/>
  <c r="D45" i="6" s="1"/>
  <c r="C99" i="6" s="1"/>
  <c r="D44" i="6" a="1"/>
  <c r="D44" i="6" s="1"/>
  <c r="C98" i="6" s="1"/>
  <c r="D42" i="6" a="1"/>
  <c r="D42" i="6" s="1"/>
  <c r="C96" i="6" s="1"/>
  <c r="D41" i="6" a="1"/>
  <c r="D41" i="6" s="1"/>
  <c r="C95" i="6" s="1"/>
  <c r="D39" i="6" a="1"/>
  <c r="D39" i="6" s="1"/>
  <c r="C93" i="6" s="1"/>
  <c r="D38" i="6" a="1"/>
  <c r="D38" i="6" s="1"/>
  <c r="C92" i="6" s="1"/>
  <c r="D36" i="6" a="1"/>
  <c r="D36" i="6" s="1"/>
  <c r="C90" i="6" s="1"/>
  <c r="D35" i="6" a="1"/>
  <c r="D35" i="6" s="1"/>
  <c r="C89" i="6" s="1"/>
  <c r="D33" i="6" a="1"/>
  <c r="D33" i="6" s="1"/>
  <c r="C87" i="6" s="1"/>
  <c r="D32" i="6" a="1"/>
  <c r="D32" i="6" s="1"/>
  <c r="C86" i="6" s="1"/>
  <c r="D30" i="6" a="1"/>
  <c r="D30" i="6" s="1"/>
  <c r="C84" i="6" s="1"/>
  <c r="D29" i="6" a="1"/>
  <c r="D29" i="6" s="1"/>
  <c r="C83" i="6" s="1"/>
  <c r="D27" i="6" a="1"/>
  <c r="D27" i="6" s="1"/>
  <c r="C81" i="6" s="1"/>
  <c r="D26" i="6" a="1"/>
  <c r="D26" i="6" s="1"/>
  <c r="C80" i="6" s="1"/>
  <c r="D24" i="6" a="1"/>
  <c r="D24" i="6" s="1"/>
  <c r="C78" i="6" s="1"/>
  <c r="D23" i="6" a="1"/>
  <c r="D23" i="6" s="1"/>
  <c r="C77" i="6" s="1"/>
  <c r="D21" i="6" a="1"/>
  <c r="D21" i="6" s="1"/>
  <c r="C75" i="6" s="1"/>
  <c r="D20" i="6" a="1"/>
  <c r="D20" i="6" s="1"/>
  <c r="C74" i="6" s="1"/>
  <c r="D18" i="6" a="1"/>
  <c r="D18" i="6" s="1"/>
  <c r="C72" i="6" s="1"/>
  <c r="D17" i="6" a="1"/>
  <c r="D17" i="6" s="1"/>
  <c r="C71" i="6" s="1"/>
  <c r="D15" i="6" a="1"/>
  <c r="D15" i="6" s="1"/>
  <c r="C69" i="6" s="1"/>
  <c r="D14" i="6" a="1"/>
  <c r="D14" i="6" s="1"/>
  <c r="C68" i="6" s="1"/>
  <c r="D12" i="6" a="1"/>
  <c r="D12" i="6" s="1"/>
  <c r="C66" i="6" s="1"/>
  <c r="D11" i="6" a="1"/>
  <c r="D11" i="6" s="1"/>
  <c r="C65" i="6" s="1"/>
  <c r="D9" i="6" a="1"/>
  <c r="D9" i="6" s="1"/>
  <c r="C63" i="6" s="1"/>
  <c r="D8" i="6" a="1"/>
  <c r="D8" i="6" s="1"/>
  <c r="C62" i="6" s="1"/>
  <c r="D6" i="6" a="1"/>
  <c r="D6" i="6" s="1"/>
  <c r="C60" i="6" s="1"/>
  <c r="D5" i="6" a="1"/>
  <c r="D5" i="6" s="1"/>
  <c r="C59" i="6" s="1"/>
  <c r="S41" i="2" a="1"/>
  <c r="S41" i="2" s="1"/>
  <c r="R41" i="2" a="1"/>
  <c r="R41" i="2" s="1"/>
  <c r="Q41" i="2" a="1"/>
  <c r="Q41" i="2" s="1"/>
  <c r="P41" i="2" a="1"/>
  <c r="P41" i="2" s="1"/>
  <c r="S40" i="2" a="1"/>
  <c r="S40" i="2" s="1"/>
  <c r="R40" i="2" a="1"/>
  <c r="R40" i="2" s="1"/>
  <c r="Q40" i="2" a="1"/>
  <c r="Q40" i="2" s="1"/>
  <c r="P40" i="2" a="1"/>
  <c r="P40" i="2" s="1"/>
  <c r="S39" i="2" a="1"/>
  <c r="S39" i="2" s="1"/>
  <c r="R39" i="2" a="1"/>
  <c r="R39" i="2" s="1"/>
  <c r="Q39" i="2" a="1"/>
  <c r="Q39" i="2" s="1"/>
  <c r="P39" i="2" a="1"/>
  <c r="P39" i="2" s="1"/>
  <c r="S38" i="2" a="1"/>
  <c r="S38" i="2" s="1"/>
  <c r="R38" i="2" a="1"/>
  <c r="R38" i="2" s="1"/>
  <c r="Q38" i="2" a="1"/>
  <c r="Q38" i="2" s="1"/>
  <c r="P38" i="2" a="1"/>
  <c r="P38" i="2" s="1"/>
  <c r="S37" i="2" a="1"/>
  <c r="S37" i="2" s="1"/>
  <c r="R37" i="2" a="1"/>
  <c r="R37" i="2" s="1"/>
  <c r="Q37" i="2" a="1"/>
  <c r="Q37" i="2" s="1"/>
  <c r="P37" i="2" a="1"/>
  <c r="P37" i="2" s="1"/>
  <c r="S36" i="2" a="1"/>
  <c r="S36" i="2" s="1"/>
  <c r="R36" i="2" a="1"/>
  <c r="R36" i="2" s="1"/>
  <c r="Q36" i="2" a="1"/>
  <c r="Q36" i="2" s="1"/>
  <c r="P36" i="2" a="1"/>
  <c r="P36" i="2" s="1"/>
  <c r="S35" i="2" a="1"/>
  <c r="S35" i="2" s="1"/>
  <c r="R35" i="2" a="1"/>
  <c r="R35" i="2" s="1"/>
  <c r="Q35" i="2" a="1"/>
  <c r="Q35" i="2" s="1"/>
  <c r="P35" i="2" a="1"/>
  <c r="P35" i="2" s="1"/>
  <c r="S34" i="2" a="1"/>
  <c r="S34" i="2" s="1"/>
  <c r="R34" i="2" a="1"/>
  <c r="R34" i="2" s="1"/>
  <c r="Q34" i="2" a="1"/>
  <c r="Q34" i="2" s="1"/>
  <c r="P34" i="2" a="1"/>
  <c r="P34" i="2" s="1"/>
  <c r="S33" i="2" a="1"/>
  <c r="S33" i="2" s="1"/>
  <c r="R33" i="2" a="1"/>
  <c r="R33" i="2" s="1"/>
  <c r="Q33" i="2" a="1"/>
  <c r="Q33" i="2" s="1"/>
  <c r="P33" i="2" a="1"/>
  <c r="P33" i="2" s="1"/>
  <c r="S32" i="2" a="1"/>
  <c r="S32" i="2" s="1"/>
  <c r="R32" i="2" a="1"/>
  <c r="R32" i="2" s="1"/>
  <c r="Q32" i="2" a="1"/>
  <c r="Q32" i="2" s="1"/>
  <c r="P32" i="2" a="1"/>
  <c r="P32" i="2" s="1"/>
  <c r="S31" i="2" a="1"/>
  <c r="S31" i="2" s="1"/>
  <c r="R31" i="2" a="1"/>
  <c r="R31" i="2" s="1"/>
  <c r="Q31" i="2" a="1"/>
  <c r="Q31" i="2" s="1"/>
  <c r="P31" i="2" a="1"/>
  <c r="P31" i="2" s="1"/>
  <c r="S30" i="2" a="1"/>
  <c r="S30" i="2" s="1"/>
  <c r="R30" i="2" a="1"/>
  <c r="R30" i="2" s="1"/>
  <c r="Q30" i="2" a="1"/>
  <c r="Q30" i="2" s="1"/>
  <c r="P30" i="2" a="1"/>
  <c r="P30" i="2" s="1"/>
  <c r="S29" i="2" a="1"/>
  <c r="S29" i="2" s="1"/>
  <c r="R29" i="2" a="1"/>
  <c r="R29" i="2" s="1"/>
  <c r="Q29" i="2" a="1"/>
  <c r="Q29" i="2" s="1"/>
  <c r="P29" i="2" a="1"/>
  <c r="P29" i="2" s="1"/>
  <c r="S28" i="2" a="1"/>
  <c r="S28" i="2" s="1"/>
  <c r="R28" i="2" a="1"/>
  <c r="R28" i="2" s="1"/>
  <c r="Q28" i="2" a="1"/>
  <c r="Q28" i="2" s="1"/>
  <c r="P28" i="2" a="1"/>
  <c r="P28" i="2" s="1"/>
  <c r="S27" i="2" a="1"/>
  <c r="S27" i="2" s="1"/>
  <c r="R27" i="2" a="1"/>
  <c r="R27" i="2" s="1"/>
  <c r="Q27" i="2" a="1"/>
  <c r="Q27" i="2" s="1"/>
  <c r="P27" i="2" a="1"/>
  <c r="P27" i="2" s="1"/>
  <c r="S26" i="2" a="1"/>
  <c r="S26" i="2" s="1"/>
  <c r="R26" i="2" a="1"/>
  <c r="R26" i="2" s="1"/>
  <c r="Q26" i="2" a="1"/>
  <c r="Q26" i="2" s="1"/>
  <c r="P26" i="2" a="1"/>
  <c r="P26" i="2" s="1"/>
  <c r="P26" i="4" a="1"/>
  <c r="P26" i="4" s="1"/>
  <c r="Q26" i="4" a="1"/>
  <c r="Q26" i="4" s="1"/>
  <c r="R26" i="4" a="1"/>
  <c r="R26" i="4" s="1"/>
  <c r="S26" i="4" a="1"/>
  <c r="S26" i="4" s="1"/>
  <c r="P27" i="4" a="1"/>
  <c r="P27" i="4" s="1"/>
  <c r="Q27" i="4" a="1"/>
  <c r="Q27" i="4" s="1"/>
  <c r="R27" i="4" a="1"/>
  <c r="R27" i="4" s="1"/>
  <c r="S27" i="4" a="1"/>
  <c r="S27" i="4" s="1"/>
  <c r="P28" i="4" a="1"/>
  <c r="P28" i="4" s="1"/>
  <c r="Q28" i="4" a="1"/>
  <c r="Q28" i="4" s="1"/>
  <c r="R28" i="4" a="1"/>
  <c r="R28" i="4" s="1"/>
  <c r="S28" i="4" a="1"/>
  <c r="S28" i="4" s="1"/>
  <c r="P29" i="4" a="1"/>
  <c r="P29" i="4" s="1"/>
  <c r="Q29" i="4" a="1"/>
  <c r="Q29" i="4" s="1"/>
  <c r="R29" i="4" a="1"/>
  <c r="R29" i="4" s="1"/>
  <c r="S29" i="4" a="1"/>
  <c r="S29" i="4" s="1"/>
  <c r="P30" i="4" a="1"/>
  <c r="P30" i="4" s="1"/>
  <c r="Q30" i="4" a="1"/>
  <c r="Q30" i="4" s="1"/>
  <c r="R30" i="4" a="1"/>
  <c r="R30" i="4" s="1"/>
  <c r="S30" i="4" a="1"/>
  <c r="S30" i="4" s="1"/>
  <c r="P31" i="4" a="1"/>
  <c r="P31" i="4" s="1"/>
  <c r="Q31" i="4" a="1"/>
  <c r="Q31" i="4" s="1"/>
  <c r="R31" i="4" a="1"/>
  <c r="R31" i="4" s="1"/>
  <c r="S31" i="4" a="1"/>
  <c r="S31" i="4" s="1"/>
  <c r="P32" i="4" a="1"/>
  <c r="P32" i="4" s="1"/>
  <c r="Q32" i="4" a="1"/>
  <c r="Q32" i="4" s="1"/>
  <c r="R32" i="4" a="1"/>
  <c r="R32" i="4" s="1"/>
  <c r="S32" i="4" a="1"/>
  <c r="S32" i="4" s="1"/>
  <c r="P33" i="4" a="1"/>
  <c r="P33" i="4" s="1"/>
  <c r="Q33" i="4" a="1"/>
  <c r="Q33" i="4" s="1"/>
  <c r="R33" i="4" a="1"/>
  <c r="R33" i="4" s="1"/>
  <c r="S33" i="4" a="1"/>
  <c r="S33" i="4" s="1"/>
  <c r="P34" i="4" a="1"/>
  <c r="P34" i="4" s="1"/>
  <c r="Q34" i="4" a="1"/>
  <c r="Q34" i="4" s="1"/>
  <c r="R34" i="4" a="1"/>
  <c r="R34" i="4" s="1"/>
  <c r="S34" i="4" a="1"/>
  <c r="S34" i="4" s="1"/>
  <c r="P35" i="4" a="1"/>
  <c r="P35" i="4" s="1"/>
  <c r="Q35" i="4" a="1"/>
  <c r="Q35" i="4" s="1"/>
  <c r="R35" i="4" a="1"/>
  <c r="R35" i="4" s="1"/>
  <c r="S35" i="4" a="1"/>
  <c r="S35" i="4" s="1"/>
  <c r="P36" i="4" a="1"/>
  <c r="P36" i="4" s="1"/>
  <c r="Q36" i="4" a="1"/>
  <c r="Q36" i="4" s="1"/>
  <c r="R36" i="4" a="1"/>
  <c r="R36" i="4" s="1"/>
  <c r="S36" i="4" a="1"/>
  <c r="S36" i="4" s="1"/>
  <c r="P37" i="4" a="1"/>
  <c r="P37" i="4" s="1"/>
  <c r="Q37" i="4" a="1"/>
  <c r="Q37" i="4" s="1"/>
  <c r="R37" i="4" a="1"/>
  <c r="R37" i="4" s="1"/>
  <c r="S37" i="4" a="1"/>
  <c r="S37" i="4" s="1"/>
  <c r="P38" i="4" a="1"/>
  <c r="P38" i="4" s="1"/>
  <c r="Q38" i="4" a="1"/>
  <c r="Q38" i="4" s="1"/>
  <c r="R38" i="4" a="1"/>
  <c r="R38" i="4" s="1"/>
  <c r="S38" i="4" a="1"/>
  <c r="S38" i="4" s="1"/>
  <c r="P39" i="4" a="1"/>
  <c r="P39" i="4" s="1"/>
  <c r="Q39" i="4" a="1"/>
  <c r="Q39" i="4" s="1"/>
  <c r="R39" i="4" a="1"/>
  <c r="R39" i="4" s="1"/>
  <c r="S39" i="4" a="1"/>
  <c r="S39" i="4" s="1"/>
  <c r="P40" i="4" a="1"/>
  <c r="P40" i="4" s="1"/>
  <c r="Q40" i="4" a="1"/>
  <c r="Q40" i="4" s="1"/>
  <c r="R40" i="4" a="1"/>
  <c r="R40" i="4" s="1"/>
  <c r="S40" i="4" a="1"/>
  <c r="S40" i="4" s="1"/>
  <c r="P41" i="4" a="1"/>
  <c r="P41" i="4" s="1"/>
  <c r="Q41" i="4" a="1"/>
  <c r="Q41" i="4" s="1"/>
  <c r="R41" i="4" a="1"/>
  <c r="R41" i="4" s="1"/>
  <c r="S41" i="4" a="1"/>
  <c r="S41" i="4" s="1"/>
  <c r="Q40" i="3" a="1"/>
  <c r="Q40" i="3" s="1"/>
  <c r="S41" i="3" a="1"/>
  <c r="S41" i="3" s="1"/>
  <c r="R41" i="3" a="1"/>
  <c r="R41" i="3" s="1"/>
  <c r="Q41" i="3" a="1"/>
  <c r="Q41" i="3" s="1"/>
  <c r="P41" i="3" a="1"/>
  <c r="P41" i="3" s="1"/>
  <c r="S40" i="3" a="1"/>
  <c r="S40" i="3" s="1"/>
  <c r="R40" i="3" a="1"/>
  <c r="R40" i="3" s="1"/>
  <c r="P40" i="3" a="1"/>
  <c r="P40" i="3" s="1"/>
  <c r="S39" i="3" a="1"/>
  <c r="S39" i="3" s="1"/>
  <c r="R39" i="3" a="1"/>
  <c r="R39" i="3" s="1"/>
  <c r="Q39" i="3" a="1"/>
  <c r="Q39" i="3" s="1"/>
  <c r="P39" i="3" a="1"/>
  <c r="P39" i="3" s="1"/>
  <c r="S38" i="3" a="1"/>
  <c r="S38" i="3" s="1"/>
  <c r="R38" i="3" a="1"/>
  <c r="R38" i="3" s="1"/>
  <c r="Q38" i="3" a="1"/>
  <c r="Q38" i="3" s="1"/>
  <c r="P38" i="3" a="1"/>
  <c r="P38" i="3" s="1"/>
  <c r="S37" i="3" a="1"/>
  <c r="S37" i="3" s="1"/>
  <c r="R37" i="3" a="1"/>
  <c r="R37" i="3" s="1"/>
  <c r="Q37" i="3" a="1"/>
  <c r="Q37" i="3" s="1"/>
  <c r="P37" i="3" a="1"/>
  <c r="P37" i="3" s="1"/>
  <c r="S36" i="3" a="1"/>
  <c r="S36" i="3" s="1"/>
  <c r="R36" i="3" a="1"/>
  <c r="R36" i="3" s="1"/>
  <c r="Q36" i="3" a="1"/>
  <c r="Q36" i="3" s="1"/>
  <c r="P36" i="3" a="1"/>
  <c r="P36" i="3" s="1"/>
  <c r="S35" i="3" a="1"/>
  <c r="S35" i="3" s="1"/>
  <c r="R35" i="3" a="1"/>
  <c r="R35" i="3" s="1"/>
  <c r="Q35" i="3" a="1"/>
  <c r="Q35" i="3" s="1"/>
  <c r="P35" i="3" a="1"/>
  <c r="P35" i="3" s="1"/>
  <c r="S34" i="3" a="1"/>
  <c r="S34" i="3" s="1"/>
  <c r="R34" i="3" a="1"/>
  <c r="R34" i="3" s="1"/>
  <c r="Q34" i="3" a="1"/>
  <c r="Q34" i="3" s="1"/>
  <c r="P34" i="3" a="1"/>
  <c r="P34" i="3" s="1"/>
  <c r="S33" i="3" a="1"/>
  <c r="S33" i="3" s="1"/>
  <c r="R33" i="3" a="1"/>
  <c r="R33" i="3" s="1"/>
  <c r="Q33" i="3" a="1"/>
  <c r="Q33" i="3" s="1"/>
  <c r="P33" i="3" a="1"/>
  <c r="P33" i="3" s="1"/>
  <c r="S32" i="3" a="1"/>
  <c r="S32" i="3" s="1"/>
  <c r="R32" i="3" a="1"/>
  <c r="R32" i="3" s="1"/>
  <c r="Q32" i="3" a="1"/>
  <c r="Q32" i="3" s="1"/>
  <c r="P32" i="3" a="1"/>
  <c r="P32" i="3" s="1"/>
  <c r="S31" i="3" a="1"/>
  <c r="S31" i="3" s="1"/>
  <c r="R31" i="3" a="1"/>
  <c r="R31" i="3" s="1"/>
  <c r="Q31" i="3" a="1"/>
  <c r="Q31" i="3" s="1"/>
  <c r="P31" i="3" a="1"/>
  <c r="P31" i="3" s="1"/>
  <c r="S30" i="3" a="1"/>
  <c r="S30" i="3" s="1"/>
  <c r="R30" i="3" a="1"/>
  <c r="R30" i="3" s="1"/>
  <c r="Q30" i="3" a="1"/>
  <c r="Q30" i="3" s="1"/>
  <c r="P30" i="3" a="1"/>
  <c r="P30" i="3" s="1"/>
  <c r="S29" i="3" a="1"/>
  <c r="S29" i="3" s="1"/>
  <c r="R29" i="3" a="1"/>
  <c r="R29" i="3" s="1"/>
  <c r="Q29" i="3" a="1"/>
  <c r="Q29" i="3" s="1"/>
  <c r="P29" i="3" a="1"/>
  <c r="P29" i="3" s="1"/>
  <c r="S28" i="3" a="1"/>
  <c r="S28" i="3" s="1"/>
  <c r="R28" i="3" a="1"/>
  <c r="R28" i="3" s="1"/>
  <c r="Q28" i="3" a="1"/>
  <c r="Q28" i="3" s="1"/>
  <c r="P28" i="3" a="1"/>
  <c r="P28" i="3" s="1"/>
  <c r="S27" i="3" a="1"/>
  <c r="S27" i="3" s="1"/>
  <c r="R27" i="3" a="1"/>
  <c r="R27" i="3" s="1"/>
  <c r="Q27" i="3" a="1"/>
  <c r="Q27" i="3" s="1"/>
  <c r="P27" i="3" a="1"/>
  <c r="P27" i="3" s="1"/>
  <c r="S26" i="3" a="1"/>
  <c r="S26" i="3" s="1"/>
  <c r="R26" i="3" a="1"/>
  <c r="R26" i="3" s="1"/>
  <c r="Q26" i="3" a="1"/>
  <c r="Q26" i="3" s="1"/>
  <c r="P26" i="3" a="1"/>
  <c r="P26" i="3" s="1"/>
  <c r="M3" i="4" a="1"/>
  <c r="M3" i="4" s="1"/>
  <c r="R4" i="17" s="1"/>
  <c r="G4" i="17" s="1" a="1"/>
  <c r="G4" i="17" s="1"/>
  <c r="F58" i="17" s="1"/>
  <c r="U48" i="6" l="1"/>
  <c r="H18" i="6" s="1" a="1"/>
  <c r="H18" i="6" s="1"/>
  <c r="G72" i="6" s="1"/>
  <c r="U58" i="6"/>
  <c r="H48" i="6" s="1" a="1"/>
  <c r="H48" i="6" s="1"/>
  <c r="G102" i="6" s="1"/>
  <c r="M79" i="2" a="1"/>
  <c r="M79" i="2" s="1"/>
  <c r="L79" i="2" a="1"/>
  <c r="L79" i="2" s="1"/>
  <c r="M78" i="2" a="1"/>
  <c r="M78" i="2" s="1"/>
  <c r="L78" i="2" a="1"/>
  <c r="L78" i="2" s="1"/>
  <c r="M77" i="2" a="1"/>
  <c r="M77" i="2" s="1"/>
  <c r="L77" i="2" a="1"/>
  <c r="L77" i="2" s="1"/>
  <c r="M76" i="2" a="1"/>
  <c r="M76" i="2" s="1"/>
  <c r="K76" i="2" a="1"/>
  <c r="K76" i="2" s="1"/>
  <c r="M75" i="2" a="1"/>
  <c r="M75" i="2" s="1"/>
  <c r="K75" i="2" a="1"/>
  <c r="K75" i="2" s="1"/>
  <c r="M74" i="2" a="1"/>
  <c r="M74" i="2" s="1"/>
  <c r="K74" i="2" a="1"/>
  <c r="K74" i="2" s="1"/>
  <c r="M73" i="2" a="1"/>
  <c r="M73" i="2" s="1"/>
  <c r="K73" i="2" a="1"/>
  <c r="K73" i="2" s="1"/>
  <c r="M72" i="2" a="1"/>
  <c r="M72" i="2" s="1"/>
  <c r="K72" i="2" a="1"/>
  <c r="K72" i="2" s="1"/>
  <c r="M71" i="2" a="1"/>
  <c r="M71" i="2" s="1"/>
  <c r="K71" i="2" a="1"/>
  <c r="K71" i="2" s="1"/>
  <c r="M70" i="2" a="1"/>
  <c r="M70" i="2" s="1"/>
  <c r="K70" i="2" a="1"/>
  <c r="K70" i="2" s="1"/>
  <c r="M69" i="2" a="1"/>
  <c r="M69" i="2" s="1"/>
  <c r="K69" i="2" a="1"/>
  <c r="K69" i="2" s="1"/>
  <c r="L68" i="2" a="1"/>
  <c r="L68" i="2" s="1"/>
  <c r="K68" i="2" a="1"/>
  <c r="K68" i="2" s="1"/>
  <c r="L67" i="2" a="1"/>
  <c r="L67" i="2" s="1"/>
  <c r="K67" i="2" a="1"/>
  <c r="K67" i="2" s="1"/>
  <c r="L66" i="2" a="1"/>
  <c r="L66" i="2" s="1"/>
  <c r="K66" i="2" a="1"/>
  <c r="K66" i="2" s="1"/>
  <c r="L65" i="2" a="1"/>
  <c r="L65" i="2" s="1"/>
  <c r="K65" i="2" a="1"/>
  <c r="K65" i="2" s="1"/>
  <c r="L64" i="2" a="1"/>
  <c r="L64" i="2" s="1"/>
  <c r="K64" i="2" a="1"/>
  <c r="K64" i="2" s="1"/>
  <c r="P18" i="2" a="1"/>
  <c r="P18" i="2" s="1"/>
  <c r="U59" i="17" s="1"/>
  <c r="H51" i="17" s="1" a="1"/>
  <c r="H51" i="17" s="1"/>
  <c r="G105" i="17" s="1"/>
  <c r="P17" i="2" a="1"/>
  <c r="P17" i="2" s="1"/>
  <c r="U58" i="17" s="1"/>
  <c r="H48" i="17" s="1" a="1"/>
  <c r="H48" i="17" s="1"/>
  <c r="G102" i="17" s="1"/>
  <c r="P16" i="2" a="1"/>
  <c r="P16" i="2" s="1"/>
  <c r="P15" i="2" a="1"/>
  <c r="P15" i="2" s="1"/>
  <c r="U56" i="17" s="1"/>
  <c r="H42" i="17" s="1" a="1"/>
  <c r="H42" i="17" s="1"/>
  <c r="G96" i="17" s="1"/>
  <c r="P14" i="2" a="1"/>
  <c r="P14" i="2" s="1"/>
  <c r="U55" i="17" s="1"/>
  <c r="H39" i="17" s="1" a="1"/>
  <c r="H39" i="17" s="1"/>
  <c r="G93" i="17" s="1"/>
  <c r="P13" i="2" a="1"/>
  <c r="P13" i="2" s="1"/>
  <c r="P12" i="2" a="1"/>
  <c r="P12" i="2" s="1"/>
  <c r="P11" i="2" a="1"/>
  <c r="P11" i="2" s="1"/>
  <c r="P10" i="2" a="1"/>
  <c r="P10" i="2" s="1"/>
  <c r="U51" i="17" s="1"/>
  <c r="H27" i="17" s="1" a="1"/>
  <c r="H27" i="17" s="1"/>
  <c r="G81" i="17" s="1"/>
  <c r="P9" i="2" a="1"/>
  <c r="P9" i="2" s="1"/>
  <c r="U50" i="17" s="1"/>
  <c r="H24" i="17" s="1" a="1"/>
  <c r="H24" i="17" s="1"/>
  <c r="G78" i="17" s="1"/>
  <c r="P8" i="2" a="1"/>
  <c r="P8" i="2" s="1"/>
  <c r="U49" i="17" s="1"/>
  <c r="H21" i="17" s="1" a="1"/>
  <c r="H21" i="17" s="1"/>
  <c r="G75" i="17" s="1"/>
  <c r="P7" i="2" a="1"/>
  <c r="P7" i="2" s="1"/>
  <c r="U48" i="17" s="1"/>
  <c r="H18" i="17" s="1" a="1"/>
  <c r="H18" i="17" s="1"/>
  <c r="G72" i="17" s="1"/>
  <c r="P6" i="2" a="1"/>
  <c r="P6" i="2" s="1"/>
  <c r="P5" i="2" a="1"/>
  <c r="P5" i="2" s="1"/>
  <c r="U46" i="17" s="1"/>
  <c r="H12" i="17" s="1" a="1"/>
  <c r="H12" i="17" s="1"/>
  <c r="G66" i="17" s="1"/>
  <c r="P4" i="2" a="1"/>
  <c r="P4" i="2" s="1"/>
  <c r="U45" i="17" s="1"/>
  <c r="H9" i="17" s="1" a="1"/>
  <c r="H9" i="17" s="1"/>
  <c r="G63" i="17" s="1"/>
  <c r="P3" i="2" a="1"/>
  <c r="P3" i="2" s="1"/>
  <c r="U44" i="17" s="1"/>
  <c r="H6" i="17" s="1" a="1"/>
  <c r="H6" i="17" s="1"/>
  <c r="G60" i="17" s="1"/>
  <c r="M79" i="3" a="1"/>
  <c r="M79" i="3" s="1"/>
  <c r="L79" i="3" a="1"/>
  <c r="L79" i="3" s="1"/>
  <c r="M78" i="3" a="1"/>
  <c r="M78" i="3" s="1"/>
  <c r="L78" i="3" a="1"/>
  <c r="L78" i="3" s="1"/>
  <c r="M77" i="3" a="1"/>
  <c r="M77" i="3" s="1"/>
  <c r="L77" i="3" a="1"/>
  <c r="L77" i="3" s="1"/>
  <c r="M76" i="3" a="1"/>
  <c r="M76" i="3" s="1"/>
  <c r="K76" i="3" a="1"/>
  <c r="K76" i="3" s="1"/>
  <c r="M75" i="3" a="1"/>
  <c r="M75" i="3" s="1"/>
  <c r="K75" i="3" a="1"/>
  <c r="K75" i="3" s="1"/>
  <c r="M74" i="3" a="1"/>
  <c r="M74" i="3" s="1"/>
  <c r="K74" i="3" a="1"/>
  <c r="K74" i="3" s="1"/>
  <c r="M73" i="3" a="1"/>
  <c r="M73" i="3" s="1"/>
  <c r="K73" i="3" a="1"/>
  <c r="K73" i="3" s="1"/>
  <c r="M72" i="3" a="1"/>
  <c r="M72" i="3" s="1"/>
  <c r="K72" i="3" a="1"/>
  <c r="K72" i="3" s="1"/>
  <c r="M71" i="3" a="1"/>
  <c r="M71" i="3" s="1"/>
  <c r="K71" i="3" a="1"/>
  <c r="K71" i="3" s="1"/>
  <c r="M70" i="3" a="1"/>
  <c r="M70" i="3" s="1"/>
  <c r="K70" i="3" a="1"/>
  <c r="K70" i="3" s="1"/>
  <c r="M69" i="3" a="1"/>
  <c r="M69" i="3" s="1"/>
  <c r="K69" i="3" a="1"/>
  <c r="K69" i="3" s="1"/>
  <c r="L68" i="3" a="1"/>
  <c r="L68" i="3" s="1"/>
  <c r="K68" i="3" a="1"/>
  <c r="K68" i="3" s="1"/>
  <c r="L67" i="3" a="1"/>
  <c r="L67" i="3" s="1"/>
  <c r="K67" i="3" a="1"/>
  <c r="K67" i="3" s="1"/>
  <c r="L66" i="3" a="1"/>
  <c r="L66" i="3" s="1"/>
  <c r="K66" i="3" a="1"/>
  <c r="K66" i="3" s="1"/>
  <c r="L65" i="3" a="1"/>
  <c r="L65" i="3" s="1"/>
  <c r="K65" i="3" a="1"/>
  <c r="K65" i="3" s="1"/>
  <c r="L64" i="3" a="1"/>
  <c r="L64" i="3" s="1"/>
  <c r="K64" i="3" a="1"/>
  <c r="K64" i="3" s="1"/>
  <c r="P18" i="3" a="1"/>
  <c r="P18" i="3" s="1"/>
  <c r="U39" i="17" s="1"/>
  <c r="H50" i="17" s="1" a="1"/>
  <c r="H50" i="17" s="1"/>
  <c r="G104" i="17" s="1"/>
  <c r="P17" i="3" a="1"/>
  <c r="P17" i="3" s="1"/>
  <c r="U38" i="17" s="1"/>
  <c r="H47" i="17" s="1" a="1"/>
  <c r="H47" i="17" s="1"/>
  <c r="G101" i="17" s="1"/>
  <c r="P16" i="3" a="1"/>
  <c r="P16" i="3" s="1"/>
  <c r="U37" i="17" s="1"/>
  <c r="H44" i="17" s="1" a="1"/>
  <c r="H44" i="17" s="1"/>
  <c r="G98" i="17" s="1"/>
  <c r="P15" i="3" a="1"/>
  <c r="P15" i="3" s="1"/>
  <c r="P14" i="3" a="1"/>
  <c r="P14" i="3" s="1"/>
  <c r="U35" i="17" s="1"/>
  <c r="H38" i="17" s="1" a="1"/>
  <c r="H38" i="17" s="1"/>
  <c r="G92" i="17" s="1"/>
  <c r="P13" i="3" a="1"/>
  <c r="P13" i="3" s="1"/>
  <c r="U34" i="17" s="1"/>
  <c r="H35" i="17" s="1" a="1"/>
  <c r="H35" i="17" s="1"/>
  <c r="G89" i="17" s="1"/>
  <c r="P12" i="3" a="1"/>
  <c r="P12" i="3" s="1"/>
  <c r="P11" i="3" a="1"/>
  <c r="P11" i="3" s="1"/>
  <c r="P10" i="3" a="1"/>
  <c r="P10" i="3" s="1"/>
  <c r="P9" i="3" a="1"/>
  <c r="P9" i="3" s="1"/>
  <c r="U30" i="17" s="1"/>
  <c r="H23" i="17" s="1" a="1"/>
  <c r="H23" i="17" s="1"/>
  <c r="G77" i="17" s="1"/>
  <c r="P8" i="3" a="1"/>
  <c r="P8" i="3" s="1"/>
  <c r="U29" i="17" s="1"/>
  <c r="H20" i="17" s="1" a="1"/>
  <c r="H20" i="17" s="1"/>
  <c r="G74" i="17" s="1"/>
  <c r="P7" i="3" a="1"/>
  <c r="P7" i="3" s="1"/>
  <c r="U28" i="17" s="1"/>
  <c r="H17" i="17" s="1" a="1"/>
  <c r="H17" i="17" s="1"/>
  <c r="G71" i="17" s="1"/>
  <c r="P6" i="3" a="1"/>
  <c r="P6" i="3" s="1"/>
  <c r="U27" i="17" s="1"/>
  <c r="H14" i="17" s="1" a="1"/>
  <c r="H14" i="17" s="1"/>
  <c r="G68" i="17" s="1"/>
  <c r="P5" i="3" a="1"/>
  <c r="P5" i="3" s="1"/>
  <c r="P4" i="3" a="1"/>
  <c r="P4" i="3" s="1"/>
  <c r="U25" i="17" s="1"/>
  <c r="H8" i="17" s="1" a="1"/>
  <c r="H8" i="17" s="1"/>
  <c r="G62" i="17" s="1"/>
  <c r="P3" i="3" a="1"/>
  <c r="P3" i="3" s="1"/>
  <c r="U24" i="17" s="1"/>
  <c r="H5" i="17" s="1" a="1"/>
  <c r="H5" i="17" s="1"/>
  <c r="G59" i="17" s="1"/>
  <c r="K65" i="4" a="1"/>
  <c r="K65" i="4" s="1"/>
  <c r="L65" i="4" a="1"/>
  <c r="L65" i="4" s="1"/>
  <c r="K66" i="4" a="1"/>
  <c r="K66" i="4" s="1"/>
  <c r="L66" i="4" a="1"/>
  <c r="L66" i="4" s="1"/>
  <c r="K67" i="4" a="1"/>
  <c r="K67" i="4" s="1"/>
  <c r="L67" i="4" a="1"/>
  <c r="L67" i="4" s="1"/>
  <c r="K68" i="4" a="1"/>
  <c r="K68" i="4" s="1"/>
  <c r="L68" i="4" a="1"/>
  <c r="L68" i="4" s="1"/>
  <c r="K69" i="4" a="1"/>
  <c r="K69" i="4" s="1"/>
  <c r="M69" i="4" a="1"/>
  <c r="M69" i="4" s="1"/>
  <c r="K70" i="4" a="1"/>
  <c r="K70" i="4" s="1"/>
  <c r="M70" i="4" a="1"/>
  <c r="M70" i="4" s="1"/>
  <c r="K71" i="4" a="1"/>
  <c r="K71" i="4" s="1"/>
  <c r="M71" i="4" a="1"/>
  <c r="M71" i="4" s="1"/>
  <c r="K72" i="4" a="1"/>
  <c r="K72" i="4" s="1"/>
  <c r="M72" i="4" a="1"/>
  <c r="M72" i="4" s="1"/>
  <c r="K73" i="4" a="1"/>
  <c r="K73" i="4" s="1"/>
  <c r="M73" i="4" a="1"/>
  <c r="M73" i="4"/>
  <c r="K74" i="4" a="1"/>
  <c r="K74" i="4" s="1"/>
  <c r="M74" i="4" a="1"/>
  <c r="M74" i="4" s="1"/>
  <c r="K75" i="4" a="1"/>
  <c r="K75" i="4" s="1"/>
  <c r="M75" i="4" a="1"/>
  <c r="M75" i="4" s="1"/>
  <c r="K76" i="4" a="1"/>
  <c r="K76" i="4" s="1"/>
  <c r="M76" i="4" a="1"/>
  <c r="M76" i="4" s="1"/>
  <c r="L77" i="4" a="1"/>
  <c r="L77" i="4" s="1"/>
  <c r="M77" i="4" a="1"/>
  <c r="M77" i="4" s="1"/>
  <c r="L78" i="4" a="1"/>
  <c r="L78" i="4" s="1"/>
  <c r="M78" i="4" a="1"/>
  <c r="M78" i="4" s="1"/>
  <c r="L79" i="4" a="1"/>
  <c r="L79" i="4" s="1"/>
  <c r="M79" i="4" a="1"/>
  <c r="M79" i="4" s="1"/>
  <c r="L64" i="4" a="1"/>
  <c r="L64" i="4" s="1"/>
  <c r="K64" i="4" a="1"/>
  <c r="K64" i="4" s="1"/>
  <c r="K45" i="4" a="1"/>
  <c r="K45" i="4" s="1"/>
  <c r="P4" i="4" a="1"/>
  <c r="P4" i="4" s="1"/>
  <c r="P5" i="4" a="1"/>
  <c r="P5" i="4" s="1"/>
  <c r="P6" i="4" a="1"/>
  <c r="P6" i="4" s="1"/>
  <c r="P7" i="4" a="1"/>
  <c r="P7" i="4" s="1"/>
  <c r="P8" i="4" a="1"/>
  <c r="P8" i="4" s="1"/>
  <c r="P9" i="4" a="1"/>
  <c r="P9" i="4" s="1"/>
  <c r="P10" i="4" a="1"/>
  <c r="P10" i="4" s="1"/>
  <c r="P11" i="4" a="1"/>
  <c r="P11" i="4" s="1"/>
  <c r="P12" i="4" a="1"/>
  <c r="P12" i="4" s="1"/>
  <c r="P13" i="4" a="1"/>
  <c r="P13" i="4" s="1"/>
  <c r="P14" i="4" a="1"/>
  <c r="P14" i="4" s="1"/>
  <c r="P15" i="4" a="1"/>
  <c r="P15" i="4" s="1"/>
  <c r="P16" i="4" a="1"/>
  <c r="P16" i="4" s="1"/>
  <c r="P17" i="4" a="1"/>
  <c r="P17" i="4" s="1"/>
  <c r="P18" i="4" a="1"/>
  <c r="P18" i="4" s="1"/>
  <c r="P3" i="4" a="1"/>
  <c r="P3" i="4" s="1"/>
  <c r="W3" i="4" s="1"/>
  <c r="X4" i="17" s="1"/>
  <c r="K4" i="17" s="1" a="1"/>
  <c r="K4" i="17" s="1"/>
  <c r="O3" i="4" a="1"/>
  <c r="O3" i="4" s="1"/>
  <c r="U52" i="6" l="1"/>
  <c r="H30" i="6" s="1" a="1"/>
  <c r="H30" i="6" s="1"/>
  <c r="G84" i="6" s="1"/>
  <c r="U52" i="17"/>
  <c r="H30" i="17" s="1" a="1"/>
  <c r="H30" i="17" s="1"/>
  <c r="G84" i="17" s="1"/>
  <c r="U53" i="6"/>
  <c r="H33" i="6" s="1" a="1"/>
  <c r="H33" i="6" s="1"/>
  <c r="G87" i="6" s="1"/>
  <c r="U53" i="17"/>
  <c r="H33" i="17" s="1" a="1"/>
  <c r="H33" i="17" s="1"/>
  <c r="G87" i="17" s="1"/>
  <c r="U54" i="6"/>
  <c r="H36" i="6" s="1" a="1"/>
  <c r="H36" i="6" s="1"/>
  <c r="G90" i="6" s="1"/>
  <c r="U54" i="17"/>
  <c r="H36" i="17" s="1" a="1"/>
  <c r="H36" i="17" s="1"/>
  <c r="G90" i="17" s="1"/>
  <c r="U47" i="6"/>
  <c r="H15" i="6" s="1" a="1"/>
  <c r="H15" i="6" s="1"/>
  <c r="G69" i="6" s="1"/>
  <c r="U47" i="17"/>
  <c r="H15" i="17" s="1" a="1"/>
  <c r="H15" i="17" s="1"/>
  <c r="G69" i="17" s="1"/>
  <c r="U57" i="6"/>
  <c r="H45" i="6" s="1" a="1"/>
  <c r="H45" i="6" s="1"/>
  <c r="G99" i="6" s="1"/>
  <c r="U57" i="17"/>
  <c r="H45" i="17" s="1" a="1"/>
  <c r="H45" i="17" s="1"/>
  <c r="G99" i="17" s="1"/>
  <c r="U32" i="6"/>
  <c r="H29" i="6" s="1" a="1"/>
  <c r="H29" i="6" s="1"/>
  <c r="G83" i="6" s="1"/>
  <c r="U32" i="17"/>
  <c r="H29" i="17" s="1" a="1"/>
  <c r="H29" i="17" s="1"/>
  <c r="G83" i="17" s="1"/>
  <c r="U33" i="6"/>
  <c r="H32" i="6" s="1" a="1"/>
  <c r="H32" i="6" s="1"/>
  <c r="G86" i="6" s="1"/>
  <c r="U33" i="17"/>
  <c r="H32" i="17" s="1" a="1"/>
  <c r="H32" i="17" s="1"/>
  <c r="G86" i="17" s="1"/>
  <c r="U31" i="6"/>
  <c r="H26" i="6" s="1" a="1"/>
  <c r="H26" i="6" s="1"/>
  <c r="G80" i="6" s="1"/>
  <c r="U31" i="17"/>
  <c r="H26" i="17" s="1" a="1"/>
  <c r="H26" i="17" s="1"/>
  <c r="G80" i="17" s="1"/>
  <c r="U26" i="6"/>
  <c r="H11" i="6" s="1" a="1"/>
  <c r="H11" i="6" s="1"/>
  <c r="G65" i="6" s="1"/>
  <c r="U26" i="17"/>
  <c r="H11" i="17" s="1" a="1"/>
  <c r="H11" i="17" s="1"/>
  <c r="G65" i="17" s="1"/>
  <c r="U36" i="6"/>
  <c r="H41" i="6" s="1" a="1"/>
  <c r="H41" i="6" s="1"/>
  <c r="G95" i="6" s="1"/>
  <c r="U36" i="17"/>
  <c r="H41" i="17" s="1" a="1"/>
  <c r="H41" i="17" s="1"/>
  <c r="G95" i="17" s="1"/>
  <c r="U26" i="4"/>
  <c r="V3" i="4"/>
  <c r="W4" i="17" s="1"/>
  <c r="Y26" i="4"/>
  <c r="AB4" i="17" s="1"/>
  <c r="Z26" i="4"/>
  <c r="AC4" i="17" s="1"/>
  <c r="V26" i="4"/>
  <c r="U4" i="17"/>
  <c r="H4" i="17" s="1" a="1"/>
  <c r="H4" i="17" s="1"/>
  <c r="G58" i="17" s="1"/>
  <c r="U10" i="17"/>
  <c r="H22" i="17" s="1" a="1"/>
  <c r="H22" i="17" s="1"/>
  <c r="G76" i="17" s="1"/>
  <c r="U19" i="17"/>
  <c r="H49" i="17" s="1" a="1"/>
  <c r="H49" i="17" s="1"/>
  <c r="G103" i="17" s="1"/>
  <c r="U18" i="17"/>
  <c r="H46" i="17" s="1" a="1"/>
  <c r="H46" i="17" s="1"/>
  <c r="G100" i="17" s="1"/>
  <c r="U7" i="17"/>
  <c r="H13" i="17" s="1" a="1"/>
  <c r="H13" i="17" s="1"/>
  <c r="G67" i="17" s="1"/>
  <c r="U9" i="17"/>
  <c r="H19" i="17" s="1" a="1"/>
  <c r="H19" i="17" s="1"/>
  <c r="G73" i="17" s="1"/>
  <c r="U8" i="17"/>
  <c r="H16" i="17" s="1" a="1"/>
  <c r="H16" i="17" s="1"/>
  <c r="G70" i="17" s="1"/>
  <c r="U16" i="17"/>
  <c r="H40" i="17" s="1" a="1"/>
  <c r="H40" i="17" s="1"/>
  <c r="G94" i="17" s="1"/>
  <c r="U6" i="17"/>
  <c r="H10" i="17" s="1" a="1"/>
  <c r="H10" i="17" s="1"/>
  <c r="G64" i="17" s="1"/>
  <c r="U5" i="17"/>
  <c r="H7" i="17" s="1" a="1"/>
  <c r="H7" i="17" s="1"/>
  <c r="G61" i="17" s="1"/>
  <c r="U15" i="17"/>
  <c r="H37" i="17" s="1" a="1"/>
  <c r="H37" i="17" s="1"/>
  <c r="G91" i="17" s="1"/>
  <c r="U13" i="17"/>
  <c r="H31" i="17" s="1" a="1"/>
  <c r="H31" i="17" s="1"/>
  <c r="G85" i="17" s="1"/>
  <c r="U14" i="17"/>
  <c r="H34" i="17" s="1" a="1"/>
  <c r="H34" i="17" s="1"/>
  <c r="G88" i="17" s="1"/>
  <c r="U12" i="17"/>
  <c r="H28" i="17" s="1" a="1"/>
  <c r="H28" i="17" s="1"/>
  <c r="G82" i="17" s="1"/>
  <c r="U17" i="17"/>
  <c r="H43" i="17" s="1" a="1"/>
  <c r="H43" i="17" s="1"/>
  <c r="G97" i="17" s="1"/>
  <c r="T4" i="17"/>
  <c r="E4" i="17" s="1" a="1"/>
  <c r="E4" i="17" s="1"/>
  <c r="D58" i="17" s="1"/>
  <c r="U11" i="17"/>
  <c r="H25" i="17" s="1" a="1"/>
  <c r="H25" i="17" s="1"/>
  <c r="G79" i="17" s="1"/>
  <c r="U56" i="6"/>
  <c r="H42" i="6" s="1" a="1"/>
  <c r="H42" i="6" s="1"/>
  <c r="G96" i="6" s="1"/>
  <c r="U46" i="6"/>
  <c r="H12" i="6" s="1" a="1"/>
  <c r="H12" i="6" s="1"/>
  <c r="G66" i="6" s="1"/>
  <c r="U55" i="6"/>
  <c r="H39" i="6" s="1" a="1"/>
  <c r="H39" i="6" s="1"/>
  <c r="G93" i="6" s="1"/>
  <c r="U45" i="6"/>
  <c r="H9" i="6" s="1" a="1"/>
  <c r="H9" i="6" s="1"/>
  <c r="G63" i="6" s="1"/>
  <c r="U51" i="6"/>
  <c r="H27" i="6" s="1" a="1"/>
  <c r="H27" i="6" s="1"/>
  <c r="G81" i="6" s="1"/>
  <c r="U44" i="6"/>
  <c r="H6" i="6" s="1" a="1"/>
  <c r="H6" i="6" s="1"/>
  <c r="G60" i="6" s="1"/>
  <c r="U50" i="6"/>
  <c r="H24" i="6" s="1" a="1"/>
  <c r="H24" i="6" s="1"/>
  <c r="G78" i="6" s="1"/>
  <c r="U59" i="6"/>
  <c r="H51" i="6" s="1" a="1"/>
  <c r="H51" i="6" s="1"/>
  <c r="G105" i="6" s="1"/>
  <c r="U49" i="6"/>
  <c r="H21" i="6" s="1" a="1"/>
  <c r="H21" i="6" s="1"/>
  <c r="G75" i="6" s="1"/>
  <c r="U24" i="6"/>
  <c r="H5" i="6" s="1" a="1"/>
  <c r="H5" i="6" s="1"/>
  <c r="G59" i="6" s="1"/>
  <c r="U30" i="6"/>
  <c r="H23" i="6" s="1" a="1"/>
  <c r="H23" i="6" s="1"/>
  <c r="G77" i="6" s="1"/>
  <c r="U35" i="6"/>
  <c r="H38" i="6" s="1" a="1"/>
  <c r="H38" i="6" s="1"/>
  <c r="G92" i="6" s="1"/>
  <c r="U25" i="6"/>
  <c r="H8" i="6" s="1" a="1"/>
  <c r="H8" i="6" s="1"/>
  <c r="G62" i="6" s="1"/>
  <c r="U39" i="6"/>
  <c r="H50" i="6" s="1" a="1"/>
  <c r="H50" i="6" s="1"/>
  <c r="G104" i="6" s="1"/>
  <c r="U29" i="6"/>
  <c r="H20" i="6" s="1" a="1"/>
  <c r="H20" i="6" s="1"/>
  <c r="G74" i="6" s="1"/>
  <c r="U38" i="6"/>
  <c r="H47" i="6" s="1" a="1"/>
  <c r="H47" i="6" s="1"/>
  <c r="G101" i="6" s="1"/>
  <c r="U28" i="6"/>
  <c r="H17" i="6" s="1" a="1"/>
  <c r="H17" i="6" s="1"/>
  <c r="G71" i="6" s="1"/>
  <c r="U34" i="6"/>
  <c r="H35" i="6" s="1" a="1"/>
  <c r="H35" i="6" s="1"/>
  <c r="G89" i="6" s="1"/>
  <c r="U37" i="6"/>
  <c r="H44" i="6" s="1" a="1"/>
  <c r="H44" i="6" s="1"/>
  <c r="G98" i="6" s="1"/>
  <c r="U27" i="6"/>
  <c r="H14" i="6" s="1" a="1"/>
  <c r="H14" i="6" s="1"/>
  <c r="G68" i="6" s="1"/>
  <c r="U18" i="6"/>
  <c r="H46" i="6" s="1" a="1"/>
  <c r="H46" i="6" s="1"/>
  <c r="G100" i="6" s="1"/>
  <c r="U8" i="6"/>
  <c r="H16" i="6" s="1" a="1"/>
  <c r="H16" i="6" s="1"/>
  <c r="G70" i="6" s="1"/>
  <c r="U10" i="6"/>
  <c r="H22" i="6" s="1" a="1"/>
  <c r="H22" i="6" s="1"/>
  <c r="G76" i="6" s="1"/>
  <c r="U19" i="6"/>
  <c r="H49" i="6" s="1" a="1"/>
  <c r="H49" i="6" s="1"/>
  <c r="G103" i="6" s="1"/>
  <c r="U17" i="6"/>
  <c r="H43" i="6" s="1" a="1"/>
  <c r="H43" i="6" s="1"/>
  <c r="G97" i="6" s="1"/>
  <c r="U16" i="6"/>
  <c r="H40" i="6" s="1" a="1"/>
  <c r="H40" i="6" s="1"/>
  <c r="G94" i="6" s="1"/>
  <c r="U6" i="6"/>
  <c r="H10" i="6" s="1" a="1"/>
  <c r="H10" i="6" s="1"/>
  <c r="G64" i="6" s="1"/>
  <c r="U9" i="6"/>
  <c r="H19" i="6" s="1" a="1"/>
  <c r="H19" i="6" s="1"/>
  <c r="G73" i="6" s="1"/>
  <c r="U7" i="6"/>
  <c r="H13" i="6" s="1" a="1"/>
  <c r="H13" i="6" s="1"/>
  <c r="G67" i="6" s="1"/>
  <c r="U15" i="6"/>
  <c r="H37" i="6" s="1" a="1"/>
  <c r="H37" i="6" s="1"/>
  <c r="G91" i="6" s="1"/>
  <c r="U5" i="6"/>
  <c r="H7" i="6" s="1" a="1"/>
  <c r="H7" i="6" s="1"/>
  <c r="G61" i="6" s="1"/>
  <c r="U14" i="6"/>
  <c r="H34" i="6" s="1" a="1"/>
  <c r="H34" i="6" s="1"/>
  <c r="G88" i="6" s="1"/>
  <c r="U13" i="6"/>
  <c r="H31" i="6" s="1" a="1"/>
  <c r="H31" i="6" s="1"/>
  <c r="G85" i="6" s="1"/>
  <c r="U12" i="6"/>
  <c r="H28" i="6" s="1" a="1"/>
  <c r="H28" i="6" s="1"/>
  <c r="G82" i="6" s="1"/>
  <c r="U11" i="6"/>
  <c r="H25" i="6" s="1" a="1"/>
  <c r="H25" i="6" s="1"/>
  <c r="G79" i="6" s="1"/>
  <c r="U4" i="6"/>
  <c r="H4" i="6" s="1" a="1"/>
  <c r="H4" i="6" s="1"/>
  <c r="G58" i="6" s="1"/>
  <c r="AB4" i="6" l="1"/>
  <c r="M4" i="6" s="1" a="1"/>
  <c r="M4" i="6" s="1"/>
  <c r="M4" i="17" a="1"/>
  <c r="M4" i="17" s="1"/>
  <c r="AC4" i="6"/>
  <c r="N4" i="6" s="1" a="1"/>
  <c r="N4" i="6" s="1"/>
  <c r="N4" i="17" a="1"/>
  <c r="N4" i="17" s="1"/>
  <c r="J58" i="17" s="1"/>
  <c r="E3" i="18" s="1"/>
  <c r="B105" i="6" l="1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D49" i="6" a="1"/>
  <c r="D49" i="6" s="1"/>
  <c r="C103" i="6" s="1"/>
  <c r="D46" i="6" a="1"/>
  <c r="D46" i="6" s="1"/>
  <c r="C100" i="6" s="1"/>
  <c r="D43" i="6" a="1"/>
  <c r="D43" i="6" s="1"/>
  <c r="C97" i="6" s="1"/>
  <c r="D40" i="6" a="1"/>
  <c r="D40" i="6" s="1"/>
  <c r="C94" i="6" s="1"/>
  <c r="D37" i="6" a="1"/>
  <c r="D37" i="6" s="1"/>
  <c r="C91" i="6" s="1"/>
  <c r="D34" i="6" a="1"/>
  <c r="D34" i="6" s="1"/>
  <c r="C88" i="6" s="1"/>
  <c r="D31" i="6" a="1"/>
  <c r="D31" i="6" s="1"/>
  <c r="C85" i="6" s="1"/>
  <c r="D28" i="6" a="1"/>
  <c r="D28" i="6" s="1"/>
  <c r="C82" i="6" s="1"/>
  <c r="D25" i="6" a="1"/>
  <c r="D25" i="6" s="1"/>
  <c r="C79" i="6" s="1"/>
  <c r="D22" i="6" a="1"/>
  <c r="D22" i="6" s="1"/>
  <c r="C76" i="6" s="1"/>
  <c r="D19" i="6" a="1"/>
  <c r="D19" i="6" s="1"/>
  <c r="C73" i="6" s="1"/>
  <c r="D16" i="6" a="1"/>
  <c r="D16" i="6" s="1"/>
  <c r="C70" i="6" s="1"/>
  <c r="D13" i="6" a="1"/>
  <c r="D13" i="6" s="1"/>
  <c r="C67" i="6" s="1"/>
  <c r="D10" i="6" a="1"/>
  <c r="D10" i="6" s="1"/>
  <c r="C64" i="6" s="1"/>
  <c r="D7" i="6" a="1"/>
  <c r="D7" i="6" s="1"/>
  <c r="C61" i="6" s="1"/>
  <c r="D4" i="6" a="1"/>
  <c r="D4" i="6" s="1"/>
  <c r="C58" i="6" s="1"/>
  <c r="M60" i="4" a="1"/>
  <c r="M60" i="4" s="1"/>
  <c r="L60" i="4" a="1"/>
  <c r="L60" i="4" s="1"/>
  <c r="M59" i="4" a="1"/>
  <c r="M59" i="4" s="1"/>
  <c r="L59" i="4" a="1"/>
  <c r="L59" i="4" s="1"/>
  <c r="M58" i="4" a="1"/>
  <c r="M58" i="4" s="1"/>
  <c r="L58" i="4" a="1"/>
  <c r="L58" i="4" s="1"/>
  <c r="M57" i="4" a="1"/>
  <c r="M57" i="4" s="1"/>
  <c r="K57" i="4" a="1"/>
  <c r="K57" i="4" s="1"/>
  <c r="M56" i="4" a="1"/>
  <c r="M56" i="4" s="1"/>
  <c r="K56" i="4" a="1"/>
  <c r="K56" i="4" s="1"/>
  <c r="M55" i="4" a="1"/>
  <c r="M55" i="4" s="1"/>
  <c r="K55" i="4" a="1"/>
  <c r="K55" i="4" s="1"/>
  <c r="M54" i="4" a="1"/>
  <c r="M54" i="4" s="1"/>
  <c r="K54" i="4" a="1"/>
  <c r="K54" i="4" s="1"/>
  <c r="M53" i="4" a="1"/>
  <c r="M53" i="4" s="1"/>
  <c r="K53" i="4" a="1"/>
  <c r="K53" i="4" s="1"/>
  <c r="M52" i="4" a="1"/>
  <c r="M52" i="4" s="1"/>
  <c r="K52" i="4" a="1"/>
  <c r="K52" i="4" s="1"/>
  <c r="M51" i="4" a="1"/>
  <c r="M51" i="4" s="1"/>
  <c r="K51" i="4" a="1"/>
  <c r="K51" i="4" s="1"/>
  <c r="M50" i="4" a="1"/>
  <c r="M50" i="4" s="1"/>
  <c r="K50" i="4" a="1"/>
  <c r="K50" i="4" s="1"/>
  <c r="L49" i="4" a="1"/>
  <c r="L49" i="4" s="1"/>
  <c r="K49" i="4" a="1"/>
  <c r="K49" i="4" s="1"/>
  <c r="L48" i="4" a="1"/>
  <c r="L48" i="4" s="1"/>
  <c r="K48" i="4" a="1"/>
  <c r="K48" i="4" s="1"/>
  <c r="L47" i="4" a="1"/>
  <c r="L47" i="4" s="1"/>
  <c r="K47" i="4" a="1"/>
  <c r="K47" i="4" s="1"/>
  <c r="L46" i="4" a="1"/>
  <c r="L46" i="4" s="1"/>
  <c r="K46" i="4" a="1"/>
  <c r="K46" i="4" s="1"/>
  <c r="L45" i="4" a="1"/>
  <c r="L45" i="4" s="1"/>
  <c r="M41" i="4" a="1"/>
  <c r="M41" i="4" s="1"/>
  <c r="L41" i="4" a="1"/>
  <c r="L41" i="4" s="1"/>
  <c r="M40" i="4" a="1"/>
  <c r="M40" i="4" s="1"/>
  <c r="L40" i="4" a="1"/>
  <c r="L40" i="4" s="1"/>
  <c r="M39" i="4" a="1"/>
  <c r="M39" i="4" s="1"/>
  <c r="L39" i="4" a="1"/>
  <c r="L39" i="4" s="1"/>
  <c r="M38" i="4" a="1"/>
  <c r="M38" i="4" s="1"/>
  <c r="K38" i="4" a="1"/>
  <c r="K38" i="4" s="1"/>
  <c r="M37" i="4" a="1"/>
  <c r="M37" i="4" s="1"/>
  <c r="K37" i="4" a="1"/>
  <c r="K37" i="4" s="1"/>
  <c r="M36" i="4" a="1"/>
  <c r="M36" i="4" s="1"/>
  <c r="K36" i="4" a="1"/>
  <c r="K36" i="4" s="1"/>
  <c r="M35" i="4" a="1"/>
  <c r="M35" i="4" s="1"/>
  <c r="K35" i="4" a="1"/>
  <c r="K35" i="4" s="1"/>
  <c r="M34" i="4" a="1"/>
  <c r="M34" i="4" s="1"/>
  <c r="K34" i="4" a="1"/>
  <c r="K34" i="4" s="1"/>
  <c r="M33" i="4" a="1"/>
  <c r="M33" i="4" s="1"/>
  <c r="K33" i="4" a="1"/>
  <c r="K33" i="4" s="1"/>
  <c r="M32" i="4" a="1"/>
  <c r="M32" i="4" s="1"/>
  <c r="K32" i="4" a="1"/>
  <c r="K32" i="4" s="1"/>
  <c r="M31" i="4" a="1"/>
  <c r="M31" i="4" s="1"/>
  <c r="K31" i="4" a="1"/>
  <c r="K31" i="4" s="1"/>
  <c r="L30" i="4" a="1"/>
  <c r="L30" i="4" s="1"/>
  <c r="K30" i="4" a="1"/>
  <c r="K30" i="4" s="1"/>
  <c r="L29" i="4" a="1"/>
  <c r="L29" i="4" s="1"/>
  <c r="K29" i="4" a="1"/>
  <c r="K29" i="4" s="1"/>
  <c r="L28" i="4" a="1"/>
  <c r="L28" i="4" s="1"/>
  <c r="K28" i="4" a="1"/>
  <c r="K28" i="4" s="1"/>
  <c r="L27" i="4" a="1"/>
  <c r="L27" i="4" s="1"/>
  <c r="K27" i="4" a="1"/>
  <c r="K27" i="4" s="1"/>
  <c r="L26" i="4" a="1"/>
  <c r="L26" i="4" s="1"/>
  <c r="K26" i="4" a="1"/>
  <c r="K26" i="4" s="1"/>
  <c r="O18" i="4" a="1"/>
  <c r="O18" i="4" s="1"/>
  <c r="N18" i="4" a="1"/>
  <c r="N18" i="4" s="1"/>
  <c r="M18" i="4" a="1"/>
  <c r="M18" i="4" s="1"/>
  <c r="O17" i="4" a="1"/>
  <c r="O17" i="4" s="1"/>
  <c r="N17" i="4" a="1"/>
  <c r="N17" i="4" s="1"/>
  <c r="M17" i="4" a="1"/>
  <c r="M17" i="4" s="1"/>
  <c r="O16" i="4" a="1"/>
  <c r="O16" i="4" s="1"/>
  <c r="N16" i="4" a="1"/>
  <c r="N16" i="4" s="1"/>
  <c r="M16" i="4" a="1"/>
  <c r="M16" i="4" s="1"/>
  <c r="O15" i="4" a="1"/>
  <c r="O15" i="4" s="1"/>
  <c r="N15" i="4" a="1"/>
  <c r="N15" i="4" s="1"/>
  <c r="M15" i="4" a="1"/>
  <c r="M15" i="4" s="1"/>
  <c r="O14" i="4" a="1"/>
  <c r="O14" i="4" s="1"/>
  <c r="N14" i="4" a="1"/>
  <c r="N14" i="4" s="1"/>
  <c r="M14" i="4" a="1"/>
  <c r="M14" i="4" s="1"/>
  <c r="O13" i="4" a="1"/>
  <c r="O13" i="4" s="1"/>
  <c r="N13" i="4" a="1"/>
  <c r="N13" i="4" s="1"/>
  <c r="M13" i="4" a="1"/>
  <c r="M13" i="4" s="1"/>
  <c r="O12" i="4" a="1"/>
  <c r="O12" i="4" s="1"/>
  <c r="N12" i="4" a="1"/>
  <c r="N12" i="4" s="1"/>
  <c r="M12" i="4" a="1"/>
  <c r="M12" i="4" s="1"/>
  <c r="O11" i="4" a="1"/>
  <c r="O11" i="4" s="1"/>
  <c r="N11" i="4" a="1"/>
  <c r="N11" i="4" s="1"/>
  <c r="M11" i="4" a="1"/>
  <c r="M11" i="4" s="1"/>
  <c r="O10" i="4" a="1"/>
  <c r="O10" i="4" s="1"/>
  <c r="N10" i="4" a="1"/>
  <c r="N10" i="4" s="1"/>
  <c r="M10" i="4" a="1"/>
  <c r="M10" i="4" s="1"/>
  <c r="O9" i="4" a="1"/>
  <c r="O9" i="4" s="1"/>
  <c r="N9" i="4" a="1"/>
  <c r="N9" i="4" s="1"/>
  <c r="M9" i="4" a="1"/>
  <c r="M9" i="4" s="1"/>
  <c r="O8" i="4" a="1"/>
  <c r="O8" i="4" s="1"/>
  <c r="N8" i="4" a="1"/>
  <c r="N8" i="4" s="1"/>
  <c r="M8" i="4" a="1"/>
  <c r="M8" i="4" s="1"/>
  <c r="O7" i="4" a="1"/>
  <c r="O7" i="4" s="1"/>
  <c r="N7" i="4" a="1"/>
  <c r="N7" i="4" s="1"/>
  <c r="M7" i="4" a="1"/>
  <c r="M7" i="4" s="1"/>
  <c r="O6" i="4" a="1"/>
  <c r="O6" i="4" s="1"/>
  <c r="N6" i="4" a="1"/>
  <c r="N6" i="4" s="1"/>
  <c r="M6" i="4" a="1"/>
  <c r="M6" i="4" s="1"/>
  <c r="O5" i="4" a="1"/>
  <c r="O5" i="4" s="1"/>
  <c r="N5" i="4" a="1"/>
  <c r="N5" i="4" s="1"/>
  <c r="M5" i="4" a="1"/>
  <c r="M5" i="4" s="1"/>
  <c r="O4" i="4" a="1"/>
  <c r="O4" i="4" s="1"/>
  <c r="N4" i="4" a="1"/>
  <c r="N4" i="4" s="1"/>
  <c r="M4" i="4" a="1"/>
  <c r="M4" i="4" s="1"/>
  <c r="N3" i="4" a="1"/>
  <c r="N3" i="4" s="1"/>
  <c r="M60" i="3" a="1"/>
  <c r="M60" i="3" s="1"/>
  <c r="L60" i="3" a="1"/>
  <c r="L60" i="3" s="1"/>
  <c r="M59" i="3" a="1"/>
  <c r="M59" i="3" s="1"/>
  <c r="L59" i="3" a="1"/>
  <c r="L59" i="3" s="1"/>
  <c r="M58" i="3" a="1"/>
  <c r="M58" i="3" s="1"/>
  <c r="L58" i="3" a="1"/>
  <c r="L58" i="3" s="1"/>
  <c r="M57" i="3" a="1"/>
  <c r="M57" i="3" s="1"/>
  <c r="K57" i="3" a="1"/>
  <c r="K57" i="3" s="1"/>
  <c r="M56" i="3" a="1"/>
  <c r="M56" i="3" s="1"/>
  <c r="K56" i="3" a="1"/>
  <c r="K56" i="3" s="1"/>
  <c r="M55" i="3" a="1"/>
  <c r="M55" i="3" s="1"/>
  <c r="K55" i="3" a="1"/>
  <c r="K55" i="3" s="1"/>
  <c r="M54" i="3" a="1"/>
  <c r="M54" i="3" s="1"/>
  <c r="K54" i="3" a="1"/>
  <c r="K54" i="3" s="1"/>
  <c r="M53" i="3" a="1"/>
  <c r="M53" i="3" s="1"/>
  <c r="K53" i="3" a="1"/>
  <c r="K53" i="3" s="1"/>
  <c r="M52" i="3" a="1"/>
  <c r="M52" i="3" s="1"/>
  <c r="K52" i="3" a="1"/>
  <c r="K52" i="3" s="1"/>
  <c r="M51" i="3" a="1"/>
  <c r="M51" i="3" s="1"/>
  <c r="K51" i="3" a="1"/>
  <c r="K51" i="3" s="1"/>
  <c r="M50" i="3" a="1"/>
  <c r="M50" i="3" s="1"/>
  <c r="K50" i="3" a="1"/>
  <c r="K50" i="3" s="1"/>
  <c r="L49" i="3" a="1"/>
  <c r="L49" i="3" s="1"/>
  <c r="K49" i="3" a="1"/>
  <c r="K49" i="3" s="1"/>
  <c r="L48" i="3" a="1"/>
  <c r="L48" i="3" s="1"/>
  <c r="K48" i="3" a="1"/>
  <c r="K48" i="3" s="1"/>
  <c r="L47" i="3" a="1"/>
  <c r="L47" i="3" s="1"/>
  <c r="K47" i="3" a="1"/>
  <c r="K47" i="3" s="1"/>
  <c r="L46" i="3" a="1"/>
  <c r="L46" i="3" s="1"/>
  <c r="K46" i="3" a="1"/>
  <c r="K46" i="3" s="1"/>
  <c r="L45" i="3" a="1"/>
  <c r="L45" i="3" s="1"/>
  <c r="K45" i="3" a="1"/>
  <c r="K45" i="3" s="1"/>
  <c r="M41" i="3" a="1"/>
  <c r="M41" i="3" s="1"/>
  <c r="L41" i="3" a="1"/>
  <c r="L41" i="3" s="1"/>
  <c r="M40" i="3" a="1"/>
  <c r="M40" i="3" s="1"/>
  <c r="L40" i="3" a="1"/>
  <c r="L40" i="3" s="1"/>
  <c r="M39" i="3" a="1"/>
  <c r="M39" i="3" s="1"/>
  <c r="L39" i="3" a="1"/>
  <c r="L39" i="3" s="1"/>
  <c r="M38" i="3" a="1"/>
  <c r="M38" i="3" s="1"/>
  <c r="K38" i="3" a="1"/>
  <c r="K38" i="3" s="1"/>
  <c r="M37" i="3" a="1"/>
  <c r="M37" i="3" s="1"/>
  <c r="K37" i="3" a="1"/>
  <c r="K37" i="3" s="1"/>
  <c r="M36" i="3" a="1"/>
  <c r="M36" i="3" s="1"/>
  <c r="K36" i="3" a="1"/>
  <c r="K36" i="3" s="1"/>
  <c r="M35" i="3" a="1"/>
  <c r="M35" i="3" s="1"/>
  <c r="K35" i="3" a="1"/>
  <c r="K35" i="3" s="1"/>
  <c r="M34" i="3" a="1"/>
  <c r="M34" i="3" s="1"/>
  <c r="K34" i="3" a="1"/>
  <c r="K34" i="3" s="1"/>
  <c r="M33" i="3" a="1"/>
  <c r="M33" i="3" s="1"/>
  <c r="K33" i="3" a="1"/>
  <c r="K33" i="3" s="1"/>
  <c r="M32" i="3" a="1"/>
  <c r="M32" i="3" s="1"/>
  <c r="K32" i="3" a="1"/>
  <c r="K32" i="3" s="1"/>
  <c r="M31" i="3" a="1"/>
  <c r="M31" i="3" s="1"/>
  <c r="K31" i="3" a="1"/>
  <c r="K31" i="3" s="1"/>
  <c r="L30" i="3" a="1"/>
  <c r="L30" i="3" s="1"/>
  <c r="K30" i="3" a="1"/>
  <c r="K30" i="3" s="1"/>
  <c r="L29" i="3" a="1"/>
  <c r="L29" i="3" s="1"/>
  <c r="K29" i="3" a="1"/>
  <c r="K29" i="3" s="1"/>
  <c r="L28" i="3" a="1"/>
  <c r="L28" i="3" s="1"/>
  <c r="K28" i="3" a="1"/>
  <c r="K28" i="3" s="1"/>
  <c r="L27" i="3" a="1"/>
  <c r="L27" i="3" s="1"/>
  <c r="K27" i="3" a="1"/>
  <c r="K27" i="3" s="1"/>
  <c r="L26" i="3" a="1"/>
  <c r="L26" i="3" s="1"/>
  <c r="K26" i="3" a="1"/>
  <c r="K26" i="3" s="1"/>
  <c r="O18" i="3" a="1"/>
  <c r="O18" i="3" s="1"/>
  <c r="N18" i="3" a="1"/>
  <c r="N18" i="3" s="1"/>
  <c r="M18" i="3" a="1"/>
  <c r="M18" i="3" s="1"/>
  <c r="O17" i="3" a="1"/>
  <c r="O17" i="3" s="1"/>
  <c r="N17" i="3" a="1"/>
  <c r="N17" i="3" s="1"/>
  <c r="M17" i="3" a="1"/>
  <c r="M17" i="3" s="1"/>
  <c r="O16" i="3" a="1"/>
  <c r="O16" i="3" s="1"/>
  <c r="N16" i="3" a="1"/>
  <c r="N16" i="3" s="1"/>
  <c r="M16" i="3" a="1"/>
  <c r="M16" i="3" s="1"/>
  <c r="O15" i="3" a="1"/>
  <c r="O15" i="3" s="1"/>
  <c r="N15" i="3" a="1"/>
  <c r="N15" i="3" s="1"/>
  <c r="M15" i="3" a="1"/>
  <c r="M15" i="3" s="1"/>
  <c r="O14" i="3" a="1"/>
  <c r="O14" i="3" s="1"/>
  <c r="N14" i="3" a="1"/>
  <c r="N14" i="3" s="1"/>
  <c r="M14" i="3" a="1"/>
  <c r="M14" i="3" s="1"/>
  <c r="O13" i="3" a="1"/>
  <c r="O13" i="3" s="1"/>
  <c r="N13" i="3" a="1"/>
  <c r="N13" i="3" s="1"/>
  <c r="M13" i="3" a="1"/>
  <c r="M13" i="3" s="1"/>
  <c r="O12" i="3" a="1"/>
  <c r="O12" i="3" s="1"/>
  <c r="N12" i="3" a="1"/>
  <c r="N12" i="3" s="1"/>
  <c r="M12" i="3" a="1"/>
  <c r="M12" i="3" s="1"/>
  <c r="O11" i="3" a="1"/>
  <c r="O11" i="3" s="1"/>
  <c r="N11" i="3" a="1"/>
  <c r="N11" i="3" s="1"/>
  <c r="M11" i="3" a="1"/>
  <c r="M11" i="3" s="1"/>
  <c r="O10" i="3" a="1"/>
  <c r="O10" i="3" s="1"/>
  <c r="N10" i="3" a="1"/>
  <c r="N10" i="3" s="1"/>
  <c r="M10" i="3" a="1"/>
  <c r="M10" i="3" s="1"/>
  <c r="O9" i="3" a="1"/>
  <c r="O9" i="3" s="1"/>
  <c r="N9" i="3" a="1"/>
  <c r="N9" i="3" s="1"/>
  <c r="M9" i="3" a="1"/>
  <c r="M9" i="3" s="1"/>
  <c r="O8" i="3" a="1"/>
  <c r="O8" i="3" s="1"/>
  <c r="N8" i="3" a="1"/>
  <c r="N8" i="3" s="1"/>
  <c r="M8" i="3" a="1"/>
  <c r="M8" i="3" s="1"/>
  <c r="O7" i="3" a="1"/>
  <c r="O7" i="3" s="1"/>
  <c r="N7" i="3" a="1"/>
  <c r="N7" i="3" s="1"/>
  <c r="M7" i="3" a="1"/>
  <c r="M7" i="3" s="1"/>
  <c r="O6" i="3" a="1"/>
  <c r="O6" i="3" s="1"/>
  <c r="N6" i="3" a="1"/>
  <c r="N6" i="3" s="1"/>
  <c r="M6" i="3" a="1"/>
  <c r="M6" i="3" s="1"/>
  <c r="O5" i="3" a="1"/>
  <c r="O5" i="3" s="1"/>
  <c r="N5" i="3" a="1"/>
  <c r="N5" i="3" s="1"/>
  <c r="M5" i="3" a="1"/>
  <c r="M5" i="3" s="1"/>
  <c r="O4" i="3" a="1"/>
  <c r="O4" i="3" s="1"/>
  <c r="N4" i="3" a="1"/>
  <c r="N4" i="3" s="1"/>
  <c r="M4" i="3" a="1"/>
  <c r="M4" i="3" s="1"/>
  <c r="O3" i="3" a="1"/>
  <c r="O3" i="3" s="1"/>
  <c r="N3" i="3" a="1"/>
  <c r="N3" i="3" s="1"/>
  <c r="M3" i="3" a="1"/>
  <c r="M3" i="3" s="1"/>
  <c r="M60" i="2" a="1"/>
  <c r="M60" i="2" s="1"/>
  <c r="L60" i="2" a="1"/>
  <c r="L60" i="2" s="1"/>
  <c r="M59" i="2" a="1"/>
  <c r="M59" i="2" s="1"/>
  <c r="L59" i="2" a="1"/>
  <c r="L59" i="2" s="1"/>
  <c r="M58" i="2" a="1"/>
  <c r="M58" i="2" s="1"/>
  <c r="L58" i="2" a="1"/>
  <c r="L58" i="2" s="1"/>
  <c r="M57" i="2" a="1"/>
  <c r="M57" i="2" s="1"/>
  <c r="K57" i="2" a="1"/>
  <c r="K57" i="2" s="1"/>
  <c r="M56" i="2" a="1"/>
  <c r="M56" i="2" s="1"/>
  <c r="K56" i="2" a="1"/>
  <c r="K56" i="2" s="1"/>
  <c r="M55" i="2" a="1"/>
  <c r="M55" i="2" s="1"/>
  <c r="K55" i="2" a="1"/>
  <c r="K55" i="2" s="1"/>
  <c r="M54" i="2" a="1"/>
  <c r="M54" i="2" s="1"/>
  <c r="K54" i="2" a="1"/>
  <c r="K54" i="2" s="1"/>
  <c r="M53" i="2" a="1"/>
  <c r="M53" i="2" s="1"/>
  <c r="K53" i="2" a="1"/>
  <c r="K53" i="2" s="1"/>
  <c r="M52" i="2" a="1"/>
  <c r="M52" i="2" s="1"/>
  <c r="K52" i="2" a="1"/>
  <c r="K52" i="2" s="1"/>
  <c r="M51" i="2" a="1"/>
  <c r="M51" i="2" s="1"/>
  <c r="K51" i="2" a="1"/>
  <c r="K51" i="2" s="1"/>
  <c r="M50" i="2" a="1"/>
  <c r="M50" i="2" s="1"/>
  <c r="K50" i="2" a="1"/>
  <c r="K50" i="2" s="1"/>
  <c r="L49" i="2" a="1"/>
  <c r="L49" i="2" s="1"/>
  <c r="K49" i="2" a="1"/>
  <c r="K49" i="2" s="1"/>
  <c r="L48" i="2" a="1"/>
  <c r="L48" i="2" s="1"/>
  <c r="K48" i="2" a="1"/>
  <c r="K48" i="2" s="1"/>
  <c r="L47" i="2" a="1"/>
  <c r="L47" i="2" s="1"/>
  <c r="K47" i="2" a="1"/>
  <c r="K47" i="2" s="1"/>
  <c r="L46" i="2" a="1"/>
  <c r="L46" i="2" s="1"/>
  <c r="K46" i="2" a="1"/>
  <c r="K46" i="2" s="1"/>
  <c r="L45" i="2" a="1"/>
  <c r="L45" i="2" s="1"/>
  <c r="K45" i="2" a="1"/>
  <c r="K45" i="2" s="1"/>
  <c r="M41" i="2" a="1"/>
  <c r="M41" i="2" s="1"/>
  <c r="L41" i="2" a="1"/>
  <c r="L41" i="2" s="1"/>
  <c r="M40" i="2" a="1"/>
  <c r="M40" i="2" s="1"/>
  <c r="L40" i="2" a="1"/>
  <c r="L40" i="2" s="1"/>
  <c r="M39" i="2" a="1"/>
  <c r="M39" i="2" s="1"/>
  <c r="L39" i="2" a="1"/>
  <c r="L39" i="2" s="1"/>
  <c r="M38" i="2" a="1"/>
  <c r="M38" i="2" s="1"/>
  <c r="K38" i="2" a="1"/>
  <c r="K38" i="2" s="1"/>
  <c r="M37" i="2" a="1"/>
  <c r="M37" i="2" s="1"/>
  <c r="K37" i="2" a="1"/>
  <c r="K37" i="2" s="1"/>
  <c r="M36" i="2" a="1"/>
  <c r="M36" i="2" s="1"/>
  <c r="K36" i="2" a="1"/>
  <c r="K36" i="2" s="1"/>
  <c r="M35" i="2" a="1"/>
  <c r="M35" i="2" s="1"/>
  <c r="K35" i="2" a="1"/>
  <c r="K35" i="2" s="1"/>
  <c r="M34" i="2" a="1"/>
  <c r="M34" i="2" s="1"/>
  <c r="K34" i="2" a="1"/>
  <c r="K34" i="2" s="1"/>
  <c r="M33" i="2" a="1"/>
  <c r="M33" i="2" s="1"/>
  <c r="K33" i="2" a="1"/>
  <c r="K33" i="2" s="1"/>
  <c r="M32" i="2" a="1"/>
  <c r="M32" i="2" s="1"/>
  <c r="K32" i="2" a="1"/>
  <c r="K32" i="2" s="1"/>
  <c r="M31" i="2" a="1"/>
  <c r="M31" i="2" s="1"/>
  <c r="K31" i="2" a="1"/>
  <c r="K31" i="2" s="1"/>
  <c r="L30" i="2" a="1"/>
  <c r="L30" i="2" s="1"/>
  <c r="K30" i="2" a="1"/>
  <c r="K30" i="2" s="1"/>
  <c r="L29" i="2" a="1"/>
  <c r="L29" i="2" s="1"/>
  <c r="K29" i="2" a="1"/>
  <c r="K29" i="2" s="1"/>
  <c r="L28" i="2" a="1"/>
  <c r="L28" i="2" s="1"/>
  <c r="K28" i="2" a="1"/>
  <c r="K28" i="2" s="1"/>
  <c r="L27" i="2" a="1"/>
  <c r="L27" i="2" s="1"/>
  <c r="K27" i="2" a="1"/>
  <c r="K27" i="2" s="1"/>
  <c r="L26" i="2" a="1"/>
  <c r="L26" i="2" s="1"/>
  <c r="K26" i="2" a="1"/>
  <c r="K26" i="2" s="1"/>
  <c r="O18" i="2" a="1"/>
  <c r="O18" i="2" s="1"/>
  <c r="N18" i="2" a="1"/>
  <c r="N18" i="2" s="1"/>
  <c r="M18" i="2" a="1"/>
  <c r="M18" i="2" s="1"/>
  <c r="O17" i="2" a="1"/>
  <c r="O17" i="2" s="1"/>
  <c r="N17" i="2" a="1"/>
  <c r="N17" i="2" s="1"/>
  <c r="M17" i="2" a="1"/>
  <c r="M17" i="2" s="1"/>
  <c r="O16" i="2" a="1"/>
  <c r="O16" i="2" s="1"/>
  <c r="N16" i="2" a="1"/>
  <c r="N16" i="2" s="1"/>
  <c r="M16" i="2" a="1"/>
  <c r="M16" i="2" s="1"/>
  <c r="O15" i="2" a="1"/>
  <c r="O15" i="2" s="1"/>
  <c r="N15" i="2" a="1"/>
  <c r="N15" i="2" s="1"/>
  <c r="M15" i="2" a="1"/>
  <c r="M15" i="2" s="1"/>
  <c r="O14" i="2" a="1"/>
  <c r="O14" i="2" s="1"/>
  <c r="N14" i="2" a="1"/>
  <c r="N14" i="2" s="1"/>
  <c r="M14" i="2" a="1"/>
  <c r="M14" i="2" s="1"/>
  <c r="O13" i="2" a="1"/>
  <c r="O13" i="2" s="1"/>
  <c r="N13" i="2" a="1"/>
  <c r="N13" i="2" s="1"/>
  <c r="M13" i="2" a="1"/>
  <c r="M13" i="2" s="1"/>
  <c r="O12" i="2" a="1"/>
  <c r="O12" i="2" s="1"/>
  <c r="N12" i="2" a="1"/>
  <c r="N12" i="2" s="1"/>
  <c r="M12" i="2" a="1"/>
  <c r="M12" i="2" s="1"/>
  <c r="O11" i="2" a="1"/>
  <c r="O11" i="2" s="1"/>
  <c r="N11" i="2" a="1"/>
  <c r="N11" i="2" s="1"/>
  <c r="M11" i="2" a="1"/>
  <c r="M11" i="2" s="1"/>
  <c r="O10" i="2" a="1"/>
  <c r="O10" i="2" s="1"/>
  <c r="N10" i="2" a="1"/>
  <c r="N10" i="2" s="1"/>
  <c r="M10" i="2" a="1"/>
  <c r="M10" i="2" s="1"/>
  <c r="O9" i="2" a="1"/>
  <c r="O9" i="2" s="1"/>
  <c r="N9" i="2" a="1"/>
  <c r="N9" i="2" s="1"/>
  <c r="M9" i="2" a="1"/>
  <c r="M9" i="2" s="1"/>
  <c r="O8" i="2" a="1"/>
  <c r="O8" i="2" s="1"/>
  <c r="N8" i="2" a="1"/>
  <c r="N8" i="2" s="1"/>
  <c r="M8" i="2" a="1"/>
  <c r="M8" i="2" s="1"/>
  <c r="O7" i="2" a="1"/>
  <c r="O7" i="2" s="1"/>
  <c r="N7" i="2" a="1"/>
  <c r="N7" i="2" s="1"/>
  <c r="M7" i="2" a="1"/>
  <c r="M7" i="2" s="1"/>
  <c r="O6" i="2" a="1"/>
  <c r="O6" i="2" s="1"/>
  <c r="N6" i="2" a="1"/>
  <c r="N6" i="2" s="1"/>
  <c r="M6" i="2" a="1"/>
  <c r="M6" i="2" s="1"/>
  <c r="O5" i="2" a="1"/>
  <c r="O5" i="2" s="1"/>
  <c r="N5" i="2" a="1"/>
  <c r="N5" i="2" s="1"/>
  <c r="M5" i="2" a="1"/>
  <c r="M5" i="2" s="1"/>
  <c r="O4" i="2" a="1"/>
  <c r="O4" i="2" s="1"/>
  <c r="N4" i="2" a="1"/>
  <c r="N4" i="2" s="1"/>
  <c r="M4" i="2" a="1"/>
  <c r="M4" i="2" s="1"/>
  <c r="O3" i="2" a="1"/>
  <c r="O3" i="2" s="1"/>
  <c r="N3" i="2" a="1"/>
  <c r="N3" i="2" s="1"/>
  <c r="M3" i="2" a="1"/>
  <c r="M3" i="2" s="1"/>
  <c r="S50" i="17" l="1"/>
  <c r="F24" i="17" s="1" a="1"/>
  <c r="F24" i="17" s="1"/>
  <c r="E78" i="17" s="1"/>
  <c r="U9" i="2"/>
  <c r="V50" i="17" s="1"/>
  <c r="I24" i="17" s="1" a="1"/>
  <c r="I24" i="17" s="1"/>
  <c r="X32" i="2"/>
  <c r="AA50" i="17" s="1"/>
  <c r="L24" i="17" s="1" a="1"/>
  <c r="L24" i="17" s="1"/>
  <c r="T50" i="17"/>
  <c r="E24" i="17" s="1" a="1"/>
  <c r="E24" i="17" s="1"/>
  <c r="D78" i="17" s="1"/>
  <c r="V9" i="2"/>
  <c r="W50" i="17" s="1"/>
  <c r="J24" i="17" s="1" a="1"/>
  <c r="J24" i="17" s="1"/>
  <c r="Y32" i="2"/>
  <c r="AB50" i="17" s="1"/>
  <c r="M24" i="17" s="1" a="1"/>
  <c r="M24" i="17" s="1"/>
  <c r="U3" i="2"/>
  <c r="V44" i="17" s="1"/>
  <c r="I6" i="17" s="1" a="1"/>
  <c r="I6" i="17" s="1"/>
  <c r="S44" i="17"/>
  <c r="F6" i="17" s="1" a="1"/>
  <c r="F6" i="17" s="1"/>
  <c r="E60" i="17" s="1"/>
  <c r="X26" i="2"/>
  <c r="AA44" i="17" s="1"/>
  <c r="L6" i="17" s="1" a="1"/>
  <c r="L6" i="17" s="1"/>
  <c r="Y39" i="2"/>
  <c r="AB57" i="17" s="1"/>
  <c r="M45" i="17" s="1" a="1"/>
  <c r="M45" i="17" s="1"/>
  <c r="V16" i="2"/>
  <c r="W57" i="17" s="1"/>
  <c r="J45" i="17" s="1" a="1"/>
  <c r="J45" i="17" s="1"/>
  <c r="T57" i="17"/>
  <c r="E45" i="17" s="1" a="1"/>
  <c r="E45" i="17" s="1"/>
  <c r="D99" i="17" s="1"/>
  <c r="V30" i="2"/>
  <c r="AC48" i="6" s="1"/>
  <c r="N18" i="6" s="1" a="1"/>
  <c r="N18" i="6" s="1"/>
  <c r="R48" i="17"/>
  <c r="G18" i="17" s="1" a="1"/>
  <c r="G18" i="17" s="1"/>
  <c r="F72" i="17" s="1"/>
  <c r="W7" i="2"/>
  <c r="X48" i="17" s="1"/>
  <c r="K18" i="17" s="1" a="1"/>
  <c r="K18" i="17" s="1"/>
  <c r="Z30" i="2"/>
  <c r="AC48" i="17" s="1"/>
  <c r="N18" i="17" s="1" a="1"/>
  <c r="N18" i="17" s="1"/>
  <c r="Y40" i="2"/>
  <c r="AB58" i="17" s="1"/>
  <c r="M48" i="17" s="1" a="1"/>
  <c r="M48" i="17" s="1"/>
  <c r="V17" i="2"/>
  <c r="W58" i="17" s="1"/>
  <c r="J48" i="17" s="1" a="1"/>
  <c r="J48" i="17" s="1"/>
  <c r="T58" i="17"/>
  <c r="E48" i="17" s="1" a="1"/>
  <c r="E48" i="17" s="1"/>
  <c r="D102" i="17" s="1"/>
  <c r="V29" i="2"/>
  <c r="AC47" i="6" s="1"/>
  <c r="N15" i="6" s="1" a="1"/>
  <c r="N15" i="6" s="1"/>
  <c r="W6" i="2"/>
  <c r="X47" i="17" s="1"/>
  <c r="K15" i="17" s="1" a="1"/>
  <c r="K15" i="17" s="1"/>
  <c r="Z29" i="2"/>
  <c r="AC47" i="17" s="1"/>
  <c r="N15" i="17" s="1" a="1"/>
  <c r="N15" i="17" s="1"/>
  <c r="R47" i="17"/>
  <c r="G15" i="17" s="1" a="1"/>
  <c r="G15" i="17" s="1"/>
  <c r="F69" i="17" s="1"/>
  <c r="S47" i="17"/>
  <c r="F15" i="17" s="1" a="1"/>
  <c r="F15" i="17" s="1"/>
  <c r="E69" i="17" s="1"/>
  <c r="U6" i="2"/>
  <c r="V47" i="17" s="1"/>
  <c r="I15" i="17" s="1" a="1"/>
  <c r="I15" i="17" s="1"/>
  <c r="X29" i="2"/>
  <c r="AA47" i="17" s="1"/>
  <c r="L15" i="17" s="1" a="1"/>
  <c r="L15" i="17" s="1"/>
  <c r="T47" i="17"/>
  <c r="E15" i="17" s="1" a="1"/>
  <c r="E15" i="17" s="1"/>
  <c r="D69" i="17" s="1"/>
  <c r="V6" i="2"/>
  <c r="W47" i="17" s="1"/>
  <c r="J15" i="17" s="1" a="1"/>
  <c r="J15" i="17" s="1"/>
  <c r="Y29" i="2"/>
  <c r="AB47" i="17" s="1"/>
  <c r="M15" i="17" s="1" a="1"/>
  <c r="M15" i="17" s="1"/>
  <c r="U10" i="2"/>
  <c r="V51" i="17" s="1"/>
  <c r="I27" i="17" s="1" a="1"/>
  <c r="I27" i="17" s="1"/>
  <c r="X33" i="2"/>
  <c r="AA51" i="17" s="1"/>
  <c r="L27" i="17" s="1" a="1"/>
  <c r="L27" i="17" s="1"/>
  <c r="S51" i="17"/>
  <c r="F27" i="17" s="1" a="1"/>
  <c r="F27" i="17" s="1"/>
  <c r="E81" i="17" s="1"/>
  <c r="S58" i="17"/>
  <c r="F48" i="17" s="1" a="1"/>
  <c r="F48" i="17" s="1"/>
  <c r="E102" i="17" s="1"/>
  <c r="X40" i="2"/>
  <c r="AA58" i="17" s="1"/>
  <c r="L48" i="17" s="1" a="1"/>
  <c r="L48" i="17" s="1"/>
  <c r="U17" i="2"/>
  <c r="V58" i="17" s="1"/>
  <c r="I48" i="17" s="1" a="1"/>
  <c r="I48" i="17" s="1"/>
  <c r="X37" i="2"/>
  <c r="AA55" i="17" s="1"/>
  <c r="L39" i="17" s="1" a="1"/>
  <c r="L39" i="17" s="1"/>
  <c r="S55" i="17"/>
  <c r="F39" i="17" s="1" a="1"/>
  <c r="F39" i="17" s="1"/>
  <c r="E93" i="17" s="1"/>
  <c r="U14" i="2"/>
  <c r="V55" i="17" s="1"/>
  <c r="I39" i="17" s="1" a="1"/>
  <c r="I39" i="17" s="1"/>
  <c r="Y35" i="2"/>
  <c r="AB53" i="17" s="1"/>
  <c r="M33" i="17" s="1" a="1"/>
  <c r="M33" i="17" s="1"/>
  <c r="V12" i="2"/>
  <c r="W53" i="17" s="1"/>
  <c r="J33" i="17" s="1" a="1"/>
  <c r="J33" i="17" s="1"/>
  <c r="T53" i="17"/>
  <c r="E33" i="17" s="1" a="1"/>
  <c r="E33" i="17" s="1"/>
  <c r="D87" i="17" s="1"/>
  <c r="V26" i="2"/>
  <c r="AC44" i="6" s="1"/>
  <c r="N6" i="6" s="1" a="1"/>
  <c r="N6" i="6" s="1"/>
  <c r="Z26" i="2"/>
  <c r="AC44" i="17" s="1"/>
  <c r="N6" i="17" s="1" a="1"/>
  <c r="N6" i="17" s="1"/>
  <c r="R44" i="17"/>
  <c r="G6" i="17" s="1" a="1"/>
  <c r="G6" i="17" s="1"/>
  <c r="F60" i="17" s="1"/>
  <c r="W3" i="2"/>
  <c r="X44" i="17" s="1"/>
  <c r="K6" i="17" s="1" a="1"/>
  <c r="K6" i="17" s="1"/>
  <c r="V36" i="2"/>
  <c r="AC54" i="6" s="1"/>
  <c r="N36" i="6" s="1" a="1"/>
  <c r="N36" i="6" s="1"/>
  <c r="R54" i="17"/>
  <c r="G36" i="17" s="1" a="1"/>
  <c r="G36" i="17" s="1"/>
  <c r="F90" i="17" s="1"/>
  <c r="W13" i="2"/>
  <c r="X54" i="17" s="1"/>
  <c r="K36" i="17" s="1" a="1"/>
  <c r="K36" i="17" s="1"/>
  <c r="Z36" i="2"/>
  <c r="AC54" i="17" s="1"/>
  <c r="N36" i="17" s="1" a="1"/>
  <c r="N36" i="17" s="1"/>
  <c r="V33" i="2"/>
  <c r="AC51" i="6" s="1"/>
  <c r="N27" i="6" s="1" a="1"/>
  <c r="N27" i="6" s="1"/>
  <c r="R51" i="17"/>
  <c r="G27" i="17" s="1" a="1"/>
  <c r="G27" i="17" s="1"/>
  <c r="F81" i="17" s="1"/>
  <c r="W10" i="2"/>
  <c r="X51" i="17" s="1"/>
  <c r="K27" i="17" s="1" a="1"/>
  <c r="K27" i="17" s="1"/>
  <c r="Z33" i="2"/>
  <c r="AC51" i="17" s="1"/>
  <c r="N27" i="17" s="1" a="1"/>
  <c r="N27" i="17" s="1"/>
  <c r="V13" i="2"/>
  <c r="W54" i="17" s="1"/>
  <c r="J36" i="17" s="1" a="1"/>
  <c r="J36" i="17" s="1"/>
  <c r="T54" i="17"/>
  <c r="E36" i="17" s="1" a="1"/>
  <c r="E36" i="17" s="1"/>
  <c r="D90" i="17" s="1"/>
  <c r="Y36" i="2"/>
  <c r="AB54" i="17" s="1"/>
  <c r="M36" i="17" s="1" a="1"/>
  <c r="M36" i="17" s="1"/>
  <c r="X30" i="2"/>
  <c r="AA48" i="17" s="1"/>
  <c r="L18" i="17" s="1" a="1"/>
  <c r="L18" i="17" s="1"/>
  <c r="S48" i="17"/>
  <c r="F18" i="17" s="1" a="1"/>
  <c r="F18" i="17" s="1"/>
  <c r="E72" i="17" s="1"/>
  <c r="U7" i="2"/>
  <c r="V48" i="17" s="1"/>
  <c r="I18" i="17" s="1" a="1"/>
  <c r="I18" i="17" s="1"/>
  <c r="V37" i="2"/>
  <c r="AC55" i="6" s="1"/>
  <c r="N39" i="6" s="1" a="1"/>
  <c r="N39" i="6" s="1"/>
  <c r="R55" i="17"/>
  <c r="G39" i="17" s="1" a="1"/>
  <c r="G39" i="17" s="1"/>
  <c r="F93" i="17" s="1"/>
  <c r="W14" i="2"/>
  <c r="X55" i="17" s="1"/>
  <c r="K39" i="17" s="1" a="1"/>
  <c r="K39" i="17" s="1"/>
  <c r="Z37" i="2"/>
  <c r="AC55" i="17" s="1"/>
  <c r="N39" i="17" s="1" a="1"/>
  <c r="N39" i="17" s="1"/>
  <c r="X27" i="2"/>
  <c r="AA45" i="17" s="1"/>
  <c r="L9" i="17" s="1" a="1"/>
  <c r="L9" i="17" s="1"/>
  <c r="S45" i="17"/>
  <c r="F9" i="17" s="1" a="1"/>
  <c r="F9" i="17" s="1"/>
  <c r="E63" i="17" s="1"/>
  <c r="U4" i="2"/>
  <c r="V45" i="17" s="1"/>
  <c r="I9" i="17" s="1" a="1"/>
  <c r="I9" i="17" s="1"/>
  <c r="V34" i="2"/>
  <c r="AC52" i="6" s="1"/>
  <c r="N30" i="6" s="1" a="1"/>
  <c r="N30" i="6" s="1"/>
  <c r="Z34" i="2"/>
  <c r="AC52" i="17" s="1"/>
  <c r="N30" i="17" s="1" a="1"/>
  <c r="N30" i="17" s="1"/>
  <c r="R52" i="17"/>
  <c r="G30" i="17" s="1" a="1"/>
  <c r="G30" i="17" s="1"/>
  <c r="F84" i="17" s="1"/>
  <c r="W11" i="2"/>
  <c r="X52" i="17" s="1"/>
  <c r="K30" i="17" s="1" a="1"/>
  <c r="K30" i="17" s="1"/>
  <c r="V31" i="2"/>
  <c r="AC49" i="6" s="1"/>
  <c r="N21" i="6" s="1" a="1"/>
  <c r="N21" i="6" s="1"/>
  <c r="R49" i="17"/>
  <c r="G21" i="17" s="1" a="1"/>
  <c r="G21" i="17" s="1"/>
  <c r="F75" i="17" s="1"/>
  <c r="W8" i="2"/>
  <c r="X49" i="17" s="1"/>
  <c r="K21" i="17" s="1" a="1"/>
  <c r="K21" i="17" s="1"/>
  <c r="Z31" i="2"/>
  <c r="AC49" i="17" s="1"/>
  <c r="N21" i="17" s="1" a="1"/>
  <c r="N21" i="17" s="1"/>
  <c r="V41" i="2"/>
  <c r="AC59" i="6" s="1"/>
  <c r="N51" i="6" s="1" a="1"/>
  <c r="N51" i="6" s="1"/>
  <c r="R59" i="17"/>
  <c r="G51" i="17" s="1" a="1"/>
  <c r="G51" i="17" s="1"/>
  <c r="F105" i="17" s="1"/>
  <c r="W18" i="2"/>
  <c r="X59" i="17" s="1"/>
  <c r="K51" i="17" s="1" a="1"/>
  <c r="K51" i="17" s="1"/>
  <c r="Z41" i="2"/>
  <c r="AC59" i="17" s="1"/>
  <c r="N51" i="17" s="1" a="1"/>
  <c r="N51" i="17" s="1"/>
  <c r="V28" i="2"/>
  <c r="AC46" i="6" s="1"/>
  <c r="N12" i="6" s="1" a="1"/>
  <c r="N12" i="6" s="1"/>
  <c r="W5" i="2"/>
  <c r="X46" i="17" s="1"/>
  <c r="K12" i="17" s="1" a="1"/>
  <c r="K12" i="17" s="1"/>
  <c r="Z28" i="2"/>
  <c r="AC46" i="17" s="1"/>
  <c r="N12" i="17" s="1" a="1"/>
  <c r="N12" i="17" s="1"/>
  <c r="R46" i="17"/>
  <c r="G12" i="17" s="1" a="1"/>
  <c r="G12" i="17" s="1"/>
  <c r="F66" i="17" s="1"/>
  <c r="S49" i="17"/>
  <c r="F21" i="17" s="1" a="1"/>
  <c r="F21" i="17" s="1"/>
  <c r="E75" i="17" s="1"/>
  <c r="U8" i="2"/>
  <c r="V49" i="17" s="1"/>
  <c r="I21" i="17" s="1" a="1"/>
  <c r="I21" i="17" s="1"/>
  <c r="X31" i="2"/>
  <c r="AA49" i="17" s="1"/>
  <c r="L21" i="17" s="1" a="1"/>
  <c r="L21" i="17" s="1"/>
  <c r="U34" i="2"/>
  <c r="AB52" i="6" s="1"/>
  <c r="M30" i="6" s="1" a="1"/>
  <c r="M30" i="6" s="1"/>
  <c r="Y34" i="2"/>
  <c r="AB52" i="17" s="1"/>
  <c r="M30" i="17" s="1" a="1"/>
  <c r="M30" i="17" s="1"/>
  <c r="T52" i="17"/>
  <c r="E30" i="17" s="1" a="1"/>
  <c r="E30" i="17" s="1"/>
  <c r="D84" i="17" s="1"/>
  <c r="V11" i="2"/>
  <c r="W52" i="17" s="1"/>
  <c r="J30" i="17" s="1" a="1"/>
  <c r="J30" i="17" s="1"/>
  <c r="V38" i="2"/>
  <c r="AC56" i="6" s="1"/>
  <c r="N42" i="6" s="1" a="1"/>
  <c r="N42" i="6" s="1"/>
  <c r="W15" i="2"/>
  <c r="X56" i="17" s="1"/>
  <c r="K42" i="17" s="1" a="1"/>
  <c r="K42" i="17" s="1"/>
  <c r="R56" i="17"/>
  <c r="G42" i="17" s="1" a="1"/>
  <c r="G42" i="17" s="1"/>
  <c r="F96" i="17" s="1"/>
  <c r="Z38" i="2"/>
  <c r="AC56" i="17" s="1"/>
  <c r="N42" i="17" s="1" a="1"/>
  <c r="N42" i="17" s="1"/>
  <c r="S59" i="17"/>
  <c r="F51" i="17" s="1" a="1"/>
  <c r="F51" i="17" s="1"/>
  <c r="E105" i="17" s="1"/>
  <c r="X41" i="2"/>
  <c r="AA59" i="17" s="1"/>
  <c r="L51" i="17" s="1" a="1"/>
  <c r="L51" i="17" s="1"/>
  <c r="U18" i="2"/>
  <c r="V59" i="17" s="1"/>
  <c r="I51" i="17" s="1" a="1"/>
  <c r="I51" i="17" s="1"/>
  <c r="U37" i="2"/>
  <c r="AB55" i="6" s="1"/>
  <c r="M39" i="6" s="1" a="1"/>
  <c r="M39" i="6" s="1"/>
  <c r="T55" i="17"/>
  <c r="E39" i="17" s="1" a="1"/>
  <c r="E39" i="17" s="1"/>
  <c r="D93" i="17" s="1"/>
  <c r="Y37" i="2"/>
  <c r="AB55" i="17" s="1"/>
  <c r="M39" i="17" s="1" a="1"/>
  <c r="M39" i="17" s="1"/>
  <c r="V14" i="2"/>
  <c r="W55" i="17" s="1"/>
  <c r="J39" i="17" s="1" a="1"/>
  <c r="J39" i="17" s="1"/>
  <c r="U5" i="2"/>
  <c r="V46" i="17" s="1"/>
  <c r="I12" i="17" s="1" a="1"/>
  <c r="I12" i="17" s="1"/>
  <c r="X28" i="2"/>
  <c r="AA46" i="17" s="1"/>
  <c r="L12" i="17" s="1" a="1"/>
  <c r="L12" i="17" s="1"/>
  <c r="S46" i="17"/>
  <c r="F12" i="17" s="1" a="1"/>
  <c r="F12" i="17" s="1"/>
  <c r="E66" i="17" s="1"/>
  <c r="T49" i="17"/>
  <c r="E21" i="17" s="1" a="1"/>
  <c r="E21" i="17" s="1"/>
  <c r="D75" i="17" s="1"/>
  <c r="V8" i="2"/>
  <c r="W49" i="17" s="1"/>
  <c r="J21" i="17" s="1" a="1"/>
  <c r="J21" i="17" s="1"/>
  <c r="Y31" i="2"/>
  <c r="AB49" i="17" s="1"/>
  <c r="M21" i="17" s="1" a="1"/>
  <c r="M21" i="17" s="1"/>
  <c r="V35" i="2"/>
  <c r="AC53" i="6" s="1"/>
  <c r="N33" i="6" s="1" a="1"/>
  <c r="N33" i="6" s="1"/>
  <c r="R53" i="17"/>
  <c r="G33" i="17" s="1" a="1"/>
  <c r="G33" i="17" s="1"/>
  <c r="F87" i="17" s="1"/>
  <c r="W12" i="2"/>
  <c r="X53" i="17" s="1"/>
  <c r="K33" i="17" s="1" a="1"/>
  <c r="K33" i="17" s="1"/>
  <c r="Z35" i="2"/>
  <c r="AC53" i="17" s="1"/>
  <c r="N33" i="17" s="1" a="1"/>
  <c r="N33" i="17" s="1"/>
  <c r="S56" i="17"/>
  <c r="F42" i="17" s="1" a="1"/>
  <c r="F42" i="17" s="1"/>
  <c r="E96" i="17" s="1"/>
  <c r="U15" i="2"/>
  <c r="V56" i="17" s="1"/>
  <c r="I42" i="17" s="1" a="1"/>
  <c r="I42" i="17" s="1"/>
  <c r="X38" i="2"/>
  <c r="AA56" i="17" s="1"/>
  <c r="L42" i="17" s="1" a="1"/>
  <c r="L42" i="17" s="1"/>
  <c r="T59" i="17"/>
  <c r="E51" i="17" s="1" a="1"/>
  <c r="E51" i="17" s="1"/>
  <c r="D105" i="17" s="1"/>
  <c r="Y41" i="2"/>
  <c r="AB59" i="17" s="1"/>
  <c r="M51" i="17" s="1" a="1"/>
  <c r="M51" i="17" s="1"/>
  <c r="V18" i="2"/>
  <c r="W59" i="17" s="1"/>
  <c r="J51" i="17" s="1" a="1"/>
  <c r="J51" i="17" s="1"/>
  <c r="V39" i="2"/>
  <c r="AC57" i="6" s="1"/>
  <c r="N45" i="6" s="1" a="1"/>
  <c r="N45" i="6" s="1"/>
  <c r="W16" i="2"/>
  <c r="X57" i="17" s="1"/>
  <c r="K45" i="17" s="1" a="1"/>
  <c r="K45" i="17" s="1"/>
  <c r="Z39" i="2"/>
  <c r="AC57" i="17" s="1"/>
  <c r="N45" i="17" s="1" a="1"/>
  <c r="N45" i="17" s="1"/>
  <c r="R57" i="17"/>
  <c r="G45" i="17" s="1" a="1"/>
  <c r="G45" i="17" s="1"/>
  <c r="F99" i="17" s="1"/>
  <c r="X39" i="2"/>
  <c r="AA57" i="17" s="1"/>
  <c r="L45" i="17" s="1" a="1"/>
  <c r="L45" i="17" s="1"/>
  <c r="U16" i="2"/>
  <c r="V57" i="17" s="1"/>
  <c r="I45" i="17" s="1" a="1"/>
  <c r="I45" i="17" s="1"/>
  <c r="S57" i="17"/>
  <c r="F45" i="17" s="1" a="1"/>
  <c r="F45" i="17" s="1"/>
  <c r="E99" i="17" s="1"/>
  <c r="X36" i="2"/>
  <c r="AA54" i="17" s="1"/>
  <c r="L36" i="17" s="1" a="1"/>
  <c r="L36" i="17" s="1"/>
  <c r="U13" i="2"/>
  <c r="V54" i="17" s="1"/>
  <c r="I36" i="17" s="1" a="1"/>
  <c r="I36" i="17" s="1"/>
  <c r="S54" i="17"/>
  <c r="F36" i="17" s="1" a="1"/>
  <c r="F36" i="17" s="1"/>
  <c r="E90" i="17" s="1"/>
  <c r="V3" i="2"/>
  <c r="W44" i="17" s="1"/>
  <c r="J6" i="17" s="1" a="1"/>
  <c r="J6" i="17" s="1"/>
  <c r="Y26" i="2"/>
  <c r="AB44" i="17" s="1"/>
  <c r="M6" i="17" s="1" a="1"/>
  <c r="M6" i="17" s="1"/>
  <c r="T44" i="17"/>
  <c r="E6" i="17" s="1" a="1"/>
  <c r="E6" i="17" s="1"/>
  <c r="D60" i="17" s="1"/>
  <c r="V40" i="2"/>
  <c r="AC58" i="6" s="1"/>
  <c r="N48" i="6" s="1" a="1"/>
  <c r="N48" i="6" s="1"/>
  <c r="R58" i="17"/>
  <c r="G48" i="17" s="1" a="1"/>
  <c r="G48" i="17" s="1"/>
  <c r="F102" i="17" s="1"/>
  <c r="Z40" i="2"/>
  <c r="AC58" i="17" s="1"/>
  <c r="N48" i="17" s="1" a="1"/>
  <c r="N48" i="17" s="1"/>
  <c r="W17" i="2"/>
  <c r="X58" i="17" s="1"/>
  <c r="K48" i="17" s="1" a="1"/>
  <c r="K48" i="17" s="1"/>
  <c r="V27" i="2"/>
  <c r="AC45" i="6" s="1"/>
  <c r="N9" i="6" s="1" a="1"/>
  <c r="N9" i="6" s="1"/>
  <c r="R45" i="17"/>
  <c r="G9" i="17" s="1" a="1"/>
  <c r="G9" i="17" s="1"/>
  <c r="F63" i="17" s="1"/>
  <c r="W4" i="2"/>
  <c r="X45" i="17" s="1"/>
  <c r="K9" i="17" s="1" a="1"/>
  <c r="K9" i="17" s="1"/>
  <c r="Z27" i="2"/>
  <c r="AC45" i="17" s="1"/>
  <c r="N9" i="17" s="1" a="1"/>
  <c r="N9" i="17" s="1"/>
  <c r="Y33" i="2"/>
  <c r="AB51" i="17" s="1"/>
  <c r="M27" i="17" s="1" a="1"/>
  <c r="M27" i="17" s="1"/>
  <c r="T51" i="17"/>
  <c r="E27" i="17" s="1" a="1"/>
  <c r="E27" i="17" s="1"/>
  <c r="D81" i="17" s="1"/>
  <c r="V10" i="2"/>
  <c r="W51" i="17" s="1"/>
  <c r="J27" i="17" s="1" a="1"/>
  <c r="J27" i="17" s="1"/>
  <c r="Y30" i="2"/>
  <c r="AB48" i="17" s="1"/>
  <c r="M18" i="17" s="1" a="1"/>
  <c r="M18" i="17" s="1"/>
  <c r="T48" i="17"/>
  <c r="E18" i="17" s="1" a="1"/>
  <c r="E18" i="17" s="1"/>
  <c r="D72" i="17" s="1"/>
  <c r="V7" i="2"/>
  <c r="W48" i="17" s="1"/>
  <c r="J18" i="17" s="1" a="1"/>
  <c r="J18" i="17" s="1"/>
  <c r="T45" i="17"/>
  <c r="E9" i="17" s="1" a="1"/>
  <c r="E9" i="17" s="1"/>
  <c r="D63" i="17" s="1"/>
  <c r="V4" i="2"/>
  <c r="W45" i="17" s="1"/>
  <c r="J9" i="17" s="1" a="1"/>
  <c r="J9" i="17" s="1"/>
  <c r="Y27" i="2"/>
  <c r="AB45" i="17" s="1"/>
  <c r="M9" i="17" s="1" a="1"/>
  <c r="M9" i="17" s="1"/>
  <c r="T34" i="2"/>
  <c r="AA52" i="6" s="1"/>
  <c r="L30" i="6" s="1" a="1"/>
  <c r="L30" i="6" s="1"/>
  <c r="X34" i="2"/>
  <c r="AA52" i="17" s="1"/>
  <c r="L30" i="17" s="1" a="1"/>
  <c r="L30" i="17" s="1"/>
  <c r="S52" i="17"/>
  <c r="F30" i="17" s="1" a="1"/>
  <c r="F30" i="17" s="1"/>
  <c r="E84" i="17" s="1"/>
  <c r="U11" i="2"/>
  <c r="V52" i="17" s="1"/>
  <c r="I30" i="17" s="1" a="1"/>
  <c r="I30" i="17" s="1"/>
  <c r="T46" i="17"/>
  <c r="E12" i="17" s="1" a="1"/>
  <c r="E12" i="17" s="1"/>
  <c r="D66" i="17" s="1"/>
  <c r="V5" i="2"/>
  <c r="W46" i="17" s="1"/>
  <c r="J12" i="17" s="1" a="1"/>
  <c r="J12" i="17" s="1"/>
  <c r="Y28" i="2"/>
  <c r="AB46" i="17" s="1"/>
  <c r="M12" i="17" s="1" a="1"/>
  <c r="M12" i="17" s="1"/>
  <c r="V32" i="2"/>
  <c r="AC50" i="6" s="1"/>
  <c r="N24" i="6" s="1" a="1"/>
  <c r="N24" i="6" s="1"/>
  <c r="W9" i="2"/>
  <c r="X50" i="17" s="1"/>
  <c r="K24" i="17" s="1" a="1"/>
  <c r="K24" i="17" s="1"/>
  <c r="R50" i="17"/>
  <c r="G24" i="17" s="1" a="1"/>
  <c r="G24" i="17" s="1"/>
  <c r="F78" i="17" s="1"/>
  <c r="Z32" i="2"/>
  <c r="AC50" i="17" s="1"/>
  <c r="N24" i="17" s="1" a="1"/>
  <c r="N24" i="17" s="1"/>
  <c r="X35" i="2"/>
  <c r="AA53" i="17" s="1"/>
  <c r="L33" i="17" s="1" a="1"/>
  <c r="L33" i="17" s="1"/>
  <c r="S53" i="17"/>
  <c r="F33" i="17" s="1" a="1"/>
  <c r="F33" i="17" s="1"/>
  <c r="E87" i="17" s="1"/>
  <c r="U12" i="2"/>
  <c r="V53" i="17" s="1"/>
  <c r="I33" i="17" s="1" a="1"/>
  <c r="I33" i="17" s="1"/>
  <c r="T56" i="17"/>
  <c r="E42" i="17" s="1" a="1"/>
  <c r="E42" i="17" s="1"/>
  <c r="D96" i="17" s="1"/>
  <c r="V15" i="2"/>
  <c r="W56" i="17" s="1"/>
  <c r="J42" i="17" s="1" a="1"/>
  <c r="J42" i="17" s="1"/>
  <c r="Y38" i="2"/>
  <c r="AB56" i="17" s="1"/>
  <c r="M42" i="17" s="1" a="1"/>
  <c r="M42" i="17" s="1"/>
  <c r="V35" i="3"/>
  <c r="AC33" i="6" s="1"/>
  <c r="N32" i="6" s="1" a="1"/>
  <c r="N32" i="6" s="1"/>
  <c r="R33" i="17"/>
  <c r="G32" i="17" s="1" a="1"/>
  <c r="G32" i="17" s="1"/>
  <c r="F86" i="17" s="1"/>
  <c r="W12" i="3"/>
  <c r="X33" i="17" s="1"/>
  <c r="K32" i="17" s="1" a="1"/>
  <c r="K32" i="17" s="1"/>
  <c r="Z35" i="3"/>
  <c r="AC33" i="17" s="1"/>
  <c r="N32" i="17" s="1" a="1"/>
  <c r="N32" i="17" s="1"/>
  <c r="U41" i="3"/>
  <c r="AB39" i="6" s="1"/>
  <c r="M50" i="6" s="1" a="1"/>
  <c r="M50" i="6" s="1"/>
  <c r="Y41" i="3"/>
  <c r="AB39" i="17" s="1"/>
  <c r="M50" i="17" s="1" a="1"/>
  <c r="M50" i="17" s="1"/>
  <c r="T39" i="17"/>
  <c r="E50" i="17" s="1" a="1"/>
  <c r="E50" i="17" s="1"/>
  <c r="D104" i="17" s="1"/>
  <c r="V18" i="3"/>
  <c r="W39" i="17" s="1"/>
  <c r="J50" i="17" s="1" a="1"/>
  <c r="J50" i="17" s="1"/>
  <c r="V29" i="3"/>
  <c r="AC27" i="6" s="1"/>
  <c r="N14" i="6" s="1" a="1"/>
  <c r="N14" i="6" s="1"/>
  <c r="W6" i="3"/>
  <c r="X27" i="17" s="1"/>
  <c r="K14" i="17" s="1" a="1"/>
  <c r="K14" i="17" s="1"/>
  <c r="R27" i="17"/>
  <c r="G14" i="17" s="1" a="1"/>
  <c r="G14" i="17" s="1"/>
  <c r="F68" i="17" s="1"/>
  <c r="Z29" i="3"/>
  <c r="AC27" i="17" s="1"/>
  <c r="N14" i="17" s="1" a="1"/>
  <c r="N14" i="17" s="1"/>
  <c r="S30" i="17"/>
  <c r="F23" i="17" s="1" a="1"/>
  <c r="F23" i="17" s="1"/>
  <c r="E77" i="17" s="1"/>
  <c r="U9" i="3"/>
  <c r="V30" i="17" s="1"/>
  <c r="I23" i="17" s="1" a="1"/>
  <c r="I23" i="17" s="1"/>
  <c r="X32" i="3"/>
  <c r="AA30" i="17" s="1"/>
  <c r="L23" i="17" s="1" a="1"/>
  <c r="L23" i="17" s="1"/>
  <c r="T33" i="17"/>
  <c r="E32" i="17" s="1" a="1"/>
  <c r="E32" i="17" s="1"/>
  <c r="D86" i="17" s="1"/>
  <c r="V12" i="3"/>
  <c r="W33" i="17" s="1"/>
  <c r="J32" i="17" s="1" a="1"/>
  <c r="J32" i="17" s="1"/>
  <c r="Y35" i="3"/>
  <c r="AB33" i="17" s="1"/>
  <c r="M32" i="17" s="1" a="1"/>
  <c r="M32" i="17" s="1"/>
  <c r="V39" i="3"/>
  <c r="AC37" i="6" s="1"/>
  <c r="N44" i="6" s="1" a="1"/>
  <c r="N44" i="6" s="1"/>
  <c r="W16" i="3"/>
  <c r="X37" i="17" s="1"/>
  <c r="K44" i="17" s="1" a="1"/>
  <c r="K44" i="17" s="1"/>
  <c r="R37" i="17"/>
  <c r="G44" i="17" s="1" a="1"/>
  <c r="G44" i="17" s="1"/>
  <c r="F98" i="17" s="1"/>
  <c r="Z39" i="3"/>
  <c r="AC37" i="17" s="1"/>
  <c r="N44" i="17" s="1" a="1"/>
  <c r="N44" i="17" s="1"/>
  <c r="V26" i="3"/>
  <c r="AC24" i="6" s="1"/>
  <c r="N5" i="6" s="1" a="1"/>
  <c r="N5" i="6" s="1"/>
  <c r="W3" i="3"/>
  <c r="X24" i="17" s="1"/>
  <c r="K5" i="17" s="1" a="1"/>
  <c r="K5" i="17" s="1"/>
  <c r="R24" i="17"/>
  <c r="G5" i="17" s="1" a="1"/>
  <c r="G5" i="17" s="1"/>
  <c r="F59" i="17" s="1"/>
  <c r="Z26" i="3"/>
  <c r="AC24" i="17" s="1"/>
  <c r="N5" i="17" s="1" a="1"/>
  <c r="N5" i="17" s="1"/>
  <c r="V36" i="3"/>
  <c r="AC34" i="6" s="1"/>
  <c r="N35" i="6" s="1" a="1"/>
  <c r="N35" i="6" s="1"/>
  <c r="W13" i="3"/>
  <c r="X34" i="17" s="1"/>
  <c r="K35" i="17" s="1" a="1"/>
  <c r="K35" i="17" s="1"/>
  <c r="R34" i="17"/>
  <c r="G35" i="17" s="1" a="1"/>
  <c r="G35" i="17" s="1"/>
  <c r="F89" i="17" s="1"/>
  <c r="Z36" i="3"/>
  <c r="AC34" i="17" s="1"/>
  <c r="N35" i="17" s="1" a="1"/>
  <c r="N35" i="17" s="1"/>
  <c r="T37" i="17"/>
  <c r="E44" i="17" s="1" a="1"/>
  <c r="E44" i="17" s="1"/>
  <c r="D98" i="17" s="1"/>
  <c r="V16" i="3"/>
  <c r="W37" i="17" s="1"/>
  <c r="J44" i="17" s="1" a="1"/>
  <c r="J44" i="17" s="1"/>
  <c r="Y39" i="3"/>
  <c r="AB37" i="17" s="1"/>
  <c r="M44" i="17" s="1" a="1"/>
  <c r="M44" i="17" s="1"/>
  <c r="S27" i="17"/>
  <c r="F14" i="17" s="1" a="1"/>
  <c r="F14" i="17" s="1"/>
  <c r="E68" i="17" s="1"/>
  <c r="U6" i="3"/>
  <c r="V27" i="17" s="1"/>
  <c r="I14" i="17" s="1" a="1"/>
  <c r="I14" i="17" s="1"/>
  <c r="X29" i="3"/>
  <c r="AA27" i="17" s="1"/>
  <c r="L14" i="17" s="1" a="1"/>
  <c r="L14" i="17" s="1"/>
  <c r="S37" i="17"/>
  <c r="F44" i="17" s="1" a="1"/>
  <c r="F44" i="17" s="1"/>
  <c r="E98" i="17" s="1"/>
  <c r="U16" i="3"/>
  <c r="V37" i="17" s="1"/>
  <c r="I44" i="17" s="1" a="1"/>
  <c r="I44" i="17" s="1"/>
  <c r="X39" i="3"/>
  <c r="AA37" i="17" s="1"/>
  <c r="L44" i="17" s="1" a="1"/>
  <c r="L44" i="17" s="1"/>
  <c r="S34" i="17"/>
  <c r="F35" i="17" s="1" a="1"/>
  <c r="F35" i="17" s="1"/>
  <c r="E89" i="17" s="1"/>
  <c r="U13" i="3"/>
  <c r="V34" i="17" s="1"/>
  <c r="I35" i="17" s="1" a="1"/>
  <c r="I35" i="17" s="1"/>
  <c r="X36" i="3"/>
  <c r="AA34" i="17" s="1"/>
  <c r="L35" i="17" s="1" a="1"/>
  <c r="L35" i="17" s="1"/>
  <c r="T24" i="17"/>
  <c r="E5" i="17" s="1" a="1"/>
  <c r="E5" i="17" s="1"/>
  <c r="D59" i="17" s="1"/>
  <c r="V3" i="3"/>
  <c r="W24" i="17" s="1"/>
  <c r="J5" i="17" s="1" a="1"/>
  <c r="J5" i="17" s="1"/>
  <c r="Y26" i="3"/>
  <c r="AB24" i="17" s="1"/>
  <c r="M5" i="17" s="1" a="1"/>
  <c r="M5" i="17" s="1"/>
  <c r="V30" i="3"/>
  <c r="AC28" i="6" s="1"/>
  <c r="N17" i="6" s="1" a="1"/>
  <c r="N17" i="6" s="1"/>
  <c r="Z30" i="3"/>
  <c r="AC28" i="17" s="1"/>
  <c r="N17" i="17" s="1" a="1"/>
  <c r="N17" i="17" s="1"/>
  <c r="R28" i="17"/>
  <c r="G17" i="17" s="1" a="1"/>
  <c r="G17" i="17" s="1"/>
  <c r="F71" i="17" s="1"/>
  <c r="W7" i="3"/>
  <c r="X28" i="17" s="1"/>
  <c r="K17" i="17" s="1" a="1"/>
  <c r="K17" i="17" s="1"/>
  <c r="U10" i="3"/>
  <c r="V31" i="17" s="1"/>
  <c r="I26" i="17" s="1" a="1"/>
  <c r="I26" i="17" s="1"/>
  <c r="S31" i="17"/>
  <c r="F26" i="17" s="1" a="1"/>
  <c r="F26" i="17" s="1"/>
  <c r="E80" i="17" s="1"/>
  <c r="X33" i="3"/>
  <c r="AA31" i="17" s="1"/>
  <c r="L26" i="17" s="1" a="1"/>
  <c r="L26" i="17" s="1"/>
  <c r="U36" i="3"/>
  <c r="AB34" i="6" s="1"/>
  <c r="M35" i="6" s="1" a="1"/>
  <c r="M35" i="6" s="1"/>
  <c r="T34" i="17"/>
  <c r="E35" i="17" s="1" a="1"/>
  <c r="E35" i="17" s="1"/>
  <c r="D89" i="17" s="1"/>
  <c r="V13" i="3"/>
  <c r="W34" i="17" s="1"/>
  <c r="J35" i="17" s="1" a="1"/>
  <c r="J35" i="17" s="1"/>
  <c r="Y36" i="3"/>
  <c r="AB34" i="17" s="1"/>
  <c r="M35" i="17" s="1" a="1"/>
  <c r="M35" i="17" s="1"/>
  <c r="V40" i="3"/>
  <c r="AC38" i="6" s="1"/>
  <c r="N47" i="6" s="1" a="1"/>
  <c r="N47" i="6" s="1"/>
  <c r="Z40" i="3"/>
  <c r="AC38" i="17" s="1"/>
  <c r="N47" i="17" s="1" a="1"/>
  <c r="N47" i="17" s="1"/>
  <c r="R38" i="17"/>
  <c r="G47" i="17" s="1" a="1"/>
  <c r="G47" i="17" s="1"/>
  <c r="F101" i="17" s="1"/>
  <c r="W17" i="3"/>
  <c r="X38" i="17" s="1"/>
  <c r="K47" i="17" s="1" a="1"/>
  <c r="K47" i="17" s="1"/>
  <c r="T27" i="17"/>
  <c r="E14" i="17" s="1" a="1"/>
  <c r="E14" i="17" s="1"/>
  <c r="D68" i="17" s="1"/>
  <c r="V6" i="3"/>
  <c r="W27" i="17" s="1"/>
  <c r="J14" i="17" s="1" a="1"/>
  <c r="J14" i="17" s="1"/>
  <c r="Y29" i="3"/>
  <c r="AB27" i="17" s="1"/>
  <c r="M14" i="17" s="1" a="1"/>
  <c r="M14" i="17" s="1"/>
  <c r="V27" i="3"/>
  <c r="AC25" i="6" s="1"/>
  <c r="N8" i="6" s="1" a="1"/>
  <c r="N8" i="6" s="1"/>
  <c r="Z27" i="3"/>
  <c r="AC25" i="17" s="1"/>
  <c r="N8" i="17" s="1" a="1"/>
  <c r="N8" i="17" s="1"/>
  <c r="W4" i="3"/>
  <c r="X25" i="17" s="1"/>
  <c r="K8" i="17" s="1" a="1"/>
  <c r="K8" i="17" s="1"/>
  <c r="R25" i="17"/>
  <c r="G8" i="17" s="1" a="1"/>
  <c r="G8" i="17" s="1"/>
  <c r="F62" i="17" s="1"/>
  <c r="U7" i="3"/>
  <c r="V28" i="17" s="1"/>
  <c r="I17" i="17" s="1" a="1"/>
  <c r="I17" i="17" s="1"/>
  <c r="S28" i="17"/>
  <c r="F17" i="17" s="1" a="1"/>
  <c r="F17" i="17" s="1"/>
  <c r="E71" i="17" s="1"/>
  <c r="X30" i="3"/>
  <c r="AA28" i="17" s="1"/>
  <c r="L17" i="17" s="1" a="1"/>
  <c r="L17" i="17" s="1"/>
  <c r="V10" i="3"/>
  <c r="W31" i="17" s="1"/>
  <c r="J26" i="17" s="1" a="1"/>
  <c r="J26" i="17" s="1"/>
  <c r="T31" i="17"/>
  <c r="E26" i="17" s="1" a="1"/>
  <c r="E26" i="17" s="1"/>
  <c r="D80" i="17" s="1"/>
  <c r="Y33" i="3"/>
  <c r="AB31" i="17" s="1"/>
  <c r="M26" i="17" s="1" a="1"/>
  <c r="M26" i="17" s="1"/>
  <c r="V37" i="3"/>
  <c r="AC35" i="6" s="1"/>
  <c r="N38" i="6" s="1" a="1"/>
  <c r="N38" i="6" s="1"/>
  <c r="Z37" i="3"/>
  <c r="AC35" i="17" s="1"/>
  <c r="N38" i="17" s="1" a="1"/>
  <c r="N38" i="17" s="1"/>
  <c r="R35" i="17"/>
  <c r="G38" i="17" s="1" a="1"/>
  <c r="G38" i="17" s="1"/>
  <c r="F92" i="17" s="1"/>
  <c r="W14" i="3"/>
  <c r="X35" i="17" s="1"/>
  <c r="K38" i="17" s="1" a="1"/>
  <c r="K38" i="17" s="1"/>
  <c r="U17" i="3"/>
  <c r="V38" i="17" s="1"/>
  <c r="I47" i="17" s="1" a="1"/>
  <c r="I47" i="17" s="1"/>
  <c r="S38" i="17"/>
  <c r="F47" i="17" s="1" a="1"/>
  <c r="F47" i="17" s="1"/>
  <c r="E101" i="17" s="1"/>
  <c r="X40" i="3"/>
  <c r="AA38" i="17" s="1"/>
  <c r="L47" i="17" s="1" a="1"/>
  <c r="L47" i="17" s="1"/>
  <c r="U4" i="3"/>
  <c r="V25" i="17" s="1"/>
  <c r="I8" i="17" s="1" a="1"/>
  <c r="I8" i="17" s="1"/>
  <c r="S25" i="17"/>
  <c r="F8" i="17" s="1" a="1"/>
  <c r="F8" i="17" s="1"/>
  <c r="E62" i="17" s="1"/>
  <c r="X27" i="3"/>
  <c r="AA25" i="17" s="1"/>
  <c r="L8" i="17" s="1" a="1"/>
  <c r="L8" i="17" s="1"/>
  <c r="V7" i="3"/>
  <c r="W28" i="17" s="1"/>
  <c r="J17" i="17" s="1" a="1"/>
  <c r="J17" i="17" s="1"/>
  <c r="T28" i="17"/>
  <c r="E17" i="17" s="1" a="1"/>
  <c r="E17" i="17" s="1"/>
  <c r="D71" i="17" s="1"/>
  <c r="Y30" i="3"/>
  <c r="AB28" i="17" s="1"/>
  <c r="M17" i="17" s="1" a="1"/>
  <c r="M17" i="17" s="1"/>
  <c r="V34" i="3"/>
  <c r="AC32" i="6" s="1"/>
  <c r="N29" i="6" s="1" a="1"/>
  <c r="N29" i="6" s="1"/>
  <c r="Z34" i="3"/>
  <c r="AC32" i="17" s="1"/>
  <c r="N29" i="17" s="1" a="1"/>
  <c r="N29" i="17" s="1"/>
  <c r="R32" i="17"/>
  <c r="G29" i="17" s="1" a="1"/>
  <c r="G29" i="17" s="1"/>
  <c r="F83" i="17" s="1"/>
  <c r="W11" i="3"/>
  <c r="X32" i="17" s="1"/>
  <c r="K29" i="17" s="1" a="1"/>
  <c r="K29" i="17" s="1"/>
  <c r="U14" i="3"/>
  <c r="V35" i="17" s="1"/>
  <c r="I38" i="17" s="1" a="1"/>
  <c r="I38" i="17" s="1"/>
  <c r="X37" i="3"/>
  <c r="AA35" i="17" s="1"/>
  <c r="L38" i="17" s="1" a="1"/>
  <c r="L38" i="17" s="1"/>
  <c r="S35" i="17"/>
  <c r="F38" i="17" s="1" a="1"/>
  <c r="F38" i="17" s="1"/>
  <c r="E92" i="17" s="1"/>
  <c r="V17" i="3"/>
  <c r="W38" i="17" s="1"/>
  <c r="J47" i="17" s="1" a="1"/>
  <c r="J47" i="17" s="1"/>
  <c r="T38" i="17"/>
  <c r="E47" i="17" s="1" a="1"/>
  <c r="E47" i="17" s="1"/>
  <c r="D101" i="17" s="1"/>
  <c r="Y40" i="3"/>
  <c r="AB38" i="17" s="1"/>
  <c r="M47" i="17" s="1" a="1"/>
  <c r="M47" i="17" s="1"/>
  <c r="S24" i="17"/>
  <c r="F5" i="17" s="1" a="1"/>
  <c r="F5" i="17" s="1"/>
  <c r="E59" i="17" s="1"/>
  <c r="U3" i="3"/>
  <c r="V24" i="17" s="1"/>
  <c r="I5" i="17" s="1" a="1"/>
  <c r="I5" i="17" s="1"/>
  <c r="X26" i="3"/>
  <c r="AA24" i="17" s="1"/>
  <c r="L5" i="17" s="1" a="1"/>
  <c r="L5" i="17" s="1"/>
  <c r="Y27" i="3"/>
  <c r="AB25" i="17" s="1"/>
  <c r="M8" i="17" s="1" a="1"/>
  <c r="M8" i="17" s="1"/>
  <c r="T25" i="17"/>
  <c r="E8" i="17" s="1" a="1"/>
  <c r="E8" i="17" s="1"/>
  <c r="D62" i="17" s="1"/>
  <c r="V4" i="3"/>
  <c r="W25" i="17" s="1"/>
  <c r="J8" i="17" s="1" a="1"/>
  <c r="J8" i="17" s="1"/>
  <c r="V31" i="3"/>
  <c r="AC29" i="6" s="1"/>
  <c r="N20" i="6" s="1" a="1"/>
  <c r="N20" i="6" s="1"/>
  <c r="Z31" i="3"/>
  <c r="AC29" i="17" s="1"/>
  <c r="N20" i="17" s="1" a="1"/>
  <c r="N20" i="17" s="1"/>
  <c r="R29" i="17"/>
  <c r="G20" i="17" s="1" a="1"/>
  <c r="G20" i="17" s="1"/>
  <c r="F74" i="17" s="1"/>
  <c r="W8" i="3"/>
  <c r="X29" i="17" s="1"/>
  <c r="K20" i="17" s="1" a="1"/>
  <c r="K20" i="17" s="1"/>
  <c r="X34" i="3"/>
  <c r="AA32" i="17" s="1"/>
  <c r="L29" i="17" s="1" a="1"/>
  <c r="L29" i="17" s="1"/>
  <c r="S32" i="17"/>
  <c r="F29" i="17" s="1" a="1"/>
  <c r="F29" i="17" s="1"/>
  <c r="E83" i="17" s="1"/>
  <c r="U11" i="3"/>
  <c r="V32" i="17" s="1"/>
  <c r="I29" i="17" s="1" a="1"/>
  <c r="I29" i="17" s="1"/>
  <c r="Y37" i="3"/>
  <c r="AB35" i="17" s="1"/>
  <c r="M38" i="17" s="1" a="1"/>
  <c r="M38" i="17" s="1"/>
  <c r="T35" i="17"/>
  <c r="E38" i="17" s="1" a="1"/>
  <c r="E38" i="17" s="1"/>
  <c r="D92" i="17" s="1"/>
  <c r="V14" i="3"/>
  <c r="W35" i="17" s="1"/>
  <c r="J38" i="17" s="1" a="1"/>
  <c r="J38" i="17" s="1"/>
  <c r="V41" i="3"/>
  <c r="AC39" i="6" s="1"/>
  <c r="N50" i="6" s="1" a="1"/>
  <c r="N50" i="6" s="1"/>
  <c r="Z41" i="3"/>
  <c r="AC39" i="17" s="1"/>
  <c r="N50" i="17" s="1" a="1"/>
  <c r="N50" i="17" s="1"/>
  <c r="R39" i="17"/>
  <c r="G50" i="17" s="1" a="1"/>
  <c r="G50" i="17" s="1"/>
  <c r="F104" i="17" s="1"/>
  <c r="W18" i="3"/>
  <c r="X39" i="17" s="1"/>
  <c r="K50" i="17" s="1" a="1"/>
  <c r="K50" i="17" s="1"/>
  <c r="V9" i="3"/>
  <c r="W30" i="17" s="1"/>
  <c r="J23" i="17" s="1" a="1"/>
  <c r="J23" i="17" s="1"/>
  <c r="Y32" i="3"/>
  <c r="AB30" i="17" s="1"/>
  <c r="M23" i="17" s="1" a="1"/>
  <c r="M23" i="17" s="1"/>
  <c r="T30" i="17"/>
  <c r="E23" i="17" s="1" a="1"/>
  <c r="E23" i="17" s="1"/>
  <c r="D77" i="17" s="1"/>
  <c r="V33" i="3"/>
  <c r="AC31" i="6" s="1"/>
  <c r="N26" i="6" s="1" a="1"/>
  <c r="N26" i="6" s="1"/>
  <c r="W10" i="3"/>
  <c r="X31" i="17" s="1"/>
  <c r="K26" i="17" s="1" a="1"/>
  <c r="K26" i="17" s="1"/>
  <c r="Z33" i="3"/>
  <c r="AC31" i="17" s="1"/>
  <c r="N26" i="17" s="1" a="1"/>
  <c r="N26" i="17" s="1"/>
  <c r="R31" i="17"/>
  <c r="G26" i="17" s="1" a="1"/>
  <c r="G26" i="17" s="1"/>
  <c r="F80" i="17" s="1"/>
  <c r="V28" i="3"/>
  <c r="AC26" i="6" s="1"/>
  <c r="N11" i="6" s="1" a="1"/>
  <c r="N11" i="6" s="1"/>
  <c r="R26" i="17"/>
  <c r="G11" i="17" s="1" a="1"/>
  <c r="G11" i="17" s="1"/>
  <c r="F65" i="17" s="1"/>
  <c r="W5" i="3"/>
  <c r="X26" i="17" s="1"/>
  <c r="K11" i="17" s="1" a="1"/>
  <c r="K11" i="17" s="1"/>
  <c r="Z28" i="3"/>
  <c r="AC26" i="17" s="1"/>
  <c r="N11" i="17" s="1" a="1"/>
  <c r="N11" i="17" s="1"/>
  <c r="X31" i="3"/>
  <c r="AA29" i="17" s="1"/>
  <c r="L20" i="17" s="1" a="1"/>
  <c r="L20" i="17" s="1"/>
  <c r="S29" i="17"/>
  <c r="F20" i="17" s="1" a="1"/>
  <c r="F20" i="17" s="1"/>
  <c r="E74" i="17" s="1"/>
  <c r="U8" i="3"/>
  <c r="V29" i="17" s="1"/>
  <c r="I20" i="17" s="1" a="1"/>
  <c r="I20" i="17" s="1"/>
  <c r="U34" i="3"/>
  <c r="AB32" i="6" s="1"/>
  <c r="M29" i="6" s="1" a="1"/>
  <c r="M29" i="6" s="1"/>
  <c r="Y34" i="3"/>
  <c r="AB32" i="17" s="1"/>
  <c r="M29" i="17" s="1" a="1"/>
  <c r="M29" i="17" s="1"/>
  <c r="T32" i="17"/>
  <c r="E29" i="17" s="1" a="1"/>
  <c r="E29" i="17" s="1"/>
  <c r="D83" i="17" s="1"/>
  <c r="V11" i="3"/>
  <c r="W32" i="17" s="1"/>
  <c r="J29" i="17" s="1" a="1"/>
  <c r="J29" i="17" s="1"/>
  <c r="V38" i="3"/>
  <c r="AC36" i="6" s="1"/>
  <c r="N41" i="6" s="1" a="1"/>
  <c r="N41" i="6" s="1"/>
  <c r="W15" i="3"/>
  <c r="X36" i="17" s="1"/>
  <c r="K41" i="17" s="1" a="1"/>
  <c r="K41" i="17" s="1"/>
  <c r="R36" i="17"/>
  <c r="G41" i="17" s="1" a="1"/>
  <c r="G41" i="17" s="1"/>
  <c r="F95" i="17" s="1"/>
  <c r="Z38" i="3"/>
  <c r="AC36" i="17" s="1"/>
  <c r="N41" i="17" s="1" a="1"/>
  <c r="N41" i="17" s="1"/>
  <c r="X41" i="3"/>
  <c r="AA39" i="17" s="1"/>
  <c r="L50" i="17" s="1" a="1"/>
  <c r="L50" i="17" s="1"/>
  <c r="U18" i="3"/>
  <c r="V39" i="17" s="1"/>
  <c r="I50" i="17" s="1" a="1"/>
  <c r="I50" i="17" s="1"/>
  <c r="S39" i="17"/>
  <c r="F50" i="17" s="1" a="1"/>
  <c r="F50" i="17" s="1"/>
  <c r="E104" i="17" s="1"/>
  <c r="X28" i="3"/>
  <c r="AA26" i="17" s="1"/>
  <c r="L11" i="17" s="1" a="1"/>
  <c r="L11" i="17" s="1"/>
  <c r="S26" i="17"/>
  <c r="F11" i="17" s="1" a="1"/>
  <c r="F11" i="17" s="1"/>
  <c r="E65" i="17" s="1"/>
  <c r="U5" i="3"/>
  <c r="V26" i="17" s="1"/>
  <c r="I11" i="17" s="1" a="1"/>
  <c r="I11" i="17" s="1"/>
  <c r="Y31" i="3"/>
  <c r="AB29" i="17" s="1"/>
  <c r="M20" i="17" s="1" a="1"/>
  <c r="M20" i="17" s="1"/>
  <c r="T29" i="17"/>
  <c r="E20" i="17" s="1" a="1"/>
  <c r="E20" i="17" s="1"/>
  <c r="D74" i="17" s="1"/>
  <c r="V8" i="3"/>
  <c r="W29" i="17" s="1"/>
  <c r="J20" i="17" s="1" a="1"/>
  <c r="J20" i="17" s="1"/>
  <c r="X38" i="3"/>
  <c r="AA36" i="17" s="1"/>
  <c r="L41" i="17" s="1" a="1"/>
  <c r="L41" i="17" s="1"/>
  <c r="S36" i="17"/>
  <c r="F41" i="17" s="1" a="1"/>
  <c r="F41" i="17" s="1"/>
  <c r="E95" i="17" s="1"/>
  <c r="U15" i="3"/>
  <c r="V36" i="17" s="1"/>
  <c r="I41" i="17" s="1" a="1"/>
  <c r="I41" i="17" s="1"/>
  <c r="Y28" i="3"/>
  <c r="AB26" i="17" s="1"/>
  <c r="M11" i="17" s="1" a="1"/>
  <c r="M11" i="17" s="1"/>
  <c r="T26" i="17"/>
  <c r="E11" i="17" s="1" a="1"/>
  <c r="E11" i="17" s="1"/>
  <c r="D65" i="17" s="1"/>
  <c r="V5" i="3"/>
  <c r="W26" i="17" s="1"/>
  <c r="J11" i="17" s="1" a="1"/>
  <c r="J11" i="17" s="1"/>
  <c r="V32" i="3"/>
  <c r="AC30" i="6" s="1"/>
  <c r="N23" i="6" s="1" a="1"/>
  <c r="N23" i="6" s="1"/>
  <c r="R30" i="17"/>
  <c r="G23" i="17" s="1" a="1"/>
  <c r="G23" i="17" s="1"/>
  <c r="F77" i="17" s="1"/>
  <c r="W9" i="3"/>
  <c r="X30" i="17" s="1"/>
  <c r="K23" i="17" s="1" a="1"/>
  <c r="K23" i="17" s="1"/>
  <c r="Z32" i="3"/>
  <c r="AC30" i="17" s="1"/>
  <c r="N23" i="17" s="1" a="1"/>
  <c r="N23" i="17" s="1"/>
  <c r="X35" i="3"/>
  <c r="AA33" i="17" s="1"/>
  <c r="L32" i="17" s="1" a="1"/>
  <c r="L32" i="17" s="1"/>
  <c r="S33" i="17"/>
  <c r="F32" i="17" s="1" a="1"/>
  <c r="F32" i="17" s="1"/>
  <c r="E86" i="17" s="1"/>
  <c r="U12" i="3"/>
  <c r="V33" i="17" s="1"/>
  <c r="I32" i="17" s="1" a="1"/>
  <c r="I32" i="17" s="1"/>
  <c r="Y38" i="3"/>
  <c r="AB36" i="17" s="1"/>
  <c r="M41" i="17" s="1" a="1"/>
  <c r="M41" i="17" s="1"/>
  <c r="T36" i="17"/>
  <c r="E41" i="17" s="1" a="1"/>
  <c r="E41" i="17" s="1"/>
  <c r="D95" i="17" s="1"/>
  <c r="V15" i="3"/>
  <c r="W36" i="17" s="1"/>
  <c r="J41" i="17" s="1" a="1"/>
  <c r="J41" i="17" s="1"/>
  <c r="T5" i="17"/>
  <c r="V4" i="4"/>
  <c r="W5" i="17" s="1"/>
  <c r="Y27" i="4"/>
  <c r="AB5" i="17" s="1"/>
  <c r="Z31" i="4"/>
  <c r="AC9" i="17" s="1"/>
  <c r="W8" i="4"/>
  <c r="X9" i="17" s="1"/>
  <c r="K19" i="17" s="1" a="1"/>
  <c r="K19" i="17" s="1"/>
  <c r="X34" i="4"/>
  <c r="AA12" i="17" s="1"/>
  <c r="U11" i="4"/>
  <c r="V12" i="17" s="1"/>
  <c r="T15" i="17"/>
  <c r="E37" i="17" s="1" a="1"/>
  <c r="E37" i="17" s="1"/>
  <c r="D91" i="17" s="1"/>
  <c r="V14" i="4"/>
  <c r="W15" i="17" s="1"/>
  <c r="Y37" i="4"/>
  <c r="AB15" i="17" s="1"/>
  <c r="W18" i="4"/>
  <c r="X19" i="17" s="1"/>
  <c r="Z41" i="4"/>
  <c r="AC19" i="17" s="1"/>
  <c r="T9" i="17"/>
  <c r="Y31" i="4"/>
  <c r="AB9" i="17" s="1"/>
  <c r="V8" i="4"/>
  <c r="W9" i="17" s="1"/>
  <c r="T19" i="17"/>
  <c r="E49" i="17" s="1" a="1"/>
  <c r="E49" i="17" s="1"/>
  <c r="D103" i="17" s="1"/>
  <c r="V18" i="4"/>
  <c r="W19" i="17" s="1"/>
  <c r="Y41" i="4"/>
  <c r="AB19" i="17" s="1"/>
  <c r="T6" i="17"/>
  <c r="V5" i="4"/>
  <c r="W6" i="17" s="1"/>
  <c r="Y28" i="4"/>
  <c r="AB6" i="17" s="1"/>
  <c r="Z32" i="4"/>
  <c r="AC10" i="17" s="1"/>
  <c r="W9" i="4"/>
  <c r="X10" i="17" s="1"/>
  <c r="K22" i="17" s="1" a="1"/>
  <c r="K22" i="17" s="1"/>
  <c r="X35" i="4"/>
  <c r="AA13" i="17" s="1"/>
  <c r="U12" i="4"/>
  <c r="V13" i="17" s="1"/>
  <c r="T16" i="17"/>
  <c r="E40" i="17" s="1" a="1"/>
  <c r="E40" i="17" s="1"/>
  <c r="D94" i="17" s="1"/>
  <c r="V15" i="4"/>
  <c r="W16" i="17" s="1"/>
  <c r="Y38" i="4"/>
  <c r="AB16" i="17" s="1"/>
  <c r="Z28" i="4"/>
  <c r="AC6" i="17" s="1"/>
  <c r="W5" i="4"/>
  <c r="X6" i="17" s="1"/>
  <c r="K10" i="17" s="1" a="1"/>
  <c r="K10" i="17" s="1"/>
  <c r="X38" i="4"/>
  <c r="AA16" i="17" s="1"/>
  <c r="U15" i="4"/>
  <c r="V16" i="17" s="1"/>
  <c r="Z29" i="4"/>
  <c r="AC7" i="17" s="1"/>
  <c r="W6" i="4"/>
  <c r="X7" i="17" s="1"/>
  <c r="U9" i="4"/>
  <c r="V10" i="17" s="1"/>
  <c r="X32" i="4"/>
  <c r="AA10" i="17" s="1"/>
  <c r="T13" i="17"/>
  <c r="E31" i="17" s="1" a="1"/>
  <c r="E31" i="17" s="1"/>
  <c r="D85" i="17" s="1"/>
  <c r="Y35" i="4"/>
  <c r="AB13" i="17" s="1"/>
  <c r="V12" i="4"/>
  <c r="W13" i="17" s="1"/>
  <c r="Z39" i="4"/>
  <c r="AC17" i="17" s="1"/>
  <c r="W16" i="4"/>
  <c r="X17" i="17" s="1"/>
  <c r="U18" i="4"/>
  <c r="V19" i="17" s="1"/>
  <c r="X41" i="4"/>
  <c r="AA19" i="17" s="1"/>
  <c r="Z35" i="4"/>
  <c r="AC13" i="17" s="1"/>
  <c r="W12" i="4"/>
  <c r="X13" i="17" s="1"/>
  <c r="X29" i="4"/>
  <c r="AA7" i="17" s="1"/>
  <c r="U6" i="4"/>
  <c r="V7" i="17" s="1"/>
  <c r="T10" i="17"/>
  <c r="E22" i="17" s="1" a="1"/>
  <c r="E22" i="17" s="1"/>
  <c r="D76" i="17" s="1"/>
  <c r="Y32" i="4"/>
  <c r="AB10" i="17" s="1"/>
  <c r="V9" i="4"/>
  <c r="W10" i="17" s="1"/>
  <c r="Z36" i="4"/>
  <c r="AC14" i="17" s="1"/>
  <c r="W13" i="4"/>
  <c r="X14" i="17" s="1"/>
  <c r="K34" i="17" s="1" a="1"/>
  <c r="K34" i="17" s="1"/>
  <c r="X39" i="4"/>
  <c r="AA17" i="17" s="1"/>
  <c r="U16" i="4"/>
  <c r="V17" i="17" s="1"/>
  <c r="Z38" i="4"/>
  <c r="AC16" i="17" s="1"/>
  <c r="W15" i="4"/>
  <c r="X16" i="17" s="1"/>
  <c r="T7" i="17"/>
  <c r="E13" i="17" s="1" a="1"/>
  <c r="E13" i="17" s="1"/>
  <c r="D67" i="17" s="1"/>
  <c r="V6" i="4"/>
  <c r="W7" i="17" s="1"/>
  <c r="Y29" i="4"/>
  <c r="AB7" i="17" s="1"/>
  <c r="Z33" i="4"/>
  <c r="AC11" i="17" s="1"/>
  <c r="W10" i="4"/>
  <c r="X11" i="17" s="1"/>
  <c r="K25" i="17" s="1" a="1"/>
  <c r="K25" i="17" s="1"/>
  <c r="X36" i="4"/>
  <c r="AA14" i="17" s="1"/>
  <c r="U13" i="4"/>
  <c r="V14" i="17" s="1"/>
  <c r="T17" i="17"/>
  <c r="V16" i="4"/>
  <c r="W17" i="17" s="1"/>
  <c r="J43" i="17" s="1" a="1"/>
  <c r="J43" i="17" s="1"/>
  <c r="Y39" i="4"/>
  <c r="AB17" i="17" s="1"/>
  <c r="X26" i="4"/>
  <c r="AA4" i="17" s="1"/>
  <c r="U3" i="4"/>
  <c r="V4" i="17" s="1"/>
  <c r="T26" i="4"/>
  <c r="Q3" i="4"/>
  <c r="Z30" i="4"/>
  <c r="AC8" i="17" s="1"/>
  <c r="W7" i="4"/>
  <c r="X8" i="17" s="1"/>
  <c r="K16" i="17" s="1" a="1"/>
  <c r="K16" i="17" s="1"/>
  <c r="U10" i="4"/>
  <c r="V11" i="17" s="1"/>
  <c r="X33" i="4"/>
  <c r="AA11" i="17" s="1"/>
  <c r="T14" i="17"/>
  <c r="V13" i="4"/>
  <c r="W14" i="17" s="1"/>
  <c r="J34" i="17" s="1" a="1"/>
  <c r="J34" i="17" s="1"/>
  <c r="Y36" i="4"/>
  <c r="AB14" i="17" s="1"/>
  <c r="Z40" i="4"/>
  <c r="AC18" i="17" s="1"/>
  <c r="W17" i="4"/>
  <c r="X18" i="17" s="1"/>
  <c r="T12" i="17"/>
  <c r="Y34" i="4"/>
  <c r="AB12" i="17" s="1"/>
  <c r="V11" i="4"/>
  <c r="W12" i="17" s="1"/>
  <c r="X28" i="4"/>
  <c r="AA6" i="17" s="1"/>
  <c r="U5" i="4"/>
  <c r="V6" i="17" s="1"/>
  <c r="Z27" i="4"/>
  <c r="AC5" i="17" s="1"/>
  <c r="W4" i="4"/>
  <c r="X5" i="17" s="1"/>
  <c r="K7" i="17" s="1" a="1"/>
  <c r="K7" i="17" s="1"/>
  <c r="U7" i="4"/>
  <c r="V8" i="17" s="1"/>
  <c r="X30" i="4"/>
  <c r="AA8" i="17" s="1"/>
  <c r="T11" i="17"/>
  <c r="Y33" i="4"/>
  <c r="AB11" i="17" s="1"/>
  <c r="V10" i="4"/>
  <c r="W11" i="17" s="1"/>
  <c r="Z37" i="4"/>
  <c r="AC15" i="17" s="1"/>
  <c r="W14" i="4"/>
  <c r="X15" i="17" s="1"/>
  <c r="U17" i="4"/>
  <c r="V18" i="17" s="1"/>
  <c r="X40" i="4"/>
  <c r="AA18" i="17" s="1"/>
  <c r="U8" i="4"/>
  <c r="V9" i="17" s="1"/>
  <c r="X31" i="4"/>
  <c r="AA9" i="17" s="1"/>
  <c r="X27" i="4"/>
  <c r="AA5" i="17" s="1"/>
  <c r="U4" i="4"/>
  <c r="V5" i="17" s="1"/>
  <c r="T8" i="17"/>
  <c r="V7" i="4"/>
  <c r="W8" i="17" s="1"/>
  <c r="J16" i="17" s="1" a="1"/>
  <c r="J16" i="17" s="1"/>
  <c r="Y30" i="4"/>
  <c r="AB8" i="17" s="1"/>
  <c r="Z34" i="4"/>
  <c r="AC12" i="17" s="1"/>
  <c r="W11" i="4"/>
  <c r="X12" i="17" s="1"/>
  <c r="K28" i="17" s="1" a="1"/>
  <c r="K28" i="17" s="1"/>
  <c r="X37" i="4"/>
  <c r="AA15" i="17" s="1"/>
  <c r="U14" i="4"/>
  <c r="V15" i="17" s="1"/>
  <c r="T18" i="17"/>
  <c r="V17" i="4"/>
  <c r="W18" i="17" s="1"/>
  <c r="Y40" i="4"/>
  <c r="AB18" i="17" s="1"/>
  <c r="V29" i="4"/>
  <c r="R7" i="17"/>
  <c r="G13" i="17" s="1" a="1"/>
  <c r="G13" i="17" s="1"/>
  <c r="F67" i="17" s="1"/>
  <c r="S10" i="17"/>
  <c r="F22" i="17" s="1" a="1"/>
  <c r="F22" i="17" s="1"/>
  <c r="E76" i="17" s="1"/>
  <c r="V39" i="4"/>
  <c r="R17" i="17"/>
  <c r="S7" i="17"/>
  <c r="F13" i="17" s="1" a="1"/>
  <c r="F13" i="17" s="1"/>
  <c r="E67" i="17" s="1"/>
  <c r="V36" i="4"/>
  <c r="R14" i="17"/>
  <c r="S17" i="17"/>
  <c r="S4" i="17"/>
  <c r="F4" i="17" s="1" a="1"/>
  <c r="F4" i="17" s="1"/>
  <c r="E58" i="17" s="1"/>
  <c r="V30" i="4"/>
  <c r="R8" i="17"/>
  <c r="S11" i="17"/>
  <c r="E34" i="17" a="1"/>
  <c r="E34" i="17" s="1"/>
  <c r="D88" i="17" s="1"/>
  <c r="V40" i="4"/>
  <c r="R18" i="17"/>
  <c r="V27" i="4"/>
  <c r="R5" i="17"/>
  <c r="S8" i="17"/>
  <c r="E25" i="17" a="1"/>
  <c r="E25" i="17" s="1"/>
  <c r="D79" i="17" s="1"/>
  <c r="J25" i="17" a="1"/>
  <c r="J25" i="17" s="1"/>
  <c r="V37" i="4"/>
  <c r="R15" i="17"/>
  <c r="S18" i="17"/>
  <c r="S5" i="17"/>
  <c r="E16" i="17" a="1"/>
  <c r="E16" i="17" s="1"/>
  <c r="D70" i="17" s="1"/>
  <c r="R12" i="17"/>
  <c r="S15" i="17"/>
  <c r="E46" i="17" a="1"/>
  <c r="E46" i="17" s="1"/>
  <c r="D100" i="17" s="1"/>
  <c r="J46" i="17" a="1"/>
  <c r="J46" i="17" s="1"/>
  <c r="S14" i="17"/>
  <c r="E7" i="17" a="1"/>
  <c r="E7" i="17" s="1"/>
  <c r="D61" i="17" s="1"/>
  <c r="J7" i="17" a="1"/>
  <c r="J7" i="17" s="1"/>
  <c r="V31" i="4"/>
  <c r="R9" i="17"/>
  <c r="S12" i="17"/>
  <c r="J37" i="17" a="1"/>
  <c r="J37" i="17" s="1"/>
  <c r="V41" i="4"/>
  <c r="R19" i="17"/>
  <c r="G49" i="17" s="1" a="1"/>
  <c r="G49" i="17" s="1"/>
  <c r="F103" i="17" s="1"/>
  <c r="R11" i="17"/>
  <c r="V28" i="4"/>
  <c r="R6" i="17"/>
  <c r="S9" i="17"/>
  <c r="E28" i="17" a="1"/>
  <c r="E28" i="17" s="1"/>
  <c r="D82" i="17" s="1"/>
  <c r="J28" i="17" a="1"/>
  <c r="J28" i="17" s="1"/>
  <c r="V38" i="4"/>
  <c r="R16" i="17"/>
  <c r="G40" i="17" s="1" a="1"/>
  <c r="G40" i="17" s="1"/>
  <c r="F94" i="17" s="1"/>
  <c r="S19" i="17"/>
  <c r="F49" i="17" s="1" a="1"/>
  <c r="F49" i="17" s="1"/>
  <c r="E103" i="17" s="1"/>
  <c r="S6" i="17"/>
  <c r="S16" i="17"/>
  <c r="F40" i="17" s="1" a="1"/>
  <c r="F40" i="17" s="1"/>
  <c r="E94" i="17" s="1"/>
  <c r="E43" i="17" a="1"/>
  <c r="E43" i="17" s="1"/>
  <c r="D97" i="17" s="1"/>
  <c r="E19" i="17" a="1"/>
  <c r="E19" i="17" s="1"/>
  <c r="D73" i="17" s="1"/>
  <c r="J19" i="17" a="1"/>
  <c r="J19" i="17" s="1"/>
  <c r="V35" i="4"/>
  <c r="R13" i="17"/>
  <c r="G31" i="17" s="1" a="1"/>
  <c r="G31" i="17" s="1"/>
  <c r="F85" i="17" s="1"/>
  <c r="E10" i="17" a="1"/>
  <c r="E10" i="17" s="1"/>
  <c r="D64" i="17" s="1"/>
  <c r="J10" i="17" a="1"/>
  <c r="J10" i="17" s="1"/>
  <c r="V32" i="4"/>
  <c r="R10" i="17"/>
  <c r="G22" i="17" s="1" a="1"/>
  <c r="G22" i="17" s="1"/>
  <c r="F76" i="17" s="1"/>
  <c r="S13" i="17"/>
  <c r="F31" i="17" s="1" a="1"/>
  <c r="F31" i="17" s="1"/>
  <c r="E85" i="17" s="1"/>
  <c r="S58" i="6"/>
  <c r="T40" i="2"/>
  <c r="AA58" i="6" s="1"/>
  <c r="L48" i="6" s="1" a="1"/>
  <c r="L48" i="6" s="1"/>
  <c r="T48" i="6"/>
  <c r="E18" i="6" s="1" a="1"/>
  <c r="E18" i="6" s="1"/>
  <c r="U30" i="2"/>
  <c r="AB48" i="6" s="1"/>
  <c r="M18" i="6" s="1" a="1"/>
  <c r="M18" i="6" s="1"/>
  <c r="T58" i="6"/>
  <c r="E48" i="6" s="1" a="1"/>
  <c r="E48" i="6" s="1"/>
  <c r="D102" i="6" s="1"/>
  <c r="U40" i="2"/>
  <c r="AB58" i="6" s="1"/>
  <c r="M48" i="6" s="1" a="1"/>
  <c r="M48" i="6" s="1"/>
  <c r="T45" i="6"/>
  <c r="E9" i="6" s="1" a="1"/>
  <c r="E9" i="6" s="1"/>
  <c r="D63" i="6" s="1"/>
  <c r="U27" i="2"/>
  <c r="AB45" i="6" s="1"/>
  <c r="M9" i="6" s="1" a="1"/>
  <c r="M9" i="6" s="1"/>
  <c r="S48" i="6"/>
  <c r="T30" i="2"/>
  <c r="AA48" i="6" s="1"/>
  <c r="L18" i="6" s="1" a="1"/>
  <c r="L18" i="6" s="1"/>
  <c r="S55" i="6"/>
  <c r="F39" i="6" s="1" a="1"/>
  <c r="F39" i="6" s="1"/>
  <c r="E93" i="6" s="1"/>
  <c r="T37" i="2"/>
  <c r="AA55" i="6" s="1"/>
  <c r="L39" i="6" s="1" a="1"/>
  <c r="L39" i="6" s="1"/>
  <c r="T49" i="6"/>
  <c r="E21" i="6" s="1" a="1"/>
  <c r="E21" i="6" s="1"/>
  <c r="D75" i="6" s="1"/>
  <c r="U31" i="2"/>
  <c r="AB49" i="6" s="1"/>
  <c r="M21" i="6" s="1" a="1"/>
  <c r="M21" i="6" s="1"/>
  <c r="S56" i="6"/>
  <c r="F42" i="6" s="1" a="1"/>
  <c r="F42" i="6" s="1"/>
  <c r="E96" i="6" s="1"/>
  <c r="T38" i="2"/>
  <c r="AA56" i="6" s="1"/>
  <c r="L42" i="6" s="1" a="1"/>
  <c r="L42" i="6" s="1"/>
  <c r="T59" i="6"/>
  <c r="E51" i="6" s="1" a="1"/>
  <c r="E51" i="6" s="1"/>
  <c r="D105" i="6" s="1"/>
  <c r="U41" i="2"/>
  <c r="AB59" i="6" s="1"/>
  <c r="M51" i="6" s="1" a="1"/>
  <c r="M51" i="6" s="1"/>
  <c r="S53" i="6"/>
  <c r="T35" i="2"/>
  <c r="AA53" i="6" s="1"/>
  <c r="L33" i="6" s="1" a="1"/>
  <c r="L33" i="6" s="1"/>
  <c r="T56" i="6"/>
  <c r="E42" i="6" s="1" a="1"/>
  <c r="E42" i="6" s="1"/>
  <c r="U38" i="2"/>
  <c r="AB56" i="6" s="1"/>
  <c r="M42" i="6" s="1" a="1"/>
  <c r="M42" i="6" s="1"/>
  <c r="S59" i="6"/>
  <c r="T41" i="2"/>
  <c r="AA59" i="6" s="1"/>
  <c r="L51" i="6" s="1" a="1"/>
  <c r="L51" i="6" s="1"/>
  <c r="S50" i="6"/>
  <c r="F24" i="6" s="1" a="1"/>
  <c r="F24" i="6" s="1"/>
  <c r="E78" i="6" s="1"/>
  <c r="T32" i="2"/>
  <c r="AA50" i="6" s="1"/>
  <c r="L24" i="6" s="1" a="1"/>
  <c r="L24" i="6" s="1"/>
  <c r="T53" i="6"/>
  <c r="E33" i="6" s="1" a="1"/>
  <c r="E33" i="6" s="1"/>
  <c r="D87" i="6" s="1"/>
  <c r="U35" i="2"/>
  <c r="AB53" i="6" s="1"/>
  <c r="M33" i="6" s="1" a="1"/>
  <c r="M33" i="6" s="1"/>
  <c r="T51" i="6"/>
  <c r="E27" i="6" s="1" a="1"/>
  <c r="E27" i="6" s="1"/>
  <c r="D81" i="6" s="1"/>
  <c r="U33" i="2"/>
  <c r="AB51" i="6" s="1"/>
  <c r="M27" i="6" s="1" a="1"/>
  <c r="M27" i="6" s="1"/>
  <c r="S45" i="6"/>
  <c r="T27" i="2"/>
  <c r="AA45" i="6" s="1"/>
  <c r="L9" i="6" s="1" a="1"/>
  <c r="L9" i="6" s="1"/>
  <c r="S47" i="6"/>
  <c r="T29" i="2"/>
  <c r="AA47" i="6" s="1"/>
  <c r="L15" i="6" s="1" a="1"/>
  <c r="L15" i="6" s="1"/>
  <c r="T50" i="6"/>
  <c r="E24" i="6" s="1" a="1"/>
  <c r="E24" i="6" s="1"/>
  <c r="D78" i="6" s="1"/>
  <c r="U32" i="2"/>
  <c r="AB50" i="6" s="1"/>
  <c r="M24" i="6" s="1" a="1"/>
  <c r="M24" i="6" s="1"/>
  <c r="S57" i="6"/>
  <c r="F45" i="6" s="1" a="1"/>
  <c r="F45" i="6" s="1"/>
  <c r="E99" i="6" s="1"/>
  <c r="T39" i="2"/>
  <c r="AA57" i="6" s="1"/>
  <c r="L45" i="6" s="1" a="1"/>
  <c r="L45" i="6" s="1"/>
  <c r="S49" i="6"/>
  <c r="T31" i="2"/>
  <c r="AA49" i="6" s="1"/>
  <c r="L21" i="6" s="1" a="1"/>
  <c r="L21" i="6" s="1"/>
  <c r="S46" i="6"/>
  <c r="F12" i="6" s="1" a="1"/>
  <c r="F12" i="6" s="1"/>
  <c r="E66" i="6" s="1"/>
  <c r="T28" i="2"/>
  <c r="AA46" i="6" s="1"/>
  <c r="L12" i="6" s="1" a="1"/>
  <c r="L12" i="6" s="1"/>
  <c r="T46" i="6"/>
  <c r="E12" i="6" s="1" a="1"/>
  <c r="E12" i="6" s="1"/>
  <c r="D66" i="6" s="1"/>
  <c r="U28" i="2"/>
  <c r="AB46" i="6" s="1"/>
  <c r="M12" i="6" s="1" a="1"/>
  <c r="M12" i="6" s="1"/>
  <c r="S44" i="6"/>
  <c r="F6" i="6" s="1" a="1"/>
  <c r="F6" i="6" s="1"/>
  <c r="E60" i="6" s="1"/>
  <c r="T26" i="2"/>
  <c r="AA44" i="6" s="1"/>
  <c r="L6" i="6" s="1" a="1"/>
  <c r="L6" i="6" s="1"/>
  <c r="T47" i="6"/>
  <c r="E15" i="6" s="1" a="1"/>
  <c r="E15" i="6" s="1"/>
  <c r="D69" i="6" s="1"/>
  <c r="U29" i="2"/>
  <c r="AB47" i="6" s="1"/>
  <c r="M15" i="6" s="1" a="1"/>
  <c r="M15" i="6" s="1"/>
  <c r="S54" i="6"/>
  <c r="T36" i="2"/>
  <c r="AA54" i="6" s="1"/>
  <c r="L36" i="6" s="1" a="1"/>
  <c r="L36" i="6" s="1"/>
  <c r="T57" i="6"/>
  <c r="E45" i="6" s="1" a="1"/>
  <c r="E45" i="6" s="1"/>
  <c r="D99" i="6" s="1"/>
  <c r="U39" i="2"/>
  <c r="AB57" i="6" s="1"/>
  <c r="M45" i="6" s="1" a="1"/>
  <c r="M45" i="6" s="1"/>
  <c r="T44" i="6"/>
  <c r="U26" i="2"/>
  <c r="AB44" i="6" s="1"/>
  <c r="M6" i="6" s="1" a="1"/>
  <c r="M6" i="6" s="1"/>
  <c r="S51" i="6"/>
  <c r="F27" i="6" s="1" a="1"/>
  <c r="F27" i="6" s="1"/>
  <c r="E81" i="6" s="1"/>
  <c r="T33" i="2"/>
  <c r="AA51" i="6" s="1"/>
  <c r="L27" i="6" s="1" a="1"/>
  <c r="L27" i="6" s="1"/>
  <c r="T54" i="6"/>
  <c r="E36" i="6" s="1" a="1"/>
  <c r="E36" i="6" s="1"/>
  <c r="D90" i="6" s="1"/>
  <c r="U36" i="2"/>
  <c r="AB54" i="6" s="1"/>
  <c r="M36" i="6" s="1" a="1"/>
  <c r="M36" i="6" s="1"/>
  <c r="T27" i="6"/>
  <c r="E14" i="6" s="1" a="1"/>
  <c r="E14" i="6" s="1"/>
  <c r="D68" i="6" s="1"/>
  <c r="U29" i="3"/>
  <c r="AB27" i="6" s="1"/>
  <c r="M14" i="6" s="1" a="1"/>
  <c r="M14" i="6" s="1"/>
  <c r="T37" i="6"/>
  <c r="E44" i="6" s="1" a="1"/>
  <c r="E44" i="6" s="1"/>
  <c r="D98" i="6" s="1"/>
  <c r="U39" i="3"/>
  <c r="AB37" i="6" s="1"/>
  <c r="M44" i="6" s="1" a="1"/>
  <c r="M44" i="6" s="1"/>
  <c r="S32" i="6"/>
  <c r="F29" i="6" s="1" a="1"/>
  <c r="F29" i="6" s="1"/>
  <c r="E83" i="6" s="1"/>
  <c r="Q11" i="3"/>
  <c r="T34" i="3"/>
  <c r="AA32" i="6" s="1"/>
  <c r="L29" i="6" s="1" a="1"/>
  <c r="L29" i="6" s="1"/>
  <c r="T35" i="6"/>
  <c r="E38" i="6" s="1" a="1"/>
  <c r="E38" i="6" s="1"/>
  <c r="D92" i="6" s="1"/>
  <c r="U37" i="3"/>
  <c r="AB35" i="6" s="1"/>
  <c r="M38" i="6" s="1" a="1"/>
  <c r="M38" i="6" s="1"/>
  <c r="S24" i="6"/>
  <c r="T26" i="3"/>
  <c r="AA24" i="6" s="1"/>
  <c r="L5" i="6" s="1" a="1"/>
  <c r="L5" i="6" s="1"/>
  <c r="T24" i="6"/>
  <c r="E5" i="6" s="1" a="1"/>
  <c r="E5" i="6" s="1"/>
  <c r="D59" i="6" s="1"/>
  <c r="U26" i="3"/>
  <c r="AB24" i="6" s="1"/>
  <c r="M5" i="6" s="1" a="1"/>
  <c r="M5" i="6" s="1"/>
  <c r="S28" i="6"/>
  <c r="T30" i="3"/>
  <c r="AA28" i="6" s="1"/>
  <c r="L17" i="6" s="1" a="1"/>
  <c r="L17" i="6" s="1"/>
  <c r="S25" i="6"/>
  <c r="F8" i="6" s="1" a="1"/>
  <c r="F8" i="6" s="1"/>
  <c r="E62" i="6" s="1"/>
  <c r="T27" i="3"/>
  <c r="AA25" i="6" s="1"/>
  <c r="L8" i="6" s="1" a="1"/>
  <c r="L8" i="6" s="1"/>
  <c r="S29" i="6"/>
  <c r="F20" i="6" s="1" a="1"/>
  <c r="F20" i="6" s="1"/>
  <c r="E74" i="6" s="1"/>
  <c r="T31" i="3"/>
  <c r="AA29" i="6" s="1"/>
  <c r="L20" i="6" s="1" a="1"/>
  <c r="L20" i="6" s="1"/>
  <c r="S39" i="6"/>
  <c r="T41" i="3"/>
  <c r="AA39" i="6" s="1"/>
  <c r="L50" i="6" s="1" a="1"/>
  <c r="L50" i="6" s="1"/>
  <c r="S31" i="6"/>
  <c r="T33" i="3"/>
  <c r="AA31" i="6" s="1"/>
  <c r="L26" i="6" s="1" a="1"/>
  <c r="L26" i="6" s="1"/>
  <c r="S38" i="6"/>
  <c r="T40" i="3"/>
  <c r="AA38" i="6" s="1"/>
  <c r="L47" i="6" s="1" a="1"/>
  <c r="L47" i="6" s="1"/>
  <c r="S35" i="6"/>
  <c r="F38" i="6" s="1" a="1"/>
  <c r="F38" i="6" s="1"/>
  <c r="E92" i="6" s="1"/>
  <c r="T37" i="3"/>
  <c r="AA35" i="6" s="1"/>
  <c r="L38" i="6" s="1" a="1"/>
  <c r="L38" i="6" s="1"/>
  <c r="S26" i="6"/>
  <c r="F11" i="6" s="1" a="1"/>
  <c r="F11" i="6" s="1"/>
  <c r="E65" i="6" s="1"/>
  <c r="T28" i="3"/>
  <c r="AA26" i="6" s="1"/>
  <c r="L11" i="6" s="1" a="1"/>
  <c r="L11" i="6" s="1"/>
  <c r="T29" i="6"/>
  <c r="E20" i="6" s="1" a="1"/>
  <c r="E20" i="6" s="1"/>
  <c r="D74" i="6" s="1"/>
  <c r="U31" i="3"/>
  <c r="AB29" i="6" s="1"/>
  <c r="M20" i="6" s="1" a="1"/>
  <c r="M20" i="6" s="1"/>
  <c r="S36" i="6"/>
  <c r="T38" i="3"/>
  <c r="AA36" i="6" s="1"/>
  <c r="L41" i="6" s="1" a="1"/>
  <c r="L41" i="6" s="1"/>
  <c r="T28" i="6"/>
  <c r="E17" i="6" s="1" a="1"/>
  <c r="E17" i="6" s="1"/>
  <c r="U30" i="3"/>
  <c r="AB28" i="6" s="1"/>
  <c r="M17" i="6" s="1" a="1"/>
  <c r="M17" i="6" s="1"/>
  <c r="R7" i="3"/>
  <c r="T26" i="6"/>
  <c r="E11" i="6" s="1" a="1"/>
  <c r="E11" i="6" s="1"/>
  <c r="D65" i="6" s="1"/>
  <c r="U28" i="3"/>
  <c r="AB26" i="6" s="1"/>
  <c r="M11" i="6" s="1" a="1"/>
  <c r="M11" i="6" s="1"/>
  <c r="S33" i="6"/>
  <c r="F32" i="6" s="1" a="1"/>
  <c r="F32" i="6" s="1"/>
  <c r="E86" i="6" s="1"/>
  <c r="T35" i="3"/>
  <c r="AA33" i="6" s="1"/>
  <c r="L32" i="6" s="1" a="1"/>
  <c r="L32" i="6" s="1"/>
  <c r="T36" i="6"/>
  <c r="E41" i="6" s="1" a="1"/>
  <c r="E41" i="6" s="1"/>
  <c r="D95" i="6" s="1"/>
  <c r="U38" i="3"/>
  <c r="AB36" i="6" s="1"/>
  <c r="M41" i="6" s="1" a="1"/>
  <c r="M41" i="6" s="1"/>
  <c r="T31" i="6"/>
  <c r="E26" i="6" s="1" a="1"/>
  <c r="E26" i="6" s="1"/>
  <c r="D80" i="6" s="1"/>
  <c r="U33" i="3"/>
  <c r="AB31" i="6" s="1"/>
  <c r="M26" i="6" s="1" a="1"/>
  <c r="M26" i="6" s="1"/>
  <c r="T38" i="6"/>
  <c r="E47" i="6" s="1" a="1"/>
  <c r="E47" i="6" s="1"/>
  <c r="D101" i="6" s="1"/>
  <c r="U40" i="3"/>
  <c r="AB38" i="6" s="1"/>
  <c r="M47" i="6" s="1" a="1"/>
  <c r="M47" i="6" s="1"/>
  <c r="T25" i="6"/>
  <c r="E8" i="6" s="1" a="1"/>
  <c r="E8" i="6" s="1"/>
  <c r="D62" i="6" s="1"/>
  <c r="U27" i="3"/>
  <c r="AB25" i="6" s="1"/>
  <c r="M8" i="6" s="1" a="1"/>
  <c r="M8" i="6" s="1"/>
  <c r="S30" i="6"/>
  <c r="F23" i="6" s="1" a="1"/>
  <c r="F23" i="6" s="1"/>
  <c r="E77" i="6" s="1"/>
  <c r="T32" i="3"/>
  <c r="AA30" i="6" s="1"/>
  <c r="L23" i="6" s="1" a="1"/>
  <c r="L23" i="6" s="1"/>
  <c r="T33" i="6"/>
  <c r="E32" i="6" s="1" a="1"/>
  <c r="E32" i="6" s="1"/>
  <c r="D86" i="6" s="1"/>
  <c r="U35" i="3"/>
  <c r="AB33" i="6" s="1"/>
  <c r="M32" i="6" s="1" a="1"/>
  <c r="M32" i="6" s="1"/>
  <c r="S34" i="6"/>
  <c r="T36" i="3"/>
  <c r="AA34" i="6" s="1"/>
  <c r="L35" i="6" s="1" a="1"/>
  <c r="L35" i="6" s="1"/>
  <c r="S27" i="6"/>
  <c r="F14" i="6" s="1" a="1"/>
  <c r="F14" i="6" s="1"/>
  <c r="E68" i="6" s="1"/>
  <c r="T29" i="3"/>
  <c r="AA27" i="6" s="1"/>
  <c r="L14" i="6" s="1" a="1"/>
  <c r="L14" i="6" s="1"/>
  <c r="T30" i="6"/>
  <c r="E23" i="6" s="1" a="1"/>
  <c r="E23" i="6" s="1"/>
  <c r="D77" i="6" s="1"/>
  <c r="U32" i="3"/>
  <c r="AB30" i="6" s="1"/>
  <c r="M23" i="6" s="1" a="1"/>
  <c r="M23" i="6" s="1"/>
  <c r="S37" i="6"/>
  <c r="F44" i="6" s="1" a="1"/>
  <c r="F44" i="6" s="1"/>
  <c r="E98" i="6" s="1"/>
  <c r="T39" i="3"/>
  <c r="AA37" i="6" s="1"/>
  <c r="L44" i="6" s="1" a="1"/>
  <c r="L44" i="6" s="1"/>
  <c r="S10" i="4"/>
  <c r="X11" i="6" s="1"/>
  <c r="K25" i="6" s="1" a="1"/>
  <c r="K25" i="6" s="1"/>
  <c r="V33" i="4"/>
  <c r="S11" i="4"/>
  <c r="V34" i="4"/>
  <c r="S14" i="6"/>
  <c r="F34" i="6" s="1" a="1"/>
  <c r="F34" i="6" s="1"/>
  <c r="E88" i="6" s="1"/>
  <c r="T36" i="4"/>
  <c r="T17" i="6"/>
  <c r="U39" i="4"/>
  <c r="S8" i="6"/>
  <c r="F16" i="6" s="1" a="1"/>
  <c r="F16" i="6" s="1"/>
  <c r="E70" i="6" s="1"/>
  <c r="T30" i="4"/>
  <c r="T11" i="6"/>
  <c r="E25" i="6" s="1" a="1"/>
  <c r="E25" i="6" s="1"/>
  <c r="D79" i="6" s="1"/>
  <c r="U33" i="4"/>
  <c r="S18" i="6"/>
  <c r="T40" i="4"/>
  <c r="T5" i="6"/>
  <c r="E7" i="6" s="1" a="1"/>
  <c r="E7" i="6" s="1"/>
  <c r="D61" i="6" s="1"/>
  <c r="U27" i="4"/>
  <c r="S12" i="6"/>
  <c r="T34" i="4"/>
  <c r="T15" i="6"/>
  <c r="U37" i="4"/>
  <c r="S11" i="6"/>
  <c r="F25" i="6" s="1" a="1"/>
  <c r="F25" i="6" s="1"/>
  <c r="E79" i="6" s="1"/>
  <c r="T33" i="4"/>
  <c r="S9" i="6"/>
  <c r="T31" i="4"/>
  <c r="T12" i="6"/>
  <c r="U34" i="4"/>
  <c r="S19" i="6"/>
  <c r="T41" i="4"/>
  <c r="S5" i="6"/>
  <c r="T27" i="4"/>
  <c r="S15" i="6"/>
  <c r="F37" i="6" s="1" a="1"/>
  <c r="F37" i="6" s="1"/>
  <c r="E91" i="6" s="1"/>
  <c r="T37" i="4"/>
  <c r="S6" i="6"/>
  <c r="T28" i="4"/>
  <c r="T9" i="6"/>
  <c r="U31" i="4"/>
  <c r="S16" i="6"/>
  <c r="T38" i="4"/>
  <c r="T19" i="6"/>
  <c r="E49" i="6" s="1" a="1"/>
  <c r="E49" i="6" s="1"/>
  <c r="D103" i="6" s="1"/>
  <c r="U41" i="4"/>
  <c r="T6" i="6"/>
  <c r="E10" i="6" s="1" a="1"/>
  <c r="E10" i="6" s="1"/>
  <c r="D64" i="6" s="1"/>
  <c r="U28" i="4"/>
  <c r="S13" i="6"/>
  <c r="T35" i="4"/>
  <c r="T16" i="6"/>
  <c r="U38" i="4"/>
  <c r="T8" i="6"/>
  <c r="U30" i="4"/>
  <c r="T18" i="6"/>
  <c r="E46" i="6" s="1" a="1"/>
  <c r="E46" i="6" s="1"/>
  <c r="D100" i="6" s="1"/>
  <c r="U40" i="4"/>
  <c r="S10" i="6"/>
  <c r="F22" i="6" s="1" a="1"/>
  <c r="F22" i="6" s="1"/>
  <c r="E76" i="6" s="1"/>
  <c r="T32" i="4"/>
  <c r="T13" i="6"/>
  <c r="U35" i="4"/>
  <c r="T7" i="6"/>
  <c r="E13" i="6" s="1" a="1"/>
  <c r="E13" i="6" s="1"/>
  <c r="D67" i="6" s="1"/>
  <c r="U29" i="4"/>
  <c r="T14" i="6"/>
  <c r="U36" i="4"/>
  <c r="S7" i="6"/>
  <c r="T29" i="4"/>
  <c r="T10" i="6"/>
  <c r="E22" i="6" s="1" a="1"/>
  <c r="E22" i="6" s="1"/>
  <c r="D76" i="6" s="1"/>
  <c r="U32" i="4"/>
  <c r="S17" i="6"/>
  <c r="T39" i="4"/>
  <c r="F15" i="6" a="1"/>
  <c r="F15" i="6" s="1"/>
  <c r="E69" i="6" s="1"/>
  <c r="F26" i="6" a="1"/>
  <c r="F26" i="6" s="1"/>
  <c r="E80" i="6" s="1"/>
  <c r="F18" i="6" a="1"/>
  <c r="F18" i="6" s="1"/>
  <c r="E72" i="6" s="1"/>
  <c r="F48" i="6" a="1"/>
  <c r="F48" i="6" s="1"/>
  <c r="E102" i="6" s="1"/>
  <c r="F17" i="6" a="1"/>
  <c r="F17" i="6" s="1"/>
  <c r="E71" i="6" s="1"/>
  <c r="F47" i="6" a="1"/>
  <c r="F47" i="6" s="1"/>
  <c r="E101" i="6" s="1"/>
  <c r="F36" i="6" a="1"/>
  <c r="F36" i="6" s="1"/>
  <c r="E90" i="6" s="1"/>
  <c r="F5" i="6" a="1"/>
  <c r="F5" i="6" s="1"/>
  <c r="E59" i="6" s="1"/>
  <c r="F50" i="6" a="1"/>
  <c r="F50" i="6" s="1"/>
  <c r="E104" i="6" s="1"/>
  <c r="F35" i="6" a="1"/>
  <c r="F35" i="6" s="1"/>
  <c r="E89" i="6" s="1"/>
  <c r="F9" i="6" a="1"/>
  <c r="F9" i="6" s="1"/>
  <c r="E63" i="6" s="1"/>
  <c r="F21" i="6" a="1"/>
  <c r="F21" i="6" s="1"/>
  <c r="E75" i="6" s="1"/>
  <c r="F51" i="6" a="1"/>
  <c r="F51" i="6" s="1"/>
  <c r="E105" i="6" s="1"/>
  <c r="F33" i="6" a="1"/>
  <c r="F33" i="6" s="1"/>
  <c r="E87" i="6" s="1"/>
  <c r="F41" i="6" a="1"/>
  <c r="F41" i="6" s="1"/>
  <c r="E95" i="6" s="1"/>
  <c r="X12" i="6"/>
  <c r="K28" i="6" s="1" a="1"/>
  <c r="K28" i="6" s="1"/>
  <c r="L74" i="4" a="1"/>
  <c r="L74" i="4" s="1"/>
  <c r="F28" i="6" a="1"/>
  <c r="F28" i="6" s="1"/>
  <c r="E82" i="6" s="1"/>
  <c r="E37" i="6" a="1"/>
  <c r="E37" i="6" s="1"/>
  <c r="D91" i="6" s="1"/>
  <c r="F31" i="6" a="1"/>
  <c r="F31" i="6" s="1"/>
  <c r="E85" i="6" s="1"/>
  <c r="E40" i="6" a="1"/>
  <c r="E40" i="6" s="1"/>
  <c r="D94" i="6" s="1"/>
  <c r="F7" i="6" a="1"/>
  <c r="F7" i="6" s="1"/>
  <c r="E61" i="6" s="1"/>
  <c r="E16" i="6" a="1"/>
  <c r="E16" i="6" s="1"/>
  <c r="D70" i="6" s="1"/>
  <c r="F10" i="6" a="1"/>
  <c r="F10" i="6" s="1"/>
  <c r="E64" i="6" s="1"/>
  <c r="E19" i="6" a="1"/>
  <c r="E19" i="6" s="1"/>
  <c r="D73" i="6" s="1"/>
  <c r="E31" i="6" a="1"/>
  <c r="E31" i="6" s="1"/>
  <c r="D85" i="6" s="1"/>
  <c r="F19" i="6" a="1"/>
  <c r="F19" i="6" s="1"/>
  <c r="E73" i="6" s="1"/>
  <c r="F49" i="6" a="1"/>
  <c r="F49" i="6" s="1"/>
  <c r="E103" i="6" s="1"/>
  <c r="F13" i="6" a="1"/>
  <c r="F13" i="6" s="1"/>
  <c r="E67" i="6" s="1"/>
  <c r="F43" i="6" a="1"/>
  <c r="F43" i="6" s="1"/>
  <c r="E97" i="6" s="1"/>
  <c r="F40" i="6" a="1"/>
  <c r="F40" i="6" s="1"/>
  <c r="E94" i="6" s="1"/>
  <c r="E28" i="6" a="1"/>
  <c r="E28" i="6" s="1"/>
  <c r="D82" i="6" s="1"/>
  <c r="E43" i="6" a="1"/>
  <c r="E43" i="6" s="1"/>
  <c r="D97" i="6" s="1"/>
  <c r="E34" i="6" a="1"/>
  <c r="E34" i="6" s="1"/>
  <c r="D88" i="6" s="1"/>
  <c r="F46" i="6" a="1"/>
  <c r="F46" i="6" s="1"/>
  <c r="E100" i="6" s="1"/>
  <c r="R48" i="6"/>
  <c r="S7" i="2"/>
  <c r="R58" i="6"/>
  <c r="S17" i="2"/>
  <c r="R51" i="6"/>
  <c r="S10" i="2"/>
  <c r="R55" i="6"/>
  <c r="S14" i="2"/>
  <c r="R45" i="6"/>
  <c r="S4" i="2"/>
  <c r="R49" i="6"/>
  <c r="S8" i="2"/>
  <c r="R59" i="6"/>
  <c r="S18" i="2"/>
  <c r="R56" i="6"/>
  <c r="S15" i="2"/>
  <c r="R52" i="6"/>
  <c r="S11" i="2"/>
  <c r="R50" i="6"/>
  <c r="S9" i="2"/>
  <c r="R46" i="6"/>
  <c r="S5" i="2"/>
  <c r="R53" i="6"/>
  <c r="S12" i="2"/>
  <c r="R47" i="6"/>
  <c r="S6" i="2"/>
  <c r="R57" i="6"/>
  <c r="S16" i="2"/>
  <c r="R44" i="6"/>
  <c r="S3" i="2"/>
  <c r="R54" i="6"/>
  <c r="S13" i="2"/>
  <c r="R29" i="6"/>
  <c r="S8" i="3"/>
  <c r="R26" i="6"/>
  <c r="S5" i="3"/>
  <c r="R33" i="6"/>
  <c r="S12" i="3"/>
  <c r="R27" i="6"/>
  <c r="S6" i="3"/>
  <c r="R37" i="6"/>
  <c r="S16" i="3"/>
  <c r="R30" i="6"/>
  <c r="S9" i="3"/>
  <c r="R24" i="6"/>
  <c r="S3" i="3"/>
  <c r="R34" i="6"/>
  <c r="S13" i="3"/>
  <c r="R31" i="6"/>
  <c r="S10" i="3"/>
  <c r="R25" i="6"/>
  <c r="S4" i="3"/>
  <c r="R35" i="6"/>
  <c r="S14" i="3"/>
  <c r="R28" i="6"/>
  <c r="S7" i="3"/>
  <c r="R38" i="6"/>
  <c r="S17" i="3"/>
  <c r="R32" i="6"/>
  <c r="S11" i="3"/>
  <c r="R39" i="6"/>
  <c r="S18" i="3"/>
  <c r="R36" i="6"/>
  <c r="S15" i="3"/>
  <c r="R9" i="6"/>
  <c r="S8" i="4"/>
  <c r="R19" i="6"/>
  <c r="S18" i="4"/>
  <c r="K49" i="17" s="1" a="1"/>
  <c r="K49" i="17" s="1"/>
  <c r="R6" i="6"/>
  <c r="S5" i="4"/>
  <c r="R16" i="6"/>
  <c r="S15" i="4"/>
  <c r="K40" i="17" s="1" a="1"/>
  <c r="K40" i="17" s="1"/>
  <c r="R13" i="6"/>
  <c r="S12" i="4"/>
  <c r="K31" i="17" s="1" a="1"/>
  <c r="K31" i="17" s="1"/>
  <c r="R10" i="6"/>
  <c r="S9" i="4"/>
  <c r="R17" i="6"/>
  <c r="S16" i="4"/>
  <c r="R14" i="6"/>
  <c r="S13" i="4"/>
  <c r="R4" i="6"/>
  <c r="G4" i="6" s="1" a="1"/>
  <c r="G4" i="6" s="1"/>
  <c r="S3" i="4"/>
  <c r="R7" i="6"/>
  <c r="S6" i="4"/>
  <c r="K13" i="17" s="1" a="1"/>
  <c r="K13" i="17" s="1"/>
  <c r="R8" i="6"/>
  <c r="S7" i="4"/>
  <c r="R18" i="6"/>
  <c r="S17" i="4"/>
  <c r="R5" i="6"/>
  <c r="S4" i="4"/>
  <c r="R15" i="6"/>
  <c r="S14" i="4"/>
  <c r="S4" i="6"/>
  <c r="T4" i="6"/>
  <c r="E4" i="6" s="1" a="1"/>
  <c r="E4" i="6" s="1"/>
  <c r="D58" i="6" s="1"/>
  <c r="R3" i="4"/>
  <c r="J4" i="17" s="1" a="1"/>
  <c r="J4" i="17" s="1"/>
  <c r="H58" i="17" s="1"/>
  <c r="C3" i="18" s="1"/>
  <c r="Q11" i="2"/>
  <c r="S52" i="6"/>
  <c r="R11" i="2"/>
  <c r="T52" i="6"/>
  <c r="R14" i="2"/>
  <c r="T55" i="6"/>
  <c r="R11" i="3"/>
  <c r="T32" i="6"/>
  <c r="R18" i="3"/>
  <c r="T39" i="6"/>
  <c r="R13" i="3"/>
  <c r="T34" i="6"/>
  <c r="R11" i="4"/>
  <c r="R12" i="6"/>
  <c r="Q10" i="4"/>
  <c r="R11" i="6"/>
  <c r="Q5" i="4"/>
  <c r="Q15" i="4"/>
  <c r="I40" i="17" s="1" a="1"/>
  <c r="I40" i="17" s="1"/>
  <c r="Q12" i="4"/>
  <c r="I31" i="17" s="1" a="1"/>
  <c r="I31" i="17" s="1"/>
  <c r="R15" i="4"/>
  <c r="J40" i="17" s="1" a="1"/>
  <c r="J40" i="17" s="1"/>
  <c r="R9" i="4"/>
  <c r="J22" i="17" s="1" a="1"/>
  <c r="J22" i="17" s="1"/>
  <c r="Q16" i="4"/>
  <c r="Q11" i="4"/>
  <c r="R6" i="4"/>
  <c r="J13" i="17" s="1" a="1"/>
  <c r="J13" i="17" s="1"/>
  <c r="R16" i="4"/>
  <c r="Q7" i="4"/>
  <c r="Q17" i="4"/>
  <c r="R14" i="3"/>
  <c r="R15" i="3"/>
  <c r="R12" i="3"/>
  <c r="R9" i="3"/>
  <c r="R15" i="2"/>
  <c r="R9" i="2"/>
  <c r="R18" i="2"/>
  <c r="R12" i="2"/>
  <c r="R6" i="2"/>
  <c r="R3" i="2"/>
  <c r="R13" i="2"/>
  <c r="Q12" i="2"/>
  <c r="Q3" i="2"/>
  <c r="R10" i="2"/>
  <c r="W51" i="6" s="1"/>
  <c r="J27" i="6" s="1" a="1"/>
  <c r="J27" i="6" s="1"/>
  <c r="Q15" i="2"/>
  <c r="R5" i="2"/>
  <c r="R7" i="2"/>
  <c r="Q4" i="4"/>
  <c r="Q13" i="4"/>
  <c r="R4" i="4"/>
  <c r="R7" i="4"/>
  <c r="R10" i="4"/>
  <c r="R5" i="4"/>
  <c r="Q14" i="4"/>
  <c r="Q6" i="4"/>
  <c r="I13" i="17" s="1" a="1"/>
  <c r="I13" i="17" s="1"/>
  <c r="Q9" i="4"/>
  <c r="I22" i="17" s="1" a="1"/>
  <c r="I22" i="17" s="1"/>
  <c r="D71" i="6"/>
  <c r="D72" i="6"/>
  <c r="D96" i="6"/>
  <c r="Q8" i="3"/>
  <c r="R4" i="2"/>
  <c r="Q16" i="2"/>
  <c r="Q13" i="2"/>
  <c r="Q7" i="2"/>
  <c r="Q3" i="3"/>
  <c r="R16" i="3"/>
  <c r="Q8" i="2"/>
  <c r="Q7" i="3"/>
  <c r="Q14" i="3"/>
  <c r="Q18" i="2"/>
  <c r="Q9" i="2"/>
  <c r="Q6" i="2"/>
  <c r="Q14" i="2"/>
  <c r="Q6" i="3"/>
  <c r="Q9" i="3"/>
  <c r="Q12" i="3"/>
  <c r="Q15" i="3"/>
  <c r="Q10" i="2"/>
  <c r="R3" i="3"/>
  <c r="R6" i="3"/>
  <c r="Q4" i="2"/>
  <c r="R8" i="2"/>
  <c r="Q13" i="3"/>
  <c r="Q16" i="3"/>
  <c r="Q17" i="2"/>
  <c r="Q17" i="3"/>
  <c r="R17" i="2"/>
  <c r="R8" i="3"/>
  <c r="R17" i="3"/>
  <c r="Q18" i="3"/>
  <c r="Q18" i="4"/>
  <c r="I49" i="17" s="1" a="1"/>
  <c r="I49" i="17" s="1"/>
  <c r="Q4" i="3"/>
  <c r="Q10" i="3"/>
  <c r="R4" i="3"/>
  <c r="Q5" i="2"/>
  <c r="Q5" i="3"/>
  <c r="Q8" i="4"/>
  <c r="R13" i="4"/>
  <c r="R5" i="3"/>
  <c r="R18" i="4"/>
  <c r="J49" i="17" s="1" a="1"/>
  <c r="J49" i="17" s="1"/>
  <c r="R10" i="3"/>
  <c r="R12" i="4"/>
  <c r="J31" i="17" s="1" a="1"/>
  <c r="J31" i="17" s="1"/>
  <c r="R14" i="4"/>
  <c r="R16" i="2"/>
  <c r="R8" i="4"/>
  <c r="R17" i="4"/>
  <c r="J84" i="17" l="1"/>
  <c r="E29" i="18" s="1"/>
  <c r="H84" i="17"/>
  <c r="C29" i="18" s="1"/>
  <c r="I84" i="17"/>
  <c r="D29" i="18" s="1"/>
  <c r="I87" i="17"/>
  <c r="D32" i="18" s="1"/>
  <c r="H87" i="17"/>
  <c r="C32" i="18" s="1"/>
  <c r="J87" i="17"/>
  <c r="E32" i="18" s="1"/>
  <c r="K84" i="17"/>
  <c r="I90" i="17"/>
  <c r="D35" i="18" s="1"/>
  <c r="J90" i="17"/>
  <c r="E35" i="18" s="1"/>
  <c r="H90" i="17"/>
  <c r="C35" i="18" s="1"/>
  <c r="K69" i="17"/>
  <c r="H99" i="17"/>
  <c r="C44" i="18" s="1"/>
  <c r="I99" i="17"/>
  <c r="D44" i="18" s="1"/>
  <c r="J99" i="17"/>
  <c r="E44" i="18" s="1"/>
  <c r="J63" i="17"/>
  <c r="E8" i="18" s="1"/>
  <c r="H63" i="17"/>
  <c r="C8" i="18" s="1"/>
  <c r="I63" i="17"/>
  <c r="D8" i="18" s="1"/>
  <c r="I78" i="17"/>
  <c r="D23" i="18" s="1"/>
  <c r="H78" i="17"/>
  <c r="C23" i="18" s="1"/>
  <c r="J78" i="17"/>
  <c r="E23" i="18" s="1"/>
  <c r="I105" i="17"/>
  <c r="D50" i="18" s="1"/>
  <c r="J105" i="17"/>
  <c r="E50" i="18" s="1"/>
  <c r="H105" i="17"/>
  <c r="C50" i="18" s="1"/>
  <c r="K63" i="17"/>
  <c r="I60" i="17"/>
  <c r="D5" i="18" s="1"/>
  <c r="J60" i="17"/>
  <c r="E5" i="18" s="1"/>
  <c r="H60" i="17"/>
  <c r="C5" i="18" s="1"/>
  <c r="I72" i="17"/>
  <c r="D17" i="18" s="1"/>
  <c r="J72" i="17"/>
  <c r="E17" i="18" s="1"/>
  <c r="H72" i="17"/>
  <c r="C17" i="18" s="1"/>
  <c r="I69" i="17"/>
  <c r="D14" i="18" s="1"/>
  <c r="J69" i="17"/>
  <c r="E14" i="18" s="1"/>
  <c r="H69" i="17"/>
  <c r="C14" i="18" s="1"/>
  <c r="I96" i="17"/>
  <c r="D41" i="18" s="1"/>
  <c r="J96" i="17"/>
  <c r="E41" i="18" s="1"/>
  <c r="H96" i="17"/>
  <c r="C41" i="18" s="1"/>
  <c r="I66" i="17"/>
  <c r="D11" i="18" s="1"/>
  <c r="J66" i="17"/>
  <c r="E11" i="18" s="1"/>
  <c r="H66" i="17"/>
  <c r="C11" i="18" s="1"/>
  <c r="I75" i="17"/>
  <c r="D20" i="18" s="1"/>
  <c r="J75" i="17"/>
  <c r="E20" i="18" s="1"/>
  <c r="H75" i="17"/>
  <c r="C20" i="18" s="1"/>
  <c r="H102" i="17"/>
  <c r="C47" i="18" s="1"/>
  <c r="J102" i="17"/>
  <c r="E47" i="18" s="1"/>
  <c r="I102" i="17"/>
  <c r="D47" i="18" s="1"/>
  <c r="J93" i="17"/>
  <c r="E38" i="18" s="1"/>
  <c r="I93" i="17"/>
  <c r="D38" i="18" s="1"/>
  <c r="H93" i="17"/>
  <c r="C38" i="18" s="1"/>
  <c r="I81" i="17"/>
  <c r="D26" i="18" s="1"/>
  <c r="J81" i="17"/>
  <c r="E26" i="18" s="1"/>
  <c r="H81" i="17"/>
  <c r="C26" i="18" s="1"/>
  <c r="K87" i="17"/>
  <c r="I83" i="17"/>
  <c r="D28" i="18" s="1"/>
  <c r="J83" i="17"/>
  <c r="E28" i="18" s="1"/>
  <c r="H83" i="17"/>
  <c r="C28" i="18" s="1"/>
  <c r="I101" i="17"/>
  <c r="D46" i="18" s="1"/>
  <c r="J101" i="17"/>
  <c r="E46" i="18" s="1"/>
  <c r="H101" i="17"/>
  <c r="C46" i="18" s="1"/>
  <c r="J89" i="17"/>
  <c r="E34" i="18" s="1"/>
  <c r="H89" i="17"/>
  <c r="C34" i="18" s="1"/>
  <c r="I89" i="17"/>
  <c r="D34" i="18" s="1"/>
  <c r="I71" i="17"/>
  <c r="D16" i="18" s="1"/>
  <c r="J71" i="17"/>
  <c r="E16" i="18" s="1"/>
  <c r="H71" i="17"/>
  <c r="C16" i="18" s="1"/>
  <c r="I95" i="17"/>
  <c r="D40" i="18" s="1"/>
  <c r="J95" i="17"/>
  <c r="E40" i="18" s="1"/>
  <c r="H95" i="17"/>
  <c r="C40" i="18" s="1"/>
  <c r="I62" i="17"/>
  <c r="D7" i="18" s="1"/>
  <c r="J62" i="17"/>
  <c r="E7" i="18" s="1"/>
  <c r="H62" i="17"/>
  <c r="C7" i="18" s="1"/>
  <c r="I92" i="17"/>
  <c r="D37" i="18" s="1"/>
  <c r="J92" i="17"/>
  <c r="E37" i="18" s="1"/>
  <c r="H92" i="17"/>
  <c r="C37" i="18" s="1"/>
  <c r="I77" i="17"/>
  <c r="D22" i="18" s="1"/>
  <c r="H77" i="17"/>
  <c r="C22" i="18" s="1"/>
  <c r="J77" i="17"/>
  <c r="E22" i="18" s="1"/>
  <c r="I65" i="17"/>
  <c r="D10" i="18" s="1"/>
  <c r="J65" i="17"/>
  <c r="E10" i="18" s="1"/>
  <c r="H65" i="17"/>
  <c r="C10" i="18" s="1"/>
  <c r="I104" i="17"/>
  <c r="D49" i="18" s="1"/>
  <c r="J104" i="17"/>
  <c r="E49" i="18" s="1"/>
  <c r="H104" i="17"/>
  <c r="C49" i="18" s="1"/>
  <c r="I74" i="17"/>
  <c r="D19" i="18" s="1"/>
  <c r="J74" i="17"/>
  <c r="E19" i="18" s="1"/>
  <c r="H74" i="17"/>
  <c r="C19" i="18" s="1"/>
  <c r="I59" i="17"/>
  <c r="D4" i="18" s="1"/>
  <c r="J59" i="17"/>
  <c r="E4" i="18" s="1"/>
  <c r="H59" i="17"/>
  <c r="C4" i="18" s="1"/>
  <c r="K89" i="17"/>
  <c r="I80" i="17"/>
  <c r="D25" i="18" s="1"/>
  <c r="J80" i="17"/>
  <c r="E25" i="18" s="1"/>
  <c r="H80" i="17"/>
  <c r="C25" i="18" s="1"/>
  <c r="K65" i="17"/>
  <c r="I86" i="17"/>
  <c r="D31" i="18" s="1"/>
  <c r="J86" i="17"/>
  <c r="E31" i="18" s="1"/>
  <c r="H86" i="17"/>
  <c r="C31" i="18" s="1"/>
  <c r="K62" i="17"/>
  <c r="K68" i="17"/>
  <c r="H98" i="17"/>
  <c r="C43" i="18" s="1"/>
  <c r="I98" i="17"/>
  <c r="D43" i="18" s="1"/>
  <c r="J98" i="17"/>
  <c r="E43" i="18" s="1"/>
  <c r="J68" i="17"/>
  <c r="E13" i="18" s="1"/>
  <c r="H68" i="17"/>
  <c r="C13" i="18" s="1"/>
  <c r="I68" i="17"/>
  <c r="D13" i="18" s="1"/>
  <c r="E6" i="6" a="1"/>
  <c r="E6" i="6" s="1"/>
  <c r="D60" i="6" s="1"/>
  <c r="AB10" i="6"/>
  <c r="M22" i="6" s="1" a="1"/>
  <c r="M22" i="6" s="1"/>
  <c r="M22" i="17" a="1"/>
  <c r="M22" i="17" s="1"/>
  <c r="AA10" i="6"/>
  <c r="L22" i="6" s="1" a="1"/>
  <c r="L22" i="6" s="1"/>
  <c r="L22" i="17" a="1"/>
  <c r="L22" i="17" s="1"/>
  <c r="AB6" i="6"/>
  <c r="M10" i="6" s="1" a="1"/>
  <c r="M10" i="6" s="1"/>
  <c r="M10" i="17" a="1"/>
  <c r="M10" i="17" s="1"/>
  <c r="AA15" i="6"/>
  <c r="L37" i="6" s="1" a="1"/>
  <c r="L37" i="6" s="1"/>
  <c r="L37" i="17" a="1"/>
  <c r="L37" i="17" s="1"/>
  <c r="AA11" i="6"/>
  <c r="L25" i="6" s="1" a="1"/>
  <c r="L25" i="6" s="1"/>
  <c r="L25" i="17" a="1"/>
  <c r="L25" i="17" s="1"/>
  <c r="AB7" i="6"/>
  <c r="M13" i="6" s="1" a="1"/>
  <c r="M13" i="6" s="1"/>
  <c r="M13" i="17" a="1"/>
  <c r="M13" i="17" s="1"/>
  <c r="AB16" i="6"/>
  <c r="M40" i="6" s="1" a="1"/>
  <c r="M40" i="6" s="1"/>
  <c r="M40" i="17" a="1"/>
  <c r="M40" i="17" s="1"/>
  <c r="H94" i="17" s="1"/>
  <c r="C39" i="18" s="1"/>
  <c r="AB9" i="6"/>
  <c r="M19" i="6" s="1" a="1"/>
  <c r="M19" i="6" s="1"/>
  <c r="M19" i="17" a="1"/>
  <c r="M19" i="17" s="1"/>
  <c r="AB12" i="6"/>
  <c r="M28" i="6" s="1" a="1"/>
  <c r="M28" i="6" s="1"/>
  <c r="M28" i="17" a="1"/>
  <c r="M28" i="17" s="1"/>
  <c r="AB5" i="6"/>
  <c r="M7" i="6" s="1" a="1"/>
  <c r="M7" i="6" s="1"/>
  <c r="M7" i="17" a="1"/>
  <c r="M7" i="17" s="1"/>
  <c r="AA14" i="6"/>
  <c r="L34" i="6" s="1" a="1"/>
  <c r="L34" i="6" s="1"/>
  <c r="L34" i="17" a="1"/>
  <c r="L34" i="17" s="1"/>
  <c r="AC10" i="6"/>
  <c r="N22" i="6" s="1" a="1"/>
  <c r="N22" i="6" s="1"/>
  <c r="N22" i="17" a="1"/>
  <c r="N22" i="17" s="1"/>
  <c r="J76" i="17" s="1"/>
  <c r="E21" i="18" s="1"/>
  <c r="F28" i="17" a="1"/>
  <c r="F28" i="17" s="1"/>
  <c r="E82" i="17" s="1"/>
  <c r="I28" i="17" a="1"/>
  <c r="I28" i="17" s="1"/>
  <c r="F46" i="17" a="1"/>
  <c r="F46" i="17" s="1"/>
  <c r="E100" i="17" s="1"/>
  <c r="I46" i="17" a="1"/>
  <c r="I46" i="17" s="1"/>
  <c r="V4" i="6"/>
  <c r="I4" i="6" s="1" a="1"/>
  <c r="I4" i="6" s="1"/>
  <c r="I4" i="17" a="1"/>
  <c r="I4" i="17" s="1"/>
  <c r="AC16" i="6"/>
  <c r="N40" i="6" s="1" a="1"/>
  <c r="N40" i="6" s="1"/>
  <c r="N40" i="17" a="1"/>
  <c r="N40" i="17" s="1"/>
  <c r="J94" i="17" s="1"/>
  <c r="E39" i="18" s="1"/>
  <c r="G7" i="17" a="1"/>
  <c r="G7" i="17" s="1"/>
  <c r="F61" i="17" s="1"/>
  <c r="F43" i="17" a="1"/>
  <c r="F43" i="17" s="1"/>
  <c r="E97" i="17" s="1"/>
  <c r="I43" i="17" a="1"/>
  <c r="I43" i="17" s="1"/>
  <c r="G43" i="17" a="1"/>
  <c r="G43" i="17" s="1"/>
  <c r="F97" i="17" s="1"/>
  <c r="K43" i="17" a="1"/>
  <c r="K43" i="17" s="1"/>
  <c r="AA17" i="6"/>
  <c r="L43" i="6" s="1" a="1"/>
  <c r="L43" i="6" s="1"/>
  <c r="L43" i="17" a="1"/>
  <c r="L43" i="17" s="1"/>
  <c r="AA9" i="6"/>
  <c r="L19" i="6" s="1" a="1"/>
  <c r="L19" i="6" s="1"/>
  <c r="L19" i="17" a="1"/>
  <c r="L19" i="17" s="1"/>
  <c r="G25" i="17" a="1"/>
  <c r="G25" i="17" s="1"/>
  <c r="F79" i="17" s="1"/>
  <c r="F37" i="17" a="1"/>
  <c r="F37" i="17" s="1"/>
  <c r="E91" i="17" s="1"/>
  <c r="I37" i="17" a="1"/>
  <c r="I37" i="17" s="1"/>
  <c r="I25" i="17" a="1"/>
  <c r="I25" i="17" s="1"/>
  <c r="F25" i="17" a="1"/>
  <c r="F25" i="17" s="1"/>
  <c r="E79" i="17" s="1"/>
  <c r="AC17" i="6"/>
  <c r="N43" i="6" s="1" a="1"/>
  <c r="N43" i="6" s="1"/>
  <c r="N43" i="17" a="1"/>
  <c r="N43" i="17" s="1"/>
  <c r="AC11" i="6"/>
  <c r="N25" i="6" s="1" a="1"/>
  <c r="N25" i="6" s="1"/>
  <c r="N25" i="17" a="1"/>
  <c r="N25" i="17" s="1"/>
  <c r="AB13" i="6"/>
  <c r="M31" i="6" s="1" a="1"/>
  <c r="M31" i="6" s="1"/>
  <c r="M31" i="17" a="1"/>
  <c r="M31" i="17" s="1"/>
  <c r="H85" i="17" s="1"/>
  <c r="C30" i="18" s="1"/>
  <c r="AA13" i="6"/>
  <c r="L31" i="6" s="1" a="1"/>
  <c r="L31" i="6" s="1"/>
  <c r="L31" i="17" a="1"/>
  <c r="L31" i="17" s="1"/>
  <c r="I85" i="17" s="1"/>
  <c r="D30" i="18" s="1"/>
  <c r="AA6" i="6"/>
  <c r="L10" i="6" s="1" a="1"/>
  <c r="L10" i="6" s="1"/>
  <c r="L10" i="17" a="1"/>
  <c r="L10" i="17" s="1"/>
  <c r="AA18" i="6"/>
  <c r="L46" i="6" s="1" a="1"/>
  <c r="L46" i="6" s="1"/>
  <c r="L46" i="17" a="1"/>
  <c r="L46" i="17" s="1"/>
  <c r="AC12" i="6"/>
  <c r="N28" i="6" s="1" a="1"/>
  <c r="N28" i="6" s="1"/>
  <c r="N28" i="17" a="1"/>
  <c r="N28" i="17" s="1"/>
  <c r="G19" i="17" a="1"/>
  <c r="G19" i="17" s="1"/>
  <c r="F73" i="17" s="1"/>
  <c r="G37" i="17" a="1"/>
  <c r="G37" i="17" s="1"/>
  <c r="F91" i="17" s="1"/>
  <c r="K37" i="17" a="1"/>
  <c r="K37" i="17" s="1"/>
  <c r="AC5" i="6"/>
  <c r="N7" i="6" s="1" a="1"/>
  <c r="N7" i="6" s="1"/>
  <c r="N7" i="17" a="1"/>
  <c r="N7" i="17" s="1"/>
  <c r="AB11" i="6"/>
  <c r="M25" i="6" s="1" a="1"/>
  <c r="M25" i="6" s="1"/>
  <c r="M25" i="17" a="1"/>
  <c r="M25" i="17" s="1"/>
  <c r="F10" i="17" a="1"/>
  <c r="F10" i="17" s="1"/>
  <c r="E64" i="17" s="1"/>
  <c r="I10" i="17" a="1"/>
  <c r="I10" i="17" s="1"/>
  <c r="AC9" i="6"/>
  <c r="N19" i="6" s="1" a="1"/>
  <c r="N19" i="6" s="1"/>
  <c r="N19" i="17" a="1"/>
  <c r="N19" i="17" s="1"/>
  <c r="G28" i="17" a="1"/>
  <c r="G28" i="17" s="1"/>
  <c r="F82" i="17" s="1"/>
  <c r="G16" i="17" a="1"/>
  <c r="G16" i="17" s="1"/>
  <c r="F70" i="17" s="1"/>
  <c r="G34" i="17" a="1"/>
  <c r="G34" i="17" s="1"/>
  <c r="F88" i="17" s="1"/>
  <c r="F19" i="17" a="1"/>
  <c r="F19" i="17" s="1"/>
  <c r="E73" i="17" s="1"/>
  <c r="I19" i="17" a="1"/>
  <c r="I19" i="17" s="1"/>
  <c r="AC15" i="6"/>
  <c r="N37" i="6" s="1" a="1"/>
  <c r="N37" i="6" s="1"/>
  <c r="N37" i="17" a="1"/>
  <c r="N37" i="17" s="1"/>
  <c r="AC14" i="6"/>
  <c r="N34" i="6" s="1" a="1"/>
  <c r="N34" i="6" s="1"/>
  <c r="N34" i="17" a="1"/>
  <c r="N34" i="17" s="1"/>
  <c r="AA7" i="6"/>
  <c r="L13" i="6" s="1" a="1"/>
  <c r="L13" i="6" s="1"/>
  <c r="L13" i="17" a="1"/>
  <c r="L13" i="17" s="1"/>
  <c r="I67" i="17" s="1"/>
  <c r="D12" i="18" s="1"/>
  <c r="AB18" i="6"/>
  <c r="M46" i="6" s="1" a="1"/>
  <c r="M46" i="6" s="1"/>
  <c r="M46" i="17" a="1"/>
  <c r="M46" i="17" s="1"/>
  <c r="AB19" i="6"/>
  <c r="M49" i="6" s="1" a="1"/>
  <c r="M49" i="6" s="1"/>
  <c r="M49" i="17" a="1"/>
  <c r="M49" i="17" s="1"/>
  <c r="H103" i="17" s="1"/>
  <c r="C48" i="18" s="1"/>
  <c r="AA5" i="6"/>
  <c r="L7" i="6" s="1" a="1"/>
  <c r="L7" i="6" s="1"/>
  <c r="L7" i="17" a="1"/>
  <c r="L7" i="17" s="1"/>
  <c r="AB15" i="6"/>
  <c r="M37" i="6" s="1" a="1"/>
  <c r="M37" i="6" s="1"/>
  <c r="M37" i="17" a="1"/>
  <c r="M37" i="17" s="1"/>
  <c r="AA8" i="6"/>
  <c r="L16" i="6" s="1" a="1"/>
  <c r="L16" i="6" s="1"/>
  <c r="L16" i="17" a="1"/>
  <c r="L16" i="17" s="1"/>
  <c r="AC13" i="6"/>
  <c r="N31" i="6" s="1" a="1"/>
  <c r="N31" i="6" s="1"/>
  <c r="N31" i="17" a="1"/>
  <c r="N31" i="17" s="1"/>
  <c r="J85" i="17" s="1"/>
  <c r="E30" i="18" s="1"/>
  <c r="AC19" i="6"/>
  <c r="N49" i="6" s="1" a="1"/>
  <c r="N49" i="6" s="1"/>
  <c r="N49" i="17" a="1"/>
  <c r="N49" i="17" s="1"/>
  <c r="J103" i="17" s="1"/>
  <c r="E48" i="18" s="1"/>
  <c r="G46" i="17" a="1"/>
  <c r="G46" i="17" s="1"/>
  <c r="F100" i="17" s="1"/>
  <c r="K46" i="17" a="1"/>
  <c r="K46" i="17" s="1"/>
  <c r="AC8" i="6"/>
  <c r="N16" i="6" s="1" a="1"/>
  <c r="N16" i="6" s="1"/>
  <c r="N16" i="17" a="1"/>
  <c r="N16" i="17" s="1"/>
  <c r="G10" i="17" a="1"/>
  <c r="G10" i="17" s="1"/>
  <c r="F64" i="17" s="1"/>
  <c r="AB14" i="6"/>
  <c r="M34" i="6" s="1" a="1"/>
  <c r="M34" i="6" s="1"/>
  <c r="M34" i="17" a="1"/>
  <c r="M34" i="17" s="1"/>
  <c r="AB8" i="6"/>
  <c r="M16" i="6" s="1" a="1"/>
  <c r="M16" i="6" s="1"/>
  <c r="M16" i="17" a="1"/>
  <c r="M16" i="17" s="1"/>
  <c r="AA16" i="6"/>
  <c r="L40" i="6" s="1" a="1"/>
  <c r="L40" i="6" s="1"/>
  <c r="L40" i="17" a="1"/>
  <c r="L40" i="17" s="1"/>
  <c r="I94" i="17" s="1"/>
  <c r="D39" i="18" s="1"/>
  <c r="AA12" i="6"/>
  <c r="L28" i="6" s="1" a="1"/>
  <c r="L28" i="6" s="1"/>
  <c r="L28" i="17" a="1"/>
  <c r="L28" i="17" s="1"/>
  <c r="AB17" i="6"/>
  <c r="M43" i="6" s="1" a="1"/>
  <c r="M43" i="6" s="1"/>
  <c r="M43" i="17" a="1"/>
  <c r="M43" i="17" s="1"/>
  <c r="F34" i="17" a="1"/>
  <c r="F34" i="17" s="1"/>
  <c r="E88" i="17" s="1"/>
  <c r="I34" i="17" a="1"/>
  <c r="I34" i="17" s="1"/>
  <c r="F16" i="17" a="1"/>
  <c r="F16" i="17" s="1"/>
  <c r="E70" i="17" s="1"/>
  <c r="I16" i="17" a="1"/>
  <c r="I16" i="17" s="1"/>
  <c r="AC18" i="6"/>
  <c r="N46" i="6" s="1" a="1"/>
  <c r="N46" i="6" s="1"/>
  <c r="N46" i="17" a="1"/>
  <c r="N46" i="17" s="1"/>
  <c r="H67" i="17"/>
  <c r="C12" i="18" s="1"/>
  <c r="AA19" i="6"/>
  <c r="L49" i="6" s="1" a="1"/>
  <c r="L49" i="6" s="1"/>
  <c r="L49" i="17" a="1"/>
  <c r="L49" i="17" s="1"/>
  <c r="I103" i="17" s="1"/>
  <c r="D48" i="18" s="1"/>
  <c r="H76" i="17"/>
  <c r="C21" i="18" s="1"/>
  <c r="I76" i="17"/>
  <c r="D21" i="18" s="1"/>
  <c r="AC6" i="6"/>
  <c r="N10" i="6" s="1" a="1"/>
  <c r="N10" i="6" s="1"/>
  <c r="N10" i="17" a="1"/>
  <c r="N10" i="17" s="1"/>
  <c r="F7" i="17" a="1"/>
  <c r="F7" i="17" s="1"/>
  <c r="E61" i="17" s="1"/>
  <c r="I7" i="17" a="1"/>
  <c r="I7" i="17" s="1"/>
  <c r="AA4" i="6"/>
  <c r="L4" i="6" s="1" a="1"/>
  <c r="L4" i="6" s="1"/>
  <c r="L4" i="17" a="1"/>
  <c r="L4" i="17" s="1"/>
  <c r="AC7" i="6"/>
  <c r="N13" i="6" s="1" a="1"/>
  <c r="N13" i="6" s="1"/>
  <c r="N13" i="17" a="1"/>
  <c r="N13" i="17" s="1"/>
  <c r="J67" i="17" s="1"/>
  <c r="E12" i="18" s="1"/>
  <c r="M66" i="4" a="1"/>
  <c r="M66" i="4" s="1"/>
  <c r="L72" i="2" a="1"/>
  <c r="L72" i="2" s="1"/>
  <c r="X59" i="6"/>
  <c r="K51" i="6" s="1" a="1"/>
  <c r="K51" i="6" s="1"/>
  <c r="L69" i="2" a="1"/>
  <c r="L69" i="2" s="1"/>
  <c r="X46" i="6"/>
  <c r="K12" i="6" s="1" a="1"/>
  <c r="K12" i="6" s="1"/>
  <c r="L71" i="2" a="1"/>
  <c r="L71" i="2" s="1"/>
  <c r="X49" i="6"/>
  <c r="K21" i="6" s="1" a="1"/>
  <c r="K21" i="6" s="1"/>
  <c r="M65" i="2" a="1"/>
  <c r="M65" i="2" s="1"/>
  <c r="X48" i="6"/>
  <c r="K18" i="6" s="1" a="1"/>
  <c r="K18" i="6" s="1"/>
  <c r="K79" i="2" a="1"/>
  <c r="K79" i="2" s="1"/>
  <c r="X58" i="6"/>
  <c r="K48" i="6" s="1" a="1"/>
  <c r="K48" i="6" s="1"/>
  <c r="K77" i="2" a="1"/>
  <c r="K77" i="2" s="1"/>
  <c r="X44" i="6"/>
  <c r="K6" i="6" s="1" a="1"/>
  <c r="K6" i="6" s="1"/>
  <c r="L73" i="2" a="1"/>
  <c r="L73" i="2" s="1"/>
  <c r="X50" i="6"/>
  <c r="K24" i="6" s="1" a="1"/>
  <c r="K24" i="6" s="1"/>
  <c r="M64" i="2" a="1"/>
  <c r="M64" i="2" s="1"/>
  <c r="X45" i="6"/>
  <c r="K9" i="6" s="1" a="1"/>
  <c r="K9" i="6" s="1"/>
  <c r="L75" i="2" a="1"/>
  <c r="L75" i="2" s="1"/>
  <c r="X54" i="6"/>
  <c r="K36" i="6" s="1" a="1"/>
  <c r="K36" i="6" s="1"/>
  <c r="K78" i="2" a="1"/>
  <c r="K78" i="2" s="1"/>
  <c r="X57" i="6"/>
  <c r="K45" i="6" s="1" a="1"/>
  <c r="K45" i="6" s="1"/>
  <c r="L74" i="2" a="1"/>
  <c r="L74" i="2" s="1"/>
  <c r="X52" i="6"/>
  <c r="K30" i="6" s="1" a="1"/>
  <c r="K30" i="6" s="1"/>
  <c r="L76" i="2" a="1"/>
  <c r="L76" i="2" s="1"/>
  <c r="X55" i="6"/>
  <c r="K39" i="6" s="1" a="1"/>
  <c r="K39" i="6" s="1"/>
  <c r="M67" i="2" a="1"/>
  <c r="M67" i="2" s="1"/>
  <c r="X53" i="6"/>
  <c r="K33" i="6" s="1" a="1"/>
  <c r="K33" i="6" s="1"/>
  <c r="M66" i="2" a="1"/>
  <c r="M66" i="2" s="1"/>
  <c r="X51" i="6"/>
  <c r="K27" i="6" s="1" a="1"/>
  <c r="K27" i="6" s="1"/>
  <c r="L70" i="2" a="1"/>
  <c r="L70" i="2" s="1"/>
  <c r="X47" i="6"/>
  <c r="K15" i="6" s="1" a="1"/>
  <c r="K15" i="6" s="1"/>
  <c r="M68" i="2" a="1"/>
  <c r="M68" i="2" s="1"/>
  <c r="X56" i="6"/>
  <c r="K42" i="6" s="1" a="1"/>
  <c r="K42" i="6" s="1"/>
  <c r="M64" i="3" a="1"/>
  <c r="M64" i="3" s="1"/>
  <c r="X25" i="6"/>
  <c r="K8" i="6" s="1" a="1"/>
  <c r="K8" i="6" s="1"/>
  <c r="K78" i="3" a="1"/>
  <c r="K78" i="3" s="1"/>
  <c r="X37" i="6"/>
  <c r="K44" i="6" s="1" a="1"/>
  <c r="K44" i="6" s="1"/>
  <c r="L74" i="3" a="1"/>
  <c r="L74" i="3" s="1"/>
  <c r="X32" i="6"/>
  <c r="K29" i="6" s="1" a="1"/>
  <c r="K29" i="6" s="1"/>
  <c r="M66" i="3" a="1"/>
  <c r="M66" i="3" s="1"/>
  <c r="X31" i="6"/>
  <c r="K26" i="6" s="1" a="1"/>
  <c r="K26" i="6" s="1"/>
  <c r="L70" i="3" a="1"/>
  <c r="L70" i="3" s="1"/>
  <c r="X27" i="6"/>
  <c r="K14" i="6" s="1" a="1"/>
  <c r="K14" i="6" s="1"/>
  <c r="L72" i="3" a="1"/>
  <c r="L72" i="3" s="1"/>
  <c r="X39" i="6"/>
  <c r="K50" i="6" s="1" a="1"/>
  <c r="K50" i="6" s="1"/>
  <c r="K79" i="3" a="1"/>
  <c r="K79" i="3" s="1"/>
  <c r="X38" i="6"/>
  <c r="K47" i="6" s="1" a="1"/>
  <c r="K47" i="6" s="1"/>
  <c r="L75" i="3" a="1"/>
  <c r="L75" i="3" s="1"/>
  <c r="X34" i="6"/>
  <c r="K35" i="6" s="1" a="1"/>
  <c r="K35" i="6" s="1"/>
  <c r="M67" i="3" a="1"/>
  <c r="M67" i="3" s="1"/>
  <c r="X33" i="6"/>
  <c r="K32" i="6" s="1" a="1"/>
  <c r="K32" i="6" s="1"/>
  <c r="M65" i="3" a="1"/>
  <c r="M65" i="3" s="1"/>
  <c r="X28" i="6"/>
  <c r="K17" i="6" s="1" a="1"/>
  <c r="K17" i="6" s="1"/>
  <c r="K77" i="3" a="1"/>
  <c r="K77" i="3" s="1"/>
  <c r="X24" i="6"/>
  <c r="K5" i="6" s="1" a="1"/>
  <c r="K5" i="6" s="1"/>
  <c r="L69" i="3" a="1"/>
  <c r="L69" i="3" s="1"/>
  <c r="X26" i="6"/>
  <c r="K11" i="6" s="1" a="1"/>
  <c r="K11" i="6" s="1"/>
  <c r="M68" i="3" a="1"/>
  <c r="M68" i="3" s="1"/>
  <c r="X36" i="6"/>
  <c r="K41" i="6" s="1" a="1"/>
  <c r="K41" i="6" s="1"/>
  <c r="L76" i="3" a="1"/>
  <c r="L76" i="3" s="1"/>
  <c r="X35" i="6"/>
  <c r="K38" i="6" s="1" a="1"/>
  <c r="K38" i="6" s="1"/>
  <c r="L73" i="3" a="1"/>
  <c r="L73" i="3" s="1"/>
  <c r="X30" i="6"/>
  <c r="K23" i="6" s="1" a="1"/>
  <c r="K23" i="6" s="1"/>
  <c r="L71" i="3" a="1"/>
  <c r="L71" i="3" s="1"/>
  <c r="X29" i="6"/>
  <c r="K20" i="6" s="1" a="1"/>
  <c r="K20" i="6" s="1"/>
  <c r="E29" i="6" a="1"/>
  <c r="E29" i="6" s="1"/>
  <c r="D83" i="6" s="1"/>
  <c r="E39" i="6" a="1"/>
  <c r="E39" i="6" s="1"/>
  <c r="D93" i="6" s="1"/>
  <c r="G50" i="6" a="1"/>
  <c r="G50" i="6" s="1"/>
  <c r="F104" i="6" s="1"/>
  <c r="G8" i="6" a="1"/>
  <c r="G8" i="6" s="1"/>
  <c r="F62" i="6" s="1"/>
  <c r="G44" i="6" a="1"/>
  <c r="G44" i="6" s="1"/>
  <c r="F98" i="6" s="1"/>
  <c r="G36" i="6" a="1"/>
  <c r="G36" i="6" s="1"/>
  <c r="F90" i="6" s="1"/>
  <c r="G12" i="6" a="1"/>
  <c r="G12" i="6" s="1"/>
  <c r="F66" i="6" s="1"/>
  <c r="G21" i="6" a="1"/>
  <c r="G21" i="6" s="1"/>
  <c r="F75" i="6" s="1"/>
  <c r="G18" i="6" a="1"/>
  <c r="G18" i="6" s="1"/>
  <c r="F72" i="6" s="1"/>
  <c r="G23" i="6" a="1"/>
  <c r="G23" i="6" s="1"/>
  <c r="F77" i="6" s="1"/>
  <c r="G51" i="6" a="1"/>
  <c r="G51" i="6" s="1"/>
  <c r="F105" i="6" s="1"/>
  <c r="E30" i="6" a="1"/>
  <c r="E30" i="6" s="1"/>
  <c r="D84" i="6" s="1"/>
  <c r="G29" i="6" a="1"/>
  <c r="G29" i="6" s="1"/>
  <c r="F83" i="6" s="1"/>
  <c r="G26" i="6" a="1"/>
  <c r="G26" i="6" s="1"/>
  <c r="F80" i="6" s="1"/>
  <c r="G14" i="6" a="1"/>
  <c r="G14" i="6" s="1"/>
  <c r="F68" i="6" s="1"/>
  <c r="G6" i="6" a="1"/>
  <c r="G6" i="6" s="1"/>
  <c r="F60" i="6" s="1"/>
  <c r="G24" i="6" a="1"/>
  <c r="G24" i="6" s="1"/>
  <c r="F78" i="6" s="1"/>
  <c r="G9" i="6" a="1"/>
  <c r="G9" i="6" s="1"/>
  <c r="F63" i="6" s="1"/>
  <c r="G38" i="6" a="1"/>
  <c r="G38" i="6" s="1"/>
  <c r="F92" i="6" s="1"/>
  <c r="G33" i="6" a="1"/>
  <c r="G33" i="6" s="1"/>
  <c r="F87" i="6" s="1"/>
  <c r="G48" i="6" a="1"/>
  <c r="G48" i="6" s="1"/>
  <c r="F102" i="6" s="1"/>
  <c r="G20" i="6" a="1"/>
  <c r="G20" i="6" s="1"/>
  <c r="F74" i="6" s="1"/>
  <c r="E35" i="6" a="1"/>
  <c r="E35" i="6" s="1"/>
  <c r="D89" i="6" s="1"/>
  <c r="G47" i="6" a="1"/>
  <c r="G47" i="6" s="1"/>
  <c r="F101" i="6" s="1"/>
  <c r="G35" i="6" a="1"/>
  <c r="G35" i="6" s="1"/>
  <c r="F89" i="6" s="1"/>
  <c r="G32" i="6" a="1"/>
  <c r="G32" i="6" s="1"/>
  <c r="F86" i="6" s="1"/>
  <c r="G45" i="6" a="1"/>
  <c r="G45" i="6" s="1"/>
  <c r="F99" i="6" s="1"/>
  <c r="G30" i="6" a="1"/>
  <c r="G30" i="6" s="1"/>
  <c r="F84" i="6" s="1"/>
  <c r="G39" i="6" a="1"/>
  <c r="G39" i="6" s="1"/>
  <c r="F93" i="6" s="1"/>
  <c r="G41" i="6" a="1"/>
  <c r="G41" i="6" s="1"/>
  <c r="F95" i="6" s="1"/>
  <c r="E50" i="6" a="1"/>
  <c r="E50" i="6" s="1"/>
  <c r="D104" i="6" s="1"/>
  <c r="F30" i="6" a="1"/>
  <c r="F30" i="6" s="1"/>
  <c r="E84" i="6" s="1"/>
  <c r="G17" i="6" a="1"/>
  <c r="G17" i="6" s="1"/>
  <c r="F71" i="6" s="1"/>
  <c r="G5" i="6" a="1"/>
  <c r="G5" i="6" s="1"/>
  <c r="F59" i="6" s="1"/>
  <c r="G11" i="6" a="1"/>
  <c r="G11" i="6" s="1"/>
  <c r="F65" i="6" s="1"/>
  <c r="G15" i="6" a="1"/>
  <c r="G15" i="6" s="1"/>
  <c r="F69" i="6" s="1"/>
  <c r="G42" i="6" a="1"/>
  <c r="G42" i="6" s="1"/>
  <c r="F96" i="6" s="1"/>
  <c r="G27" i="6" a="1"/>
  <c r="G27" i="6" s="1"/>
  <c r="F81" i="6" s="1"/>
  <c r="L70" i="4" a="1"/>
  <c r="L70" i="4" s="1"/>
  <c r="X7" i="6"/>
  <c r="K13" i="6" s="1" a="1"/>
  <c r="K13" i="6" s="1"/>
  <c r="X13" i="6"/>
  <c r="K31" i="6" s="1" a="1"/>
  <c r="K31" i="6" s="1"/>
  <c r="M67" i="4" a="1"/>
  <c r="M67" i="4" s="1"/>
  <c r="L76" i="4" a="1"/>
  <c r="L76" i="4" s="1"/>
  <c r="X15" i="6"/>
  <c r="K37" i="6" s="1" a="1"/>
  <c r="K37" i="6" s="1"/>
  <c r="M68" i="4" a="1"/>
  <c r="M68" i="4" s="1"/>
  <c r="X16" i="6"/>
  <c r="K40" i="6" s="1" a="1"/>
  <c r="K40" i="6" s="1"/>
  <c r="L69" i="4" a="1"/>
  <c r="L69" i="4" s="1"/>
  <c r="X6" i="6"/>
  <c r="K10" i="6" s="1" a="1"/>
  <c r="K10" i="6" s="1"/>
  <c r="X18" i="6"/>
  <c r="K46" i="6" s="1" a="1"/>
  <c r="K46" i="6" s="1"/>
  <c r="K79" i="4" a="1"/>
  <c r="K79" i="4" s="1"/>
  <c r="L75" i="4" a="1"/>
  <c r="L75" i="4" s="1"/>
  <c r="X14" i="6"/>
  <c r="K34" i="6" s="1" a="1"/>
  <c r="K34" i="6" s="1"/>
  <c r="K78" i="4" a="1"/>
  <c r="K78" i="4" s="1"/>
  <c r="X17" i="6"/>
  <c r="K43" i="6" s="1" a="1"/>
  <c r="K43" i="6" s="1"/>
  <c r="X19" i="6"/>
  <c r="K49" i="6" s="1" a="1"/>
  <c r="K49" i="6" s="1"/>
  <c r="L72" i="4" a="1"/>
  <c r="L72" i="4" s="1"/>
  <c r="X8" i="6"/>
  <c r="K16" i="6" s="1" a="1"/>
  <c r="K16" i="6" s="1"/>
  <c r="M65" i="4" a="1"/>
  <c r="M65" i="4" s="1"/>
  <c r="M64" i="4" a="1"/>
  <c r="M64" i="4" s="1"/>
  <c r="X5" i="6"/>
  <c r="K7" i="6" s="1" a="1"/>
  <c r="K7" i="6" s="1"/>
  <c r="X10" i="6"/>
  <c r="K22" i="6" s="1" a="1"/>
  <c r="K22" i="6" s="1"/>
  <c r="L73" i="4" a="1"/>
  <c r="L73" i="4" s="1"/>
  <c r="X9" i="6"/>
  <c r="K19" i="6" s="1" a="1"/>
  <c r="K19" i="6" s="1"/>
  <c r="L71" i="4" a="1"/>
  <c r="L71" i="4" s="1"/>
  <c r="K77" i="4" a="1"/>
  <c r="K77" i="4" s="1"/>
  <c r="X4" i="6"/>
  <c r="K4" i="6" s="1" a="1"/>
  <c r="K4" i="6" s="1"/>
  <c r="G34" i="6" a="1"/>
  <c r="G34" i="6" s="1"/>
  <c r="F88" i="6" s="1"/>
  <c r="G10" i="6" a="1"/>
  <c r="G10" i="6" s="1"/>
  <c r="F64" i="6" s="1"/>
  <c r="G16" i="6" a="1"/>
  <c r="G16" i="6" s="1"/>
  <c r="F70" i="6" s="1"/>
  <c r="G22" i="6" a="1"/>
  <c r="G22" i="6" s="1"/>
  <c r="F76" i="6" s="1"/>
  <c r="G19" i="6" a="1"/>
  <c r="G19" i="6" s="1"/>
  <c r="F73" i="6" s="1"/>
  <c r="G7" i="6" a="1"/>
  <c r="G7" i="6" s="1"/>
  <c r="F61" i="6" s="1"/>
  <c r="G43" i="6" a="1"/>
  <c r="G43" i="6" s="1"/>
  <c r="F97" i="6" s="1"/>
  <c r="G49" i="6" a="1"/>
  <c r="G49" i="6" s="1"/>
  <c r="F103" i="6" s="1"/>
  <c r="F4" i="6" a="1"/>
  <c r="F4" i="6" s="1"/>
  <c r="E58" i="6" s="1"/>
  <c r="G28" i="6" a="1"/>
  <c r="G28" i="6" s="1"/>
  <c r="F82" i="6" s="1"/>
  <c r="G13" i="6" a="1"/>
  <c r="G13" i="6" s="1"/>
  <c r="F67" i="6" s="1"/>
  <c r="G31" i="6" a="1"/>
  <c r="G31" i="6" s="1"/>
  <c r="F85" i="6" s="1"/>
  <c r="G46" i="6" a="1"/>
  <c r="G46" i="6" s="1"/>
  <c r="F100" i="6" s="1"/>
  <c r="G25" i="6" a="1"/>
  <c r="G25" i="6" s="1"/>
  <c r="F79" i="6" s="1"/>
  <c r="G37" i="6" a="1"/>
  <c r="G37" i="6" s="1"/>
  <c r="F91" i="6" s="1"/>
  <c r="G40" i="6" a="1"/>
  <c r="G40" i="6" s="1"/>
  <c r="F94" i="6" s="1"/>
  <c r="F58" i="6"/>
  <c r="M47" i="2" a="1"/>
  <c r="M47" i="2" s="1"/>
  <c r="L56" i="2" a="1"/>
  <c r="L56" i="2" s="1"/>
  <c r="W54" i="6"/>
  <c r="L38" i="2" a="1"/>
  <c r="L38" i="2" s="1"/>
  <c r="V55" i="6"/>
  <c r="L37" i="2" a="1"/>
  <c r="L37" i="2" s="1"/>
  <c r="V54" i="6"/>
  <c r="K58" i="2" a="1"/>
  <c r="K58" i="2" s="1"/>
  <c r="W44" i="6"/>
  <c r="L51" i="2" a="1"/>
  <c r="L51" i="2" s="1"/>
  <c r="W47" i="6"/>
  <c r="M48" i="2" a="1"/>
  <c r="M48" i="2" s="1"/>
  <c r="W53" i="6"/>
  <c r="M46" i="2" a="1"/>
  <c r="M46" i="2" s="1"/>
  <c r="W48" i="6"/>
  <c r="L53" i="2" a="1"/>
  <c r="L53" i="2" s="1"/>
  <c r="W59" i="6"/>
  <c r="M27" i="2" a="1"/>
  <c r="M27" i="2" s="1"/>
  <c r="V48" i="6"/>
  <c r="L52" i="2" a="1"/>
  <c r="L52" i="2" s="1"/>
  <c r="W49" i="6"/>
  <c r="L32" i="2" a="1"/>
  <c r="L32" i="2" s="1"/>
  <c r="V47" i="6"/>
  <c r="K40" i="2" a="1"/>
  <c r="K40" i="2" s="1"/>
  <c r="V57" i="6"/>
  <c r="L50" i="2" a="1"/>
  <c r="L50" i="2" s="1"/>
  <c r="W46" i="6"/>
  <c r="L54" i="2" a="1"/>
  <c r="L54" i="2" s="1"/>
  <c r="W50" i="6"/>
  <c r="L57" i="2" a="1"/>
  <c r="L57" i="2" s="1"/>
  <c r="W55" i="6"/>
  <c r="M30" i="2" a="1"/>
  <c r="M30" i="2" s="1"/>
  <c r="V56" i="6"/>
  <c r="M49" i="2" a="1"/>
  <c r="M49" i="2" s="1"/>
  <c r="W56" i="6"/>
  <c r="M26" i="2" a="1"/>
  <c r="M26" i="2" s="1"/>
  <c r="V45" i="6"/>
  <c r="M45" i="2" a="1"/>
  <c r="M45" i="2" s="1"/>
  <c r="W45" i="6"/>
  <c r="L34" i="2" a="1"/>
  <c r="L34" i="2" s="1"/>
  <c r="V59" i="6"/>
  <c r="M28" i="2" a="1"/>
  <c r="M28" i="2" s="1"/>
  <c r="V51" i="6"/>
  <c r="K60" i="2" a="1"/>
  <c r="K60" i="2" s="1"/>
  <c r="W58" i="6"/>
  <c r="L33" i="2" a="1"/>
  <c r="L33" i="2" s="1"/>
  <c r="V49" i="6"/>
  <c r="L55" i="2" a="1"/>
  <c r="L55" i="2" s="1"/>
  <c r="W52" i="6"/>
  <c r="L35" i="2" a="1"/>
  <c r="L35" i="2" s="1"/>
  <c r="V50" i="6"/>
  <c r="K59" i="2" a="1"/>
  <c r="K59" i="2" s="1"/>
  <c r="W57" i="6"/>
  <c r="L31" i="2" a="1"/>
  <c r="L31" i="2" s="1"/>
  <c r="V46" i="6"/>
  <c r="K39" i="2" a="1"/>
  <c r="K39" i="2" s="1"/>
  <c r="V44" i="6"/>
  <c r="I6" i="6" s="1" a="1"/>
  <c r="I6" i="6" s="1"/>
  <c r="K41" i="2" a="1"/>
  <c r="K41" i="2" s="1"/>
  <c r="V58" i="6"/>
  <c r="M29" i="2" a="1"/>
  <c r="M29" i="2" s="1"/>
  <c r="V53" i="6"/>
  <c r="L36" i="2" a="1"/>
  <c r="L36" i="2" s="1"/>
  <c r="V52" i="6"/>
  <c r="M28" i="3" a="1"/>
  <c r="M28" i="3" s="1"/>
  <c r="V31" i="6"/>
  <c r="K40" i="3" a="1"/>
  <c r="K40" i="3" s="1"/>
  <c r="V37" i="6"/>
  <c r="L32" i="3" a="1"/>
  <c r="L32" i="3" s="1"/>
  <c r="V27" i="6"/>
  <c r="K41" i="3" a="1"/>
  <c r="K41" i="3" s="1"/>
  <c r="V38" i="6"/>
  <c r="M29" i="3" a="1"/>
  <c r="M29" i="3" s="1"/>
  <c r="V33" i="6"/>
  <c r="K59" i="3" a="1"/>
  <c r="K59" i="3" s="1"/>
  <c r="W37" i="6"/>
  <c r="M47" i="3" a="1"/>
  <c r="M47" i="3" s="1"/>
  <c r="W31" i="6"/>
  <c r="M26" i="3" a="1"/>
  <c r="M26" i="3" s="1"/>
  <c r="V25" i="6"/>
  <c r="L37" i="3" a="1"/>
  <c r="L37" i="3" s="1"/>
  <c r="V34" i="6"/>
  <c r="L54" i="3" a="1"/>
  <c r="L54" i="3" s="1"/>
  <c r="W30" i="6"/>
  <c r="L50" i="3" a="1"/>
  <c r="L50" i="3" s="1"/>
  <c r="W26" i="6"/>
  <c r="L34" i="3" a="1"/>
  <c r="L34" i="3" s="1"/>
  <c r="V39" i="6"/>
  <c r="L51" i="3" a="1"/>
  <c r="L51" i="3" s="1"/>
  <c r="W27" i="6"/>
  <c r="L33" i="3" a="1"/>
  <c r="L33" i="3" s="1"/>
  <c r="V29" i="6"/>
  <c r="M48" i="3" a="1"/>
  <c r="M48" i="3" s="1"/>
  <c r="W33" i="6"/>
  <c r="M49" i="3" a="1"/>
  <c r="M49" i="3" s="1"/>
  <c r="W36" i="6"/>
  <c r="L56" i="3" a="1"/>
  <c r="L56" i="3" s="1"/>
  <c r="W34" i="6"/>
  <c r="L52" i="3" a="1"/>
  <c r="L52" i="3" s="1"/>
  <c r="W29" i="6"/>
  <c r="M27" i="3" a="1"/>
  <c r="M27" i="3" s="1"/>
  <c r="V28" i="6"/>
  <c r="L57" i="3" a="1"/>
  <c r="L57" i="3" s="1"/>
  <c r="W35" i="6"/>
  <c r="K60" i="3" a="1"/>
  <c r="K60" i="3" s="1"/>
  <c r="W38" i="6"/>
  <c r="K58" i="3" a="1"/>
  <c r="K58" i="3" s="1"/>
  <c r="W24" i="6"/>
  <c r="L38" i="3" a="1"/>
  <c r="L38" i="3" s="1"/>
  <c r="V35" i="6"/>
  <c r="L31" i="3" a="1"/>
  <c r="L31" i="3" s="1"/>
  <c r="V26" i="6"/>
  <c r="M30" i="3" a="1"/>
  <c r="M30" i="3" s="1"/>
  <c r="V36" i="6"/>
  <c r="L36" i="3" a="1"/>
  <c r="L36" i="3" s="1"/>
  <c r="V32" i="6"/>
  <c r="L53" i="3" a="1"/>
  <c r="L53" i="3" s="1"/>
  <c r="W39" i="6"/>
  <c r="M46" i="3" a="1"/>
  <c r="M46" i="3" s="1"/>
  <c r="W28" i="6"/>
  <c r="M45" i="3" a="1"/>
  <c r="M45" i="3" s="1"/>
  <c r="W25" i="6"/>
  <c r="L35" i="3" a="1"/>
  <c r="L35" i="3" s="1"/>
  <c r="V30" i="6"/>
  <c r="K39" i="3" a="1"/>
  <c r="K39" i="3" s="1"/>
  <c r="V24" i="6"/>
  <c r="L55" i="3" a="1"/>
  <c r="L55" i="3" s="1"/>
  <c r="W32" i="6"/>
  <c r="L37" i="4" a="1"/>
  <c r="L37" i="4" s="1"/>
  <c r="V14" i="6"/>
  <c r="K58" i="4" a="1"/>
  <c r="K58" i="4" s="1"/>
  <c r="W4" i="6"/>
  <c r="J4" i="6" s="1" a="1"/>
  <c r="J4" i="6" s="1"/>
  <c r="K60" i="4" a="1"/>
  <c r="K60" i="4" s="1"/>
  <c r="W18" i="6"/>
  <c r="L33" i="4" a="1"/>
  <c r="L33" i="4" s="1"/>
  <c r="V9" i="6"/>
  <c r="L50" i="4" a="1"/>
  <c r="L50" i="4" s="1"/>
  <c r="W6" i="6"/>
  <c r="K40" i="4" a="1"/>
  <c r="K40" i="4" s="1"/>
  <c r="V17" i="6"/>
  <c r="L52" i="4" a="1"/>
  <c r="L52" i="4" s="1"/>
  <c r="W9" i="6"/>
  <c r="M47" i="4" a="1"/>
  <c r="M47" i="4" s="1"/>
  <c r="W11" i="6"/>
  <c r="L54" i="4" a="1"/>
  <c r="L54" i="4" s="1"/>
  <c r="W10" i="6"/>
  <c r="M46" i="4" a="1"/>
  <c r="M46" i="4" s="1"/>
  <c r="W8" i="6"/>
  <c r="M49" i="4" a="1"/>
  <c r="M49" i="4" s="1"/>
  <c r="W16" i="6"/>
  <c r="L57" i="4" a="1"/>
  <c r="L57" i="4" s="1"/>
  <c r="W15" i="6"/>
  <c r="M45" i="4" a="1"/>
  <c r="M45" i="4" s="1"/>
  <c r="W5" i="6"/>
  <c r="M29" i="4" a="1"/>
  <c r="M29" i="4" s="1"/>
  <c r="V13" i="6"/>
  <c r="M30" i="4" a="1"/>
  <c r="M30" i="4" s="1"/>
  <c r="V16" i="6"/>
  <c r="M26" i="4" a="1"/>
  <c r="M26" i="4" s="1"/>
  <c r="V5" i="6"/>
  <c r="K41" i="4" a="1"/>
  <c r="K41" i="4" s="1"/>
  <c r="V18" i="6"/>
  <c r="L31" i="4" a="1"/>
  <c r="L31" i="4" s="1"/>
  <c r="V6" i="6"/>
  <c r="L53" i="4" a="1"/>
  <c r="L53" i="4" s="1"/>
  <c r="W19" i="6"/>
  <c r="L34" i="4" a="1"/>
  <c r="L34" i="4" s="1"/>
  <c r="V19" i="6"/>
  <c r="M27" i="4" a="1"/>
  <c r="M27" i="4" s="1"/>
  <c r="V8" i="6"/>
  <c r="M48" i="4" a="1"/>
  <c r="M48" i="4" s="1"/>
  <c r="W13" i="6"/>
  <c r="K39" i="4" a="1"/>
  <c r="K39" i="4" s="1"/>
  <c r="L35" i="4" a="1"/>
  <c r="L35" i="4" s="1"/>
  <c r="V10" i="6"/>
  <c r="K59" i="4" a="1"/>
  <c r="K59" i="4" s="1"/>
  <c r="W17" i="6"/>
  <c r="M28" i="4" a="1"/>
  <c r="M28" i="4" s="1"/>
  <c r="V11" i="6"/>
  <c r="L32" i="4" a="1"/>
  <c r="L32" i="4" s="1"/>
  <c r="V7" i="6"/>
  <c r="L51" i="4" a="1"/>
  <c r="L51" i="4" s="1"/>
  <c r="W7" i="6"/>
  <c r="L56" i="4" a="1"/>
  <c r="L56" i="4" s="1"/>
  <c r="W14" i="6"/>
  <c r="L38" i="4" a="1"/>
  <c r="L38" i="4" s="1"/>
  <c r="V15" i="6"/>
  <c r="L36" i="4" a="1"/>
  <c r="L36" i="4" s="1"/>
  <c r="V12" i="6"/>
  <c r="L55" i="4" a="1"/>
  <c r="L55" i="4" s="1"/>
  <c r="W12" i="6"/>
  <c r="K71" i="17" l="1"/>
  <c r="K95" i="17"/>
  <c r="K101" i="17"/>
  <c r="K78" i="17"/>
  <c r="K93" i="17"/>
  <c r="F60" i="18"/>
  <c r="J60" i="18"/>
  <c r="B60" i="18"/>
  <c r="K83" i="17"/>
  <c r="K66" i="17"/>
  <c r="B72" i="18"/>
  <c r="C72" i="18" s="1"/>
  <c r="F72" i="18"/>
  <c r="G72" i="18" s="1"/>
  <c r="J72" i="18"/>
  <c r="K104" i="17"/>
  <c r="K96" i="17"/>
  <c r="F66" i="18"/>
  <c r="B66" i="18"/>
  <c r="J66" i="18"/>
  <c r="K90" i="17"/>
  <c r="K99" i="17"/>
  <c r="K75" i="17"/>
  <c r="K102" i="17"/>
  <c r="K60" i="17"/>
  <c r="K105" i="17"/>
  <c r="K72" i="17"/>
  <c r="K81" i="17"/>
  <c r="B65" i="18"/>
  <c r="J65" i="18"/>
  <c r="F65" i="18"/>
  <c r="B71" i="18"/>
  <c r="C71" i="18" s="1"/>
  <c r="K98" i="17"/>
  <c r="K59" i="17"/>
  <c r="K92" i="17"/>
  <c r="K74" i="17"/>
  <c r="K86" i="17"/>
  <c r="F59" i="18"/>
  <c r="J59" i="18"/>
  <c r="B59" i="18"/>
  <c r="K80" i="17"/>
  <c r="J71" i="18"/>
  <c r="F71" i="18"/>
  <c r="G71" i="18" s="1"/>
  <c r="K77" i="17"/>
  <c r="I73" i="17"/>
  <c r="D18" i="18" s="1"/>
  <c r="H91" i="17"/>
  <c r="C36" i="18" s="1"/>
  <c r="K67" i="17"/>
  <c r="H82" i="17"/>
  <c r="C27" i="18" s="1"/>
  <c r="K103" i="17"/>
  <c r="K76" i="17"/>
  <c r="K85" i="17"/>
  <c r="I100" i="17"/>
  <c r="D45" i="18" s="1"/>
  <c r="J100" i="17"/>
  <c r="E45" i="18" s="1"/>
  <c r="H100" i="17"/>
  <c r="C45" i="18" s="1"/>
  <c r="I70" i="17"/>
  <c r="D15" i="18" s="1"/>
  <c r="J70" i="17"/>
  <c r="E15" i="18" s="1"/>
  <c r="H70" i="17"/>
  <c r="C15" i="18" s="1"/>
  <c r="I61" i="17"/>
  <c r="D6" i="18" s="1"/>
  <c r="J61" i="17"/>
  <c r="E6" i="18" s="1"/>
  <c r="H61" i="17"/>
  <c r="C6" i="18" s="1"/>
  <c r="I82" i="17"/>
  <c r="D27" i="18" s="1"/>
  <c r="J82" i="17"/>
  <c r="E27" i="18" s="1"/>
  <c r="K94" i="17"/>
  <c r="I58" i="17"/>
  <c r="D3" i="18" s="1"/>
  <c r="I91" i="17"/>
  <c r="D36" i="18" s="1"/>
  <c r="J91" i="17"/>
  <c r="E36" i="18" s="1"/>
  <c r="I64" i="17"/>
  <c r="D9" i="18" s="1"/>
  <c r="J64" i="17"/>
  <c r="E9" i="18" s="1"/>
  <c r="H64" i="17"/>
  <c r="C9" i="18" s="1"/>
  <c r="H97" i="17"/>
  <c r="C42" i="18" s="1"/>
  <c r="J97" i="17"/>
  <c r="E42" i="18" s="1"/>
  <c r="I97" i="17"/>
  <c r="D42" i="18" s="1"/>
  <c r="J73" i="17"/>
  <c r="E18" i="18" s="1"/>
  <c r="H73" i="17"/>
  <c r="C18" i="18" s="1"/>
  <c r="I88" i="17"/>
  <c r="D33" i="18" s="1"/>
  <c r="J88" i="17"/>
  <c r="E33" i="18" s="1"/>
  <c r="H88" i="17"/>
  <c r="C33" i="18" s="1"/>
  <c r="I79" i="17"/>
  <c r="D24" i="18" s="1"/>
  <c r="H79" i="17"/>
  <c r="C24" i="18" s="1"/>
  <c r="J79" i="17"/>
  <c r="E24" i="18" s="1"/>
  <c r="J95" i="6"/>
  <c r="E40" i="1" s="1"/>
  <c r="J87" i="6"/>
  <c r="E32" i="1" s="1"/>
  <c r="J77" i="6"/>
  <c r="E22" i="1" s="1"/>
  <c r="J93" i="6"/>
  <c r="E38" i="1" s="1"/>
  <c r="J92" i="6"/>
  <c r="E37" i="1" s="1"/>
  <c r="J72" i="6"/>
  <c r="E17" i="1" s="1"/>
  <c r="J100" i="6"/>
  <c r="E45" i="1" s="1"/>
  <c r="J81" i="6"/>
  <c r="E26" i="1" s="1"/>
  <c r="H81" i="6"/>
  <c r="C26" i="1" s="1"/>
  <c r="J84" i="6"/>
  <c r="E29" i="1" s="1"/>
  <c r="J63" i="6"/>
  <c r="E8" i="1" s="1"/>
  <c r="J75" i="6"/>
  <c r="E20" i="1" s="1"/>
  <c r="J85" i="6"/>
  <c r="E30" i="1" s="1"/>
  <c r="J67" i="6"/>
  <c r="E12" i="1" s="1"/>
  <c r="J88" i="6"/>
  <c r="E33" i="1" s="1"/>
  <c r="J96" i="6"/>
  <c r="E41" i="1" s="1"/>
  <c r="J99" i="6"/>
  <c r="E44" i="1" s="1"/>
  <c r="J78" i="6"/>
  <c r="E23" i="1" s="1"/>
  <c r="J66" i="6"/>
  <c r="E11" i="1" s="1"/>
  <c r="J79" i="6"/>
  <c r="E24" i="1" s="1"/>
  <c r="J64" i="6"/>
  <c r="E9" i="1" s="1"/>
  <c r="J82" i="6"/>
  <c r="E27" i="1" s="1"/>
  <c r="J69" i="6"/>
  <c r="E14" i="1" s="1"/>
  <c r="J86" i="6"/>
  <c r="E31" i="1" s="1"/>
  <c r="J60" i="6"/>
  <c r="E5" i="1" s="1"/>
  <c r="J90" i="6"/>
  <c r="E35" i="1" s="1"/>
  <c r="J76" i="6"/>
  <c r="E21" i="1" s="1"/>
  <c r="J65" i="6"/>
  <c r="E10" i="1" s="1"/>
  <c r="J89" i="6"/>
  <c r="E34" i="1" s="1"/>
  <c r="J68" i="6"/>
  <c r="E13" i="1" s="1"/>
  <c r="J98" i="6"/>
  <c r="E43" i="1" s="1"/>
  <c r="J59" i="6"/>
  <c r="E4" i="1" s="1"/>
  <c r="J101" i="6"/>
  <c r="E46" i="1" s="1"/>
  <c r="J80" i="6"/>
  <c r="E25" i="1" s="1"/>
  <c r="J62" i="6"/>
  <c r="E7" i="1" s="1"/>
  <c r="I58" i="6"/>
  <c r="D3" i="1" s="1"/>
  <c r="J58" i="6"/>
  <c r="E3" i="1" s="1"/>
  <c r="H58" i="6"/>
  <c r="C3" i="1" s="1"/>
  <c r="J71" i="6"/>
  <c r="E16" i="1" s="1"/>
  <c r="J83" i="6"/>
  <c r="E28" i="1" s="1"/>
  <c r="J104" i="6"/>
  <c r="E49" i="1" s="1"/>
  <c r="J97" i="6"/>
  <c r="E42" i="1" s="1"/>
  <c r="J94" i="6"/>
  <c r="E39" i="1" s="1"/>
  <c r="J61" i="6"/>
  <c r="E6" i="1" s="1"/>
  <c r="J74" i="6"/>
  <c r="E19" i="1" s="1"/>
  <c r="J70" i="6"/>
  <c r="E15" i="1" s="1"/>
  <c r="J103" i="6"/>
  <c r="E48" i="1" s="1"/>
  <c r="J91" i="6"/>
  <c r="E36" i="1" s="1"/>
  <c r="J73" i="6"/>
  <c r="E18" i="1" s="1"/>
  <c r="J102" i="6"/>
  <c r="E47" i="1" s="1"/>
  <c r="J105" i="6"/>
  <c r="E50" i="1" s="1"/>
  <c r="I20" i="6" a="1"/>
  <c r="I20" i="6" s="1"/>
  <c r="I74" i="6" s="1"/>
  <c r="D19" i="1" s="1"/>
  <c r="J8" i="6" a="1"/>
  <c r="J8" i="6" s="1"/>
  <c r="H62" i="6" s="1"/>
  <c r="C7" i="1" s="1"/>
  <c r="I17" i="6" a="1"/>
  <c r="I17" i="6" s="1"/>
  <c r="I71" i="6" s="1"/>
  <c r="D16" i="1" s="1"/>
  <c r="I47" i="6" a="1"/>
  <c r="I47" i="6" s="1"/>
  <c r="I101" i="6" s="1"/>
  <c r="D46" i="1" s="1"/>
  <c r="I51" i="6" a="1"/>
  <c r="I51" i="6" s="1"/>
  <c r="I105" i="6" s="1"/>
  <c r="D50" i="1" s="1"/>
  <c r="J39" i="6" a="1"/>
  <c r="J39" i="6" s="1"/>
  <c r="H93" i="6" s="1"/>
  <c r="C38" i="1" s="1"/>
  <c r="I8" i="6" a="1"/>
  <c r="I8" i="6" s="1"/>
  <c r="I62" i="6" s="1"/>
  <c r="D7" i="1" s="1"/>
  <c r="J30" i="6" a="1"/>
  <c r="J30" i="6" s="1"/>
  <c r="H84" i="6" s="1"/>
  <c r="C29" i="1" s="1"/>
  <c r="J9" i="6" a="1"/>
  <c r="J9" i="6" s="1"/>
  <c r="H63" i="6" s="1"/>
  <c r="C8" i="1" s="1"/>
  <c r="J24" i="6" a="1"/>
  <c r="J24" i="6" s="1"/>
  <c r="H78" i="6" s="1"/>
  <c r="C23" i="1" s="1"/>
  <c r="J21" i="6" a="1"/>
  <c r="J21" i="6" s="1"/>
  <c r="H75" i="6" s="1"/>
  <c r="C20" i="1" s="1"/>
  <c r="J50" i="6" a="1"/>
  <c r="J50" i="6" s="1"/>
  <c r="H104" i="6" s="1"/>
  <c r="C49" i="1" s="1"/>
  <c r="J35" i="6" a="1"/>
  <c r="J35" i="6" s="1"/>
  <c r="H89" i="6" s="1"/>
  <c r="C34" i="1" s="1"/>
  <c r="J26" i="6" a="1"/>
  <c r="J26" i="6" s="1"/>
  <c r="H80" i="6" s="1"/>
  <c r="C25" i="1" s="1"/>
  <c r="I44" i="6" a="1"/>
  <c r="I44" i="6" s="1"/>
  <c r="I98" i="6" s="1"/>
  <c r="D43" i="1" s="1"/>
  <c r="I21" i="6" a="1"/>
  <c r="I21" i="6" s="1"/>
  <c r="I75" i="6" s="1"/>
  <c r="D20" i="1" s="1"/>
  <c r="J12" i="6" a="1"/>
  <c r="J12" i="6" s="1"/>
  <c r="H66" i="6" s="1"/>
  <c r="C11" i="1" s="1"/>
  <c r="I36" i="6" a="1"/>
  <c r="I36" i="6" s="1"/>
  <c r="I90" i="6" s="1"/>
  <c r="D35" i="1" s="1"/>
  <c r="J20" i="6" a="1"/>
  <c r="J20" i="6" s="1"/>
  <c r="H74" i="6" s="1"/>
  <c r="C19" i="1" s="1"/>
  <c r="I14" i="6" a="1"/>
  <c r="I14" i="6" s="1"/>
  <c r="I68" i="6" s="1"/>
  <c r="D13" i="1" s="1"/>
  <c r="I18" i="6" a="1"/>
  <c r="I18" i="6" s="1"/>
  <c r="I72" i="6" s="1"/>
  <c r="D17" i="1" s="1"/>
  <c r="I5" i="6" a="1"/>
  <c r="I5" i="6" s="1"/>
  <c r="I59" i="6" s="1"/>
  <c r="D4" i="1" s="1"/>
  <c r="J47" i="6" a="1"/>
  <c r="J47" i="6" s="1"/>
  <c r="H101" i="6" s="1"/>
  <c r="C46" i="1" s="1"/>
  <c r="J41" i="6" a="1"/>
  <c r="J41" i="6" s="1"/>
  <c r="H95" i="6" s="1"/>
  <c r="C40" i="1" s="1"/>
  <c r="J11" i="6" a="1"/>
  <c r="J11" i="6" s="1"/>
  <c r="H65" i="6" s="1"/>
  <c r="C10" i="1" s="1"/>
  <c r="J44" i="6" a="1"/>
  <c r="J44" i="6" s="1"/>
  <c r="H98" i="6" s="1"/>
  <c r="C43" i="1" s="1"/>
  <c r="I26" i="6" a="1"/>
  <c r="I26" i="6" s="1"/>
  <c r="I80" i="6" s="1"/>
  <c r="D25" i="1" s="1"/>
  <c r="I12" i="6" a="1"/>
  <c r="I12" i="6" s="1"/>
  <c r="I66" i="6" s="1"/>
  <c r="D11" i="1" s="1"/>
  <c r="J48" i="6" a="1"/>
  <c r="J48" i="6" s="1"/>
  <c r="H102" i="6" s="1"/>
  <c r="C47" i="1" s="1"/>
  <c r="J42" i="6" a="1"/>
  <c r="J42" i="6" s="1"/>
  <c r="H96" i="6" s="1"/>
  <c r="C41" i="1" s="1"/>
  <c r="I45" i="6" a="1"/>
  <c r="I45" i="6" s="1"/>
  <c r="I99" i="6" s="1"/>
  <c r="D44" i="1" s="1"/>
  <c r="J18" i="6" a="1"/>
  <c r="J18" i="6" s="1"/>
  <c r="H72" i="6" s="1"/>
  <c r="C17" i="1" s="1"/>
  <c r="I39" i="6" a="1"/>
  <c r="I39" i="6" s="1"/>
  <c r="I93" i="6" s="1"/>
  <c r="D38" i="1" s="1"/>
  <c r="I38" i="6" a="1"/>
  <c r="I38" i="6" s="1"/>
  <c r="I92" i="6" s="1"/>
  <c r="D37" i="1" s="1"/>
  <c r="J14" i="6" a="1"/>
  <c r="J14" i="6" s="1"/>
  <c r="H68" i="6" s="1"/>
  <c r="C13" i="1" s="1"/>
  <c r="I48" i="6" a="1"/>
  <c r="I48" i="6" s="1"/>
  <c r="I102" i="6" s="1"/>
  <c r="D47" i="1" s="1"/>
  <c r="J6" i="6" a="1"/>
  <c r="J6" i="6" s="1"/>
  <c r="H60" i="6" s="1"/>
  <c r="C5" i="1" s="1"/>
  <c r="I11" i="6" a="1"/>
  <c r="I11" i="6" s="1"/>
  <c r="I65" i="6" s="1"/>
  <c r="D10" i="1" s="1"/>
  <c r="I35" i="6" a="1"/>
  <c r="I35" i="6" s="1"/>
  <c r="I89" i="6" s="1"/>
  <c r="D34" i="1" s="1"/>
  <c r="I33" i="6" a="1"/>
  <c r="I33" i="6" s="1"/>
  <c r="I87" i="6" s="1"/>
  <c r="D32" i="1" s="1"/>
  <c r="I24" i="6" a="1"/>
  <c r="I24" i="6" s="1"/>
  <c r="I78" i="6" s="1"/>
  <c r="D23" i="1" s="1"/>
  <c r="J15" i="6" a="1"/>
  <c r="J15" i="6" s="1"/>
  <c r="H69" i="6" s="1"/>
  <c r="C14" i="1" s="1"/>
  <c r="J29" i="6" a="1"/>
  <c r="J29" i="6" s="1"/>
  <c r="H83" i="6" s="1"/>
  <c r="C28" i="1" s="1"/>
  <c r="J5" i="6" a="1"/>
  <c r="J5" i="6" s="1"/>
  <c r="H59" i="6" s="1"/>
  <c r="C4" i="1" s="1"/>
  <c r="I50" i="6" a="1"/>
  <c r="I50" i="6" s="1"/>
  <c r="I104" i="6" s="1"/>
  <c r="D49" i="1" s="1"/>
  <c r="I60" i="6"/>
  <c r="D5" i="1" s="1"/>
  <c r="I9" i="6" a="1"/>
  <c r="I9" i="6" s="1"/>
  <c r="I63" i="6" s="1"/>
  <c r="D8" i="1" s="1"/>
  <c r="J51" i="6" a="1"/>
  <c r="J51" i="6" s="1"/>
  <c r="H105" i="6" s="1"/>
  <c r="C50" i="1" s="1"/>
  <c r="I23" i="6" a="1"/>
  <c r="I23" i="6" s="1"/>
  <c r="I77" i="6" s="1"/>
  <c r="D22" i="1" s="1"/>
  <c r="I41" i="6" a="1"/>
  <c r="I41" i="6" s="1"/>
  <c r="I95" i="6" s="1"/>
  <c r="D40" i="1" s="1"/>
  <c r="J38" i="6" a="1"/>
  <c r="J38" i="6" s="1"/>
  <c r="H92" i="6" s="1"/>
  <c r="C37" i="1" s="1"/>
  <c r="J32" i="6" a="1"/>
  <c r="J32" i="6" s="1"/>
  <c r="H86" i="6" s="1"/>
  <c r="C31" i="1" s="1"/>
  <c r="J23" i="6" a="1"/>
  <c r="J23" i="6" s="1"/>
  <c r="H77" i="6" s="1"/>
  <c r="C22" i="1" s="1"/>
  <c r="I32" i="6" a="1"/>
  <c r="I32" i="6" s="1"/>
  <c r="I86" i="6" s="1"/>
  <c r="D31" i="1" s="1"/>
  <c r="I30" i="6" a="1"/>
  <c r="I30" i="6" s="1"/>
  <c r="I84" i="6" s="1"/>
  <c r="D29" i="1" s="1"/>
  <c r="J45" i="6" a="1"/>
  <c r="J45" i="6" s="1"/>
  <c r="H99" i="6" s="1"/>
  <c r="C44" i="1" s="1"/>
  <c r="I27" i="6" a="1"/>
  <c r="I27" i="6" s="1"/>
  <c r="I81" i="6" s="1"/>
  <c r="D26" i="1" s="1"/>
  <c r="I42" i="6" a="1"/>
  <c r="I42" i="6" s="1"/>
  <c r="I96" i="6" s="1"/>
  <c r="D41" i="1" s="1"/>
  <c r="I15" i="6" a="1"/>
  <c r="I15" i="6" s="1"/>
  <c r="I69" i="6" s="1"/>
  <c r="D14" i="1" s="1"/>
  <c r="J33" i="6" a="1"/>
  <c r="J33" i="6" s="1"/>
  <c r="H87" i="6" s="1"/>
  <c r="C32" i="1" s="1"/>
  <c r="J36" i="6" a="1"/>
  <c r="J36" i="6" s="1"/>
  <c r="H90" i="6" s="1"/>
  <c r="C35" i="1" s="1"/>
  <c r="J17" i="6" a="1"/>
  <c r="J17" i="6" s="1"/>
  <c r="H71" i="6" s="1"/>
  <c r="C16" i="1" s="1"/>
  <c r="I29" i="6" a="1"/>
  <c r="I29" i="6" s="1"/>
  <c r="I83" i="6" s="1"/>
  <c r="D28" i="1" s="1"/>
  <c r="I16" i="6" a="1"/>
  <c r="I16" i="6" s="1"/>
  <c r="I70" i="6" s="1"/>
  <c r="D15" i="1" s="1"/>
  <c r="J40" i="6" a="1"/>
  <c r="J40" i="6" s="1"/>
  <c r="H94" i="6" s="1"/>
  <c r="C39" i="1" s="1"/>
  <c r="I43" i="6" a="1"/>
  <c r="I43" i="6" s="1"/>
  <c r="I97" i="6" s="1"/>
  <c r="D42" i="1" s="1"/>
  <c r="I34" i="6" a="1"/>
  <c r="I34" i="6" s="1"/>
  <c r="I88" i="6" s="1"/>
  <c r="D33" i="1" s="1"/>
  <c r="I28" i="6" a="1"/>
  <c r="I28" i="6" s="1"/>
  <c r="I82" i="6" s="1"/>
  <c r="D27" i="1" s="1"/>
  <c r="I7" i="6" a="1"/>
  <c r="I7" i="6" s="1"/>
  <c r="I61" i="6" s="1"/>
  <c r="D6" i="1" s="1"/>
  <c r="J34" i="6" a="1"/>
  <c r="J34" i="6" s="1"/>
  <c r="H88" i="6" s="1"/>
  <c r="C33" i="1" s="1"/>
  <c r="J49" i="6" a="1"/>
  <c r="J49" i="6" s="1"/>
  <c r="H103" i="6" s="1"/>
  <c r="C48" i="1" s="1"/>
  <c r="I31" i="6" a="1"/>
  <c r="I31" i="6" s="1"/>
  <c r="I85" i="6" s="1"/>
  <c r="D30" i="1" s="1"/>
  <c r="J22" i="6" a="1"/>
  <c r="J22" i="6" s="1"/>
  <c r="H76" i="6" s="1"/>
  <c r="C21" i="1" s="1"/>
  <c r="I19" i="6" a="1"/>
  <c r="I19" i="6" s="1"/>
  <c r="I73" i="6" s="1"/>
  <c r="D18" i="1" s="1"/>
  <c r="I37" i="6" a="1"/>
  <c r="I37" i="6" s="1"/>
  <c r="I91" i="6" s="1"/>
  <c r="D36" i="1" s="1"/>
  <c r="J43" i="6" a="1"/>
  <c r="J43" i="6" s="1"/>
  <c r="H97" i="6" s="1"/>
  <c r="C42" i="1" s="1"/>
  <c r="I49" i="6" a="1"/>
  <c r="I49" i="6" s="1"/>
  <c r="I103" i="6" s="1"/>
  <c r="D48" i="1" s="1"/>
  <c r="I40" i="6" a="1"/>
  <c r="I40" i="6" s="1"/>
  <c r="I94" i="6" s="1"/>
  <c r="D39" i="1" s="1"/>
  <c r="J16" i="6" a="1"/>
  <c r="J16" i="6" s="1"/>
  <c r="H70" i="6" s="1"/>
  <c r="C15" i="1" s="1"/>
  <c r="J10" i="6" a="1"/>
  <c r="J10" i="6" s="1"/>
  <c r="H64" i="6" s="1"/>
  <c r="C9" i="1" s="1"/>
  <c r="I10" i="6" a="1"/>
  <c r="I10" i="6" s="1"/>
  <c r="I64" i="6" s="1"/>
  <c r="D9" i="1" s="1"/>
  <c r="J7" i="6" a="1"/>
  <c r="J7" i="6" s="1"/>
  <c r="H61" i="6" s="1"/>
  <c r="C6" i="1" s="1"/>
  <c r="J25" i="6" a="1"/>
  <c r="J25" i="6" s="1"/>
  <c r="H79" i="6" s="1"/>
  <c r="C24" i="1" s="1"/>
  <c r="J46" i="6" a="1"/>
  <c r="J46" i="6" s="1"/>
  <c r="H100" i="6" s="1"/>
  <c r="C45" i="1" s="1"/>
  <c r="I22" i="6" a="1"/>
  <c r="I22" i="6" s="1"/>
  <c r="I76" i="6" s="1"/>
  <c r="D21" i="1" s="1"/>
  <c r="J13" i="6" a="1"/>
  <c r="J13" i="6" s="1"/>
  <c r="H67" i="6" s="1"/>
  <c r="C12" i="1" s="1"/>
  <c r="I25" i="6" a="1"/>
  <c r="I25" i="6" s="1"/>
  <c r="I79" i="6" s="1"/>
  <c r="D24" i="1" s="1"/>
  <c r="J28" i="6" a="1"/>
  <c r="J28" i="6" s="1"/>
  <c r="H82" i="6" s="1"/>
  <c r="C27" i="1" s="1"/>
  <c r="I13" i="6" a="1"/>
  <c r="I13" i="6" s="1"/>
  <c r="I67" i="6" s="1"/>
  <c r="D12" i="1" s="1"/>
  <c r="J31" i="6" a="1"/>
  <c r="J31" i="6" s="1"/>
  <c r="H85" i="6" s="1"/>
  <c r="C30" i="1" s="1"/>
  <c r="I46" i="6" a="1"/>
  <c r="I46" i="6" s="1"/>
  <c r="I100" i="6" s="1"/>
  <c r="D45" i="1" s="1"/>
  <c r="J37" i="6" a="1"/>
  <c r="J37" i="6" s="1"/>
  <c r="H91" i="6" s="1"/>
  <c r="C36" i="1" s="1"/>
  <c r="J19" i="6" a="1"/>
  <c r="J19" i="6" s="1"/>
  <c r="H73" i="6" s="1"/>
  <c r="C18" i="1" s="1"/>
  <c r="K60" i="6" l="1"/>
  <c r="K81" i="6"/>
  <c r="K73" i="6"/>
  <c r="K104" i="6"/>
  <c r="K86" i="6"/>
  <c r="K64" i="6"/>
  <c r="K61" i="6"/>
  <c r="K83" i="6"/>
  <c r="F64" i="18"/>
  <c r="B64" i="18"/>
  <c r="M64" i="18" a="1"/>
  <c r="M64" i="18" s="1"/>
  <c r="J64" i="18"/>
  <c r="J63" i="18" s="1"/>
  <c r="M66" i="18" a="1"/>
  <c r="M66" i="18" s="1"/>
  <c r="M65" i="18" a="1"/>
  <c r="M65" i="18" s="1"/>
  <c r="G66" i="18"/>
  <c r="C65" i="18"/>
  <c r="G65" i="18"/>
  <c r="C66" i="18"/>
  <c r="K98" i="6"/>
  <c r="K69" i="6"/>
  <c r="K85" i="6"/>
  <c r="K77" i="6"/>
  <c r="K71" i="6"/>
  <c r="K68" i="6"/>
  <c r="K82" i="6"/>
  <c r="K94" i="6"/>
  <c r="K87" i="6"/>
  <c r="K97" i="6"/>
  <c r="K89" i="6"/>
  <c r="K66" i="6"/>
  <c r="K72" i="6"/>
  <c r="K95" i="6"/>
  <c r="K58" i="6"/>
  <c r="K65" i="6"/>
  <c r="K99" i="6"/>
  <c r="K92" i="6"/>
  <c r="K76" i="6"/>
  <c r="K62" i="6"/>
  <c r="M60" i="18" a="1"/>
  <c r="M60" i="18" s="1"/>
  <c r="J58" i="18"/>
  <c r="J57" i="18" s="1"/>
  <c r="B58" i="18"/>
  <c r="M58" i="18" a="1"/>
  <c r="M58" i="18" s="1"/>
  <c r="M59" i="18" a="1"/>
  <c r="M59" i="18" s="1"/>
  <c r="F58" i="18"/>
  <c r="G59" i="18"/>
  <c r="G60" i="18"/>
  <c r="C60" i="18"/>
  <c r="C59" i="18"/>
  <c r="K78" i="6"/>
  <c r="K88" i="6"/>
  <c r="K93" i="6"/>
  <c r="K91" i="6"/>
  <c r="K80" i="6"/>
  <c r="B70" i="18"/>
  <c r="F70" i="18"/>
  <c r="M72" i="18" a="1"/>
  <c r="M72" i="18" s="1"/>
  <c r="M70" i="18" a="1"/>
  <c r="M70" i="18" s="1"/>
  <c r="M71" i="18" a="1"/>
  <c r="M71" i="18" s="1"/>
  <c r="J70" i="18"/>
  <c r="J69" i="18" s="1"/>
  <c r="K96" i="6"/>
  <c r="K75" i="6"/>
  <c r="K70" i="6"/>
  <c r="K105" i="6"/>
  <c r="K101" i="6"/>
  <c r="K67" i="6"/>
  <c r="K63" i="6"/>
  <c r="K100" i="6"/>
  <c r="K102" i="6"/>
  <c r="K59" i="6"/>
  <c r="K90" i="6"/>
  <c r="K84" i="6"/>
  <c r="K79" i="6"/>
  <c r="K74" i="6"/>
  <c r="K103" i="6"/>
  <c r="K64" i="17"/>
  <c r="K73" i="17"/>
  <c r="K82" i="17"/>
  <c r="K61" i="17"/>
  <c r="K91" i="17"/>
  <c r="K100" i="17"/>
  <c r="K88" i="17"/>
  <c r="K97" i="17"/>
  <c r="K79" i="17"/>
  <c r="K70" i="17"/>
  <c r="G109" i="17" a="1"/>
  <c r="G109" i="17" s="1"/>
  <c r="H109" i="17" a="1"/>
  <c r="H109" i="17" s="1"/>
  <c r="H108" i="17" a="1"/>
  <c r="H108" i="17" s="1"/>
  <c r="G108" i="17" a="1"/>
  <c r="G108" i="17" s="1"/>
  <c r="K58" i="17"/>
  <c r="H109" i="6" a="1"/>
  <c r="H109" i="6" s="1"/>
  <c r="H108" i="6" a="1"/>
  <c r="H108" i="6" s="1"/>
  <c r="G108" i="6" a="1"/>
  <c r="G108" i="6" s="1"/>
  <c r="G109" i="6" a="1"/>
  <c r="G109" i="6" s="1"/>
  <c r="C64" i="18" l="1"/>
  <c r="B63" i="18"/>
  <c r="G64" i="18"/>
  <c r="F63" i="18"/>
  <c r="G70" i="18"/>
  <c r="F69" i="18"/>
  <c r="B69" i="18"/>
  <c r="C70" i="18"/>
  <c r="G58" i="18"/>
  <c r="F57" i="18"/>
  <c r="C58" i="18"/>
  <c r="B57" i="18"/>
  <c r="J71" i="1"/>
  <c r="F71" i="1"/>
  <c r="B71" i="1"/>
  <c r="C71" i="1" s="1"/>
  <c r="B66" i="1"/>
  <c r="C66" i="1" s="1"/>
  <c r="F66" i="1"/>
  <c r="G66" i="1" s="1"/>
  <c r="J66" i="1"/>
  <c r="B65" i="1"/>
  <c r="C65" i="1" s="1"/>
  <c r="F65" i="1"/>
  <c r="G65" i="1" s="1"/>
  <c r="J65" i="1"/>
  <c r="J58" i="1"/>
  <c r="F58" i="1"/>
  <c r="G58" i="1" s="1"/>
  <c r="M58" i="1" a="1"/>
  <c r="M58" i="1" s="1"/>
  <c r="B58" i="1"/>
  <c r="C58" i="1" s="1"/>
  <c r="M60" i="1" a="1"/>
  <c r="M60" i="1" s="1"/>
  <c r="M59" i="1" a="1"/>
  <c r="M59" i="1" s="1"/>
  <c r="M69" i="1" a="1"/>
  <c r="M69" i="1" s="1"/>
  <c r="J69" i="1"/>
  <c r="F69" i="1"/>
  <c r="G69" i="1" s="1"/>
  <c r="B69" i="1"/>
  <c r="C69" i="1" s="1"/>
  <c r="F60" i="1"/>
  <c r="G60" i="1" s="1"/>
  <c r="B60" i="1"/>
  <c r="J60" i="1"/>
  <c r="J70" i="1"/>
  <c r="F70" i="1"/>
  <c r="G70" i="1" s="1"/>
  <c r="B70" i="1"/>
  <c r="C70" i="1" s="1"/>
  <c r="J64" i="1"/>
  <c r="F64" i="1"/>
  <c r="G64" i="1" s="1"/>
  <c r="B64" i="1"/>
  <c r="C64" i="1" s="1"/>
  <c r="F59" i="1"/>
  <c r="G59" i="1" s="1"/>
  <c r="B59" i="1"/>
  <c r="C59" i="1" s="1"/>
  <c r="J59" i="1"/>
  <c r="C60" i="1"/>
  <c r="G71" i="1"/>
  <c r="M70" i="1" a="1"/>
  <c r="M70" i="1" s="1"/>
  <c r="M71" i="1" a="1"/>
  <c r="M71" i="1" s="1"/>
  <c r="M66" i="1" a="1"/>
  <c r="M66" i="1" s="1"/>
  <c r="M65" i="1" a="1"/>
  <c r="M65" i="1" s="1"/>
  <c r="M64" i="1" a="1"/>
  <c r="M64" i="1" s="1"/>
  <c r="J63" i="1" l="1"/>
  <c r="J5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89CEE-6514-EC45-BA82-84D03EC38B04}" name="feb14-repro48_large_iterations" type="6" refreshedVersion="8" background="1" saveData="1">
    <textPr sourceFile="/Users/anna/lamp/tyql/results/feb14-repro48_large_iterations.csv" tab="0" comma="1">
      <textFields count="3">
        <textField/>
        <textField/>
        <textField/>
      </textFields>
    </textPr>
  </connection>
  <connection id="2" xr16:uid="{A933EB41-24D4-F945-B268-CC6B43CD2302}" name="feb14-repro48_medium_iterations" type="6" refreshedVersion="8" background="1" saveData="1">
    <textPr sourceFile="/Users/anna/lamp/tyql/results/feb14-repro48_medium_iterations.csv" comma="1">
      <textFields count="3">
        <textField/>
        <textField/>
        <textField/>
      </textFields>
    </textPr>
  </connection>
  <connection id="3" xr16:uid="{724BD695-BDCE-3146-8F11-8E0679F3C003}" name="feb21-rerun-jdbc48_large_clean" type="6" refreshedVersion="8" background="1" saveData="1">
    <textPr sourceFile="/Users/anna/lamp/tyql/results/feb21-rerun-jdbc48_large_clean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B871C140-60E1-8A4F-A87C-A17A14D284CA}" name="feb21-rerun-jdbc48_medium_clean" type="6" refreshedVersion="8" background="1" saveData="1">
    <textPr sourceFile="/Users/anna/lamp/tyql/results/feb21-rerun-jdbc48_medium_clean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xr16:uid="{71F40899-5836-F544-BE59-057A81F17D0E}" name="feb21-rerun-jdbc48_small_clean" type="6" refreshedVersion="8" background="1" saveData="1">
    <textPr sourceFile="/Users/anna/lamp/tyql/results/feb21-rerun-jdbc48_small_clean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6" xr16:uid="{2FEEB86D-955B-244D-B854-E027A4033AE2}" name="nov12-graal-data-10to-5x-8gb48_clean" type="6" refreshedVersion="8" background="1" saveData="1">
    <textPr sourceFile="/Users/anna/lamp/tyql/results/nov12-graal-data-10to-5x-8gb48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7" xr16:uid="{C55F4F73-A25D-144C-ADB5-657E45174070}" name="nov12-graal-data-10to-5x-8gb48_iterations" type="6" refreshedVersion="8" background="1" saveData="1">
    <textPr sourceFile="/Users/anna/lamp/tyql/results/nov12-graal-data-10to-5x-8gb48_iterations.csv" thousands="'" tab="0" comma="1">
      <textFields count="3">
        <textField/>
        <textField/>
        <textField/>
      </textFields>
    </textPr>
  </connection>
  <connection id="8" xr16:uid="{B382BF2B-9C3A-1B46-B968-6DCE59575C6C}" name="nov12-large-graal-5x-8gb48_clean" type="6" refreshedVersion="8" background="1" saveData="1">
    <textPr sourceFile="/Users/anna/lamp/tyql/results/nov12-large-graal-5x-8gb48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xr16:uid="{C8B2CBF9-506D-C545-8C97-6D379E966EC6}" name="nov12-large-graal-5x-8gb48_iterations" type="6" refreshedVersion="8" background="1" saveData="1">
    <textPr sourceFile="/Users/anna/lamp/tyql/results/nov12-large-graal-5x-8gb48_iterations.csv" thousands="'" tab="0" comma="1">
      <textFields count="3">
        <textField/>
        <textField/>
        <textField/>
      </textFields>
    </textPr>
  </connection>
  <connection id="10" xr16:uid="{C891C51D-243C-9449-BF18-2D5FFB6C6922}" name="oct29-sized-3x47_clean1112" type="6" refreshedVersion="8" background="1" saveData="1">
    <textPr sourceFile="/Users/anna/lamp/tyql/results/oct29-sized-3x47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1" xr16:uid="{49698ED5-E455-414B-8BDC-3465B818AD72}" name="oct29-sized-3x47_clean1113" type="6" refreshedVersion="8" background="1" saveData="1">
    <textPr sourceFile="/Users/anna/lamp/tyql/results/oct29-sized-3x47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2" xr16:uid="{523233B1-036F-C449-A76C-C95513334A4E}" name="oct29-sized-3x48_clean112" type="6" refreshedVersion="8" background="1" saveData="1">
    <textPr sourceFile="/Users/anna/lamp/tyql/results/oct29-sized-3x48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3" xr16:uid="{FEA589B8-7F8E-F04C-B2F7-DA49AF9E3AC0}" name="oct29-sized-3x48_clean113" type="6" refreshedVersion="8" background="1" saveData="1">
    <textPr sourceFile="/Users/anna/lamp/tyql/results/oct29-sized-3x48_clean.csv" thousands="'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<sst xmlns="http://schemas.openxmlformats.org/spreadsheetml/2006/main" count="4408" uniqueCount="127">
  <si>
    <t>Average of 3</t>
  </si>
  <si>
    <t>Column Labels</t>
  </si>
  <si>
    <t>cc</t>
  </si>
  <si>
    <t>collections</t>
  </si>
  <si>
    <t>Benchmark</t>
  </si>
  <si>
    <t>Mode</t>
  </si>
  <si>
    <t>Threads</t>
  </si>
  <si>
    <t>Samples</t>
  </si>
  <si>
    <t>Score</t>
  </si>
  <si>
    <t>Score Error (99.9%)</t>
  </si>
  <si>
    <t>Unit</t>
  </si>
  <si>
    <t>Size</t>
  </si>
  <si>
    <t>Query</t>
  </si>
  <si>
    <t>Formal Name</t>
  </si>
  <si>
    <t>TyQL</t>
  </si>
  <si>
    <t>ScalaSQL</t>
  </si>
  <si>
    <t>Collections</t>
  </si>
  <si>
    <t>Speedup over Non-Recursive SQL</t>
  </si>
  <si>
    <t>Speedup over Collections</t>
  </si>
  <si>
    <t>Row Labels</t>
  </si>
  <si>
    <t>scalasql</t>
  </si>
  <si>
    <t>avgt</t>
  </si>
  <si>
    <t>s/op</t>
  </si>
  <si>
    <t>Large</t>
  </si>
  <si>
    <t>ancestry</t>
  </si>
  <si>
    <t>Ancestry</t>
  </si>
  <si>
    <t>sssp</t>
  </si>
  <si>
    <t>Small</t>
  </si>
  <si>
    <t>andersens</t>
  </si>
  <si>
    <t>APT</t>
  </si>
  <si>
    <t>tc</t>
  </si>
  <si>
    <t>Medium</t>
  </si>
  <si>
    <t>asps</t>
  </si>
  <si>
    <t>ASPS</t>
  </si>
  <si>
    <t>bom</t>
  </si>
  <si>
    <t>BOM</t>
  </si>
  <si>
    <t>cba</t>
  </si>
  <si>
    <t>CBA</t>
  </si>
  <si>
    <t>CC</t>
  </si>
  <si>
    <t>cspa</t>
  </si>
  <si>
    <t>CSPA</t>
  </si>
  <si>
    <t>dataflow</t>
  </si>
  <si>
    <t>Data Flow</t>
  </si>
  <si>
    <t>evenodd</t>
  </si>
  <si>
    <t>Even-Odd</t>
  </si>
  <si>
    <t>orbits</t>
  </si>
  <si>
    <t>javapointsto</t>
  </si>
  <si>
    <t>JPT</t>
  </si>
  <si>
    <t>party</t>
  </si>
  <si>
    <t>Orbits</t>
  </si>
  <si>
    <t>Party</t>
  </si>
  <si>
    <t>pointstocount</t>
  </si>
  <si>
    <t>PTC</t>
  </si>
  <si>
    <t>trustchain</t>
  </si>
  <si>
    <t>SSSP</t>
  </si>
  <si>
    <t>TC</t>
  </si>
  <si>
    <t>COT</t>
  </si>
  <si>
    <t>SCALASQL</t>
  </si>
  <si>
    <t>COLLECTIONS</t>
  </si>
  <si>
    <t>Average of 15</t>
  </si>
  <si>
    <t>TIMEOUT:</t>
  </si>
  <si>
    <t>TO</t>
  </si>
  <si>
    <t>-</t>
  </si>
  <si>
    <t>Iterations</t>
  </si>
  <si>
    <t>Dataset</t>
  </si>
  <si>
    <t>S</t>
  </si>
  <si>
    <t>0.01MB</t>
  </si>
  <si>
    <t>M</t>
  </si>
  <si>
    <t>10MB</t>
  </si>
  <si>
    <t>L</t>
  </si>
  <si>
    <t>100MB</t>
  </si>
  <si>
    <t>0.02MB</t>
  </si>
  <si>
    <t>0.05MB</t>
  </si>
  <si>
    <t>0.1MB</t>
  </si>
  <si>
    <t>1MB</t>
  </si>
  <si>
    <t>5MB</t>
  </si>
  <si>
    <t>2MB</t>
  </si>
  <si>
    <t>20MB</t>
  </si>
  <si>
    <t>0.2MB</t>
  </si>
  <si>
    <t>25MB</t>
  </si>
  <si>
    <t>15MB</t>
  </si>
  <si>
    <t>FINAL TABLE</t>
  </si>
  <si>
    <t>Non-Recursive SQL</t>
  </si>
  <si>
    <t>Speedup Non-Recursive SQL</t>
  </si>
  <si>
    <t>Speedup Collections</t>
  </si>
  <si>
    <t>max without &gt;:</t>
  </si>
  <si>
    <t>max with &gt;:</t>
  </si>
  <si>
    <t>EvenOdd, JPT</t>
  </si>
  <si>
    <t>DF, CBA</t>
  </si>
  <si>
    <t>0.04MB</t>
  </si>
  <si>
    <t>0.03MB</t>
  </si>
  <si>
    <t>Max S:</t>
  </si>
  <si>
    <t>Max M:</t>
  </si>
  <si>
    <t>Max L:</t>
  </si>
  <si>
    <t>Min S:</t>
  </si>
  <si>
    <t>Min M:</t>
  </si>
  <si>
    <t>Min L:</t>
  </si>
  <si>
    <t>Avg S:</t>
  </si>
  <si>
    <t>Avg M:</t>
  </si>
  <si>
    <t>Avg L:</t>
  </si>
  <si>
    <t>SCALASQL:</t>
  </si>
  <si>
    <t>Med S:</t>
  </si>
  <si>
    <t>Med M:</t>
  </si>
  <si>
    <t>Med L:</t>
  </si>
  <si>
    <t>Backend</t>
  </si>
  <si>
    <t>1.5MB</t>
  </si>
  <si>
    <t>StdDev of Iterations</t>
  </si>
  <si>
    <t>JDBC_RSQL</t>
  </si>
  <si>
    <t>Speedup JDBC_RSQL</t>
  </si>
  <si>
    <t>Speedup over JDBC_RSQL</t>
  </si>
  <si>
    <t>JDBC_RSQQL</t>
  </si>
  <si>
    <t>Margin of Error:</t>
  </si>
  <si>
    <t>Non-Recursive SQL Valid</t>
  </si>
  <si>
    <t>Collections Valid</t>
  </si>
  <si>
    <t>JDBC_RSQL Valid</t>
  </si>
  <si>
    <t>Speedup over TyQL</t>
  </si>
  <si>
    <t>VS TYQL</t>
  </si>
  <si>
    <t>VS JDBC_RSQL</t>
  </si>
  <si>
    <t>TYQL Speedup exceeds error margin?</t>
  </si>
  <si>
    <t>JDBC_RSQL Speedup exceeds error margin?</t>
  </si>
  <si>
    <t>TyQL Speedup exceeds error margin?</t>
  </si>
  <si>
    <t>Speedup TyQL</t>
  </si>
  <si>
    <t>TyQL Valid</t>
  </si>
  <si>
    <t>AVG ALL:</t>
  </si>
  <si>
    <t>MAX ALL:</t>
  </si>
  <si>
    <t>MIN ALL:</t>
  </si>
  <si>
    <t>MAX-MIN-AVG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</si>
</sst>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scheme val="minor"/>
    </font>
    <font>
      <sz val="12"/>
      <color theme="4"/>
      <name val="Aptos Narrow"/>
      <scheme val="minor"/>
    </font>
    <font>
      <sz val="12"/>
      <color theme="1"/>
      <name val="Aptos Narrow"/>
      <scheme val="minor"/>
    </font>
    <font>
      <sz val="12"/>
      <color theme="4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56082"/>
      <name val="Aptos Narrow"/>
      <family val="2"/>
      <scheme val="minor"/>
    </font>
    <font>
      <sz val="12"/>
      <color rgb="FF156082"/>
      <name val="Aptos Narrow"/>
      <scheme val="minor"/>
    </font>
    <font>
      <sz val="12"/>
      <color theme="1"/>
      <name val="Helvetica"/>
      <family val="2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sz val="12"/>
      <color theme="6"/>
      <name val="Aptos Narrow"/>
      <family val="2"/>
      <scheme val="minor"/>
    </font>
    <font>
      <sz val="12"/>
      <color theme="8"/>
      <name val="Helvetica"/>
      <family val="2"/>
    </font>
    <font>
      <sz val="12"/>
      <color theme="8"/>
      <name val="Aptos Narrow"/>
      <family val="2"/>
      <scheme val="minor"/>
    </font>
    <font>
      <b/>
      <sz val="12"/>
      <color theme="8"/>
      <name val="Aptos Narrow"/>
      <scheme val="minor"/>
    </font>
    <font>
      <b/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i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2" borderId="0" xfId="0" applyFill="1"/>
    <xf numFmtId="0" fontId="7" fillId="0" borderId="0" xfId="0" applyFont="1"/>
    <xf numFmtId="0" fontId="2" fillId="3" borderId="1" xfId="0" applyFont="1" applyFill="1" applyBorder="1"/>
    <xf numFmtId="0" fontId="0" fillId="4" borderId="0" xfId="0" applyFill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0" fillId="0" borderId="0" xfId="0" applyFont="1"/>
    <xf numFmtId="0" fontId="7" fillId="0" borderId="0" xfId="0" applyFont="1" applyAlignment="1">
      <alignment horizontal="left"/>
    </xf>
    <xf numFmtId="0" fontId="1" fillId="0" borderId="0" xfId="0" applyFont="1"/>
    <xf numFmtId="0" fontId="11" fillId="0" borderId="0" xfId="0" applyFont="1"/>
    <xf numFmtId="2" fontId="0" fillId="0" borderId="0" xfId="0" applyNumberFormat="1"/>
    <xf numFmtId="0" fontId="0" fillId="0" borderId="0" xfId="0" pivotButton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s/recursive-query-3x-size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s/recursive-query-3x-size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s/recursive-query-3x-size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s/recursive-query-3x-size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608.386839236111" createdVersion="8" refreshedVersion="8" minRefreshableVersion="3" recordCount="152" xr:uid="{EAB1AFE6-813C-644C-BBA2-E4C9A5DD3E70}">
  <cacheSource type="worksheet">
    <worksheetSource ref="BD1:BF153" sheet="nov12-large-graal-2xto-5x-8gb" r:id="rId2"/>
  </cacheSource>
  <cacheFields count="3">
    <cacheField name="cc" numFmtId="0">
      <sharedItems count="13">
        <s v="cc"/>
        <s v="sssp"/>
        <s v="tc"/>
        <s v="ancestry"/>
        <s v="andersens"/>
        <s v="asps"/>
        <s v="bom"/>
        <s v="cba"/>
        <s v="cspa"/>
        <s v="dataflow"/>
        <s v="orbits"/>
        <s v="party"/>
        <s v="trustchain"/>
      </sharedItems>
    </cacheField>
    <cacheField name="collections" numFmtId="0">
      <sharedItems count="2">
        <s v="collections"/>
        <s v="scalasql"/>
      </sharedItems>
    </cacheField>
    <cacheField name="3" numFmtId="0">
      <sharedItems containsSemiMixedTypes="0" containsString="0" containsNumber="1" containsInteger="1" minValue="1" maxValue="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608.570666435182" createdVersion="8" refreshedVersion="8" minRefreshableVersion="3" recordCount="229" xr:uid="{A79B8003-7A2A-1E4C-A5B7-3647E38F71BA}">
  <cacheSource type="worksheet">
    <worksheetSource ref="BA1:BC230" sheet="nov12-finaldata-graal-2xto-5x-8" r:id="rId2"/>
  </cacheSource>
  <cacheFields count="3">
    <cacheField name="ancestry" numFmtId="0">
      <sharedItems count="15">
        <s v="ancestry"/>
        <s v="andersens"/>
        <s v="asps"/>
        <s v="bom"/>
        <s v="cc"/>
        <s v="dataflow"/>
        <s v="sssp"/>
        <s v="tc"/>
        <s v="cba"/>
        <s v="cspa"/>
        <s v="javapointsto"/>
        <s v="orbits"/>
        <s v="party"/>
        <s v="pointstocount"/>
        <s v="trustchain"/>
      </sharedItems>
    </cacheField>
    <cacheField name="collections" numFmtId="0">
      <sharedItems count="2">
        <s v="collections"/>
        <s v="scalasql"/>
      </sharedItems>
    </cacheField>
    <cacheField name="15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608.574495486107" createdVersion="8" refreshedVersion="8" minRefreshableVersion="3" recordCount="320" xr:uid="{59E0F660-7EA4-654C-9D07-A330396E066C}">
  <cacheSource type="worksheet">
    <worksheetSource ref="BF1:BH321" sheet="nov12-data-graal-2xto-5x-8" r:id="rId2"/>
  </cacheSource>
  <cacheFields count="3">
    <cacheField name="ancestry" numFmtId="0">
      <sharedItems count="16">
        <s v="ancestry"/>
        <s v="andersens"/>
        <s v="asps"/>
        <s v="bom"/>
        <s v="cba"/>
        <s v="cc"/>
        <s v="cspa"/>
        <s v="dataflow"/>
        <s v="evenodd"/>
        <s v="javapointsto"/>
        <s v="orbits"/>
        <s v="party"/>
        <s v="pointstocount"/>
        <s v="sssp"/>
        <s v="tc"/>
        <s v="trustchain"/>
      </sharedItems>
    </cacheField>
    <cacheField name="collections" numFmtId="0">
      <sharedItems count="2">
        <s v="collections"/>
        <s v="scalasql"/>
      </sharedItems>
    </cacheField>
    <cacheField name="3" numFmtId="0">
      <sharedItems containsSemiMixedTypes="0" containsString="0" containsNumber="1" containsInteger="1" minValue="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607.399774884259" createdVersion="8" refreshedVersion="8" minRefreshableVersion="3" recordCount="229" xr:uid="{436178B6-914D-3F46-9C6C-0E098337A186}">
  <cacheSource type="worksheet">
    <worksheetSource ref="AV1:AX230" sheet="nov11-finaldata-5x-doubletimeou" r:id="rId2"/>
  </cacheSource>
  <cacheFields count="3">
    <cacheField name="ancestry" numFmtId="0">
      <sharedItems count="15">
        <s v="ancestry"/>
        <s v="andersens"/>
        <s v="asps"/>
        <s v="bom"/>
        <s v="cc"/>
        <s v="dataflow"/>
        <s v="sssp"/>
        <s v="tc"/>
        <s v="cba"/>
        <s v="cspa"/>
        <s v="javapointsto"/>
        <s v="orbits"/>
        <s v="party"/>
        <s v="pointstocount"/>
        <s v="trustchain"/>
      </sharedItems>
    </cacheField>
    <cacheField name="collections" numFmtId="0">
      <sharedItems count="2">
        <s v="collections"/>
        <s v="scalasql"/>
      </sharedItems>
    </cacheField>
    <cacheField name="15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702.56407951389" createdVersion="8" refreshedVersion="8" minRefreshableVersion="3" recordCount="230" xr:uid="{F475BCB4-2C12-764C-AB39-5D02226EAE6B}">
  <cacheSource type="worksheet">
    <worksheetSource ref="BB1:BD231" sheet="medium"/>
  </cacheSource>
  <cacheFields count="3">
    <cacheField name="Benchmark" numFmtId="0">
      <sharedItems count="15">
        <s v="ancestry"/>
        <s v="andersens"/>
        <s v="asps"/>
        <s v="bom"/>
        <s v="cc"/>
        <s v="dataflow"/>
        <s v="sssp"/>
        <s v="tc"/>
        <s v="cba"/>
        <s v="cspa"/>
        <s v="javapointsto"/>
        <s v="orbits"/>
        <s v="party"/>
        <s v="pointstocount"/>
        <s v="trustchain"/>
      </sharedItems>
    </cacheField>
    <cacheField name="Mode" numFmtId="0">
      <sharedItems count="2">
        <s v="collections"/>
        <s v="scalasql"/>
      </sharedItems>
    </cacheField>
    <cacheField name="Iterations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erlihy" refreshedDate="45702.566508564814" createdVersion="8" refreshedVersion="8" minRefreshableVersion="3" recordCount="174" xr:uid="{BFC25903-4FDE-D141-A48D-EA8429B850F6}">
  <cacheSource type="worksheet">
    <worksheetSource ref="BE1:BG175" sheet="large"/>
  </cacheSource>
  <cacheFields count="3">
    <cacheField name="Benchmark" numFmtId="0">
      <sharedItems count="13">
        <s v="andersens"/>
        <s v="cc"/>
        <s v="dataflow"/>
        <s v="sssp"/>
        <s v="tc"/>
        <s v="ancestry"/>
        <s v="asps"/>
        <s v="bom"/>
        <s v="cba"/>
        <s v="cspa"/>
        <s v="orbits"/>
        <s v="party"/>
        <s v="trustchain"/>
      </sharedItems>
    </cacheField>
    <cacheField name="Mode" numFmtId="0">
      <sharedItems count="2">
        <s v="collections"/>
        <s v="scalasql"/>
      </sharedItems>
    </cacheField>
    <cacheField name="Iterations" numFmtId="0">
      <sharedItems containsSemiMixedTypes="0" containsString="0" containsNumber="1" containsInteger="1" minValue="1" maxValue="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1"/>
    <x v="0"/>
    <n v="42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2"/>
    <x v="0"/>
    <n v="17"/>
  </r>
  <r>
    <x v="3"/>
    <x v="1"/>
    <n v="189"/>
  </r>
  <r>
    <x v="3"/>
    <x v="1"/>
    <n v="189"/>
  </r>
  <r>
    <x v="3"/>
    <x v="1"/>
    <n v="189"/>
  </r>
  <r>
    <x v="3"/>
    <x v="1"/>
    <n v="189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4"/>
    <x v="1"/>
    <n v="10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5"/>
    <x v="1"/>
    <n v="4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6"/>
    <x v="1"/>
    <n v="22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7"/>
    <x v="1"/>
    <n v="1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8"/>
    <x v="1"/>
    <n v="14"/>
  </r>
  <r>
    <x v="9"/>
    <x v="1"/>
    <n v="8"/>
  </r>
  <r>
    <x v="9"/>
    <x v="1"/>
    <n v="8"/>
  </r>
  <r>
    <x v="9"/>
    <x v="1"/>
    <n v="8"/>
  </r>
  <r>
    <x v="9"/>
    <x v="1"/>
    <n v="8"/>
  </r>
  <r>
    <x v="9"/>
    <x v="1"/>
    <n v="8"/>
  </r>
  <r>
    <x v="9"/>
    <x v="1"/>
    <n v="8"/>
  </r>
  <r>
    <x v="9"/>
    <x v="1"/>
    <n v="8"/>
  </r>
  <r>
    <x v="9"/>
    <x v="1"/>
    <n v="8"/>
  </r>
  <r>
    <x v="9"/>
    <x v="1"/>
    <n v="8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1"/>
    <x v="1"/>
    <n v="42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2"/>
    <x v="1"/>
    <n v="17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0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3"/>
    <x v="0"/>
    <n v="2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4"/>
    <x v="0"/>
    <n v="9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6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7"/>
    <x v="0"/>
    <n v="3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8"/>
    <x v="0"/>
    <n v="17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9"/>
    <x v="0"/>
    <n v="3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0"/>
    <x v="0"/>
    <n v="2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1"/>
    <x v="0"/>
    <n v="5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2"/>
    <x v="0"/>
    <n v="3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3"/>
    <x v="0"/>
    <n v="5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4"/>
    <x v="0"/>
    <n v="2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15"/>
    <x v="0"/>
    <n v="7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0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3"/>
    <x v="1"/>
    <n v="2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4"/>
    <x v="1"/>
    <n v="9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6"/>
    <x v="1"/>
    <n v="5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7"/>
    <x v="1"/>
    <n v="3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8"/>
    <x v="1"/>
    <n v="17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9"/>
    <x v="1"/>
    <n v="3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1"/>
    <x v="1"/>
    <n v="5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2"/>
    <x v="1"/>
    <n v="3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3"/>
    <x v="1"/>
    <n v="5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4"/>
    <x v="1"/>
    <n v="2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  <r>
    <x v="15"/>
    <x v="1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1"/>
    <x v="0"/>
    <n v="9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5"/>
    <x v="0"/>
    <n v="5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1"/>
    <x v="1"/>
    <n v="9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5"/>
    <x v="1"/>
    <n v="5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0"/>
    <x v="0"/>
    <n v="15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1"/>
    <x v="0"/>
    <n v="4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2"/>
    <x v="0"/>
    <n v="3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3"/>
    <x v="0"/>
    <n v="5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4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5"/>
    <x v="0"/>
    <n v="3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6"/>
    <x v="0"/>
    <n v="9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7"/>
    <x v="0"/>
    <n v="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0"/>
    <x v="1"/>
    <n v="15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1"/>
    <x v="1"/>
    <n v="4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2"/>
    <x v="1"/>
    <n v="3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3"/>
    <x v="1"/>
    <n v="5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4"/>
    <x v="1"/>
    <n v="3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9"/>
    <x v="1"/>
    <n v="11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5"/>
    <x v="1"/>
    <n v="3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0"/>
    <x v="1"/>
    <n v="16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1"/>
    <x v="1"/>
    <n v="2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2"/>
    <x v="1"/>
    <n v="5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13"/>
    <x v="1"/>
    <n v="16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6"/>
    <x v="1"/>
    <n v="9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7"/>
    <x v="1"/>
    <n v="5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  <r>
    <x v="14"/>
    <x v="1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0"/>
    <x v="0"/>
    <n v="9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1"/>
    <x v="0"/>
    <n v="3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2"/>
    <x v="0"/>
    <n v="5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3"/>
    <x v="0"/>
    <n v="42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4"/>
    <x v="0"/>
    <n v="17"/>
  </r>
  <r>
    <x v="5"/>
    <x v="1"/>
    <n v="189"/>
  </r>
  <r>
    <x v="5"/>
    <x v="1"/>
    <n v="189"/>
  </r>
  <r>
    <x v="5"/>
    <x v="1"/>
    <n v="189"/>
  </r>
  <r>
    <x v="5"/>
    <x v="1"/>
    <n v="18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0"/>
    <x v="1"/>
    <n v="9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6"/>
    <x v="1"/>
    <n v="4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7"/>
    <x v="1"/>
    <n v="22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8"/>
    <x v="1"/>
    <n v="1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1"/>
    <x v="1"/>
    <n v="3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9"/>
    <x v="1"/>
    <n v="14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2"/>
    <x v="1"/>
    <n v="5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0"/>
    <x v="1"/>
    <n v="2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11"/>
    <x v="1"/>
    <n v="7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3"/>
    <x v="1"/>
    <n v="42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4"/>
    <x v="1"/>
    <n v="17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  <r>
    <x v="12"/>
    <x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4E903-F43E-594E-BD59-6A92C169DB45}" name="PivotTable1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C2:AE19" firstHeaderRow="1" firstDataRow="2" firstDataCol="1"/>
  <pivotFields count="3">
    <pivotField axis="axisRow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showAll="0" defaultSubtotal="0">
      <items count="2">
        <item x="0"/>
        <item x="1"/>
      </items>
    </pivotField>
    <pivotField dataField="1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1"/>
  </colFields>
  <colItems count="2">
    <i>
      <x/>
    </i>
    <i>
      <x v="1"/>
    </i>
  </colItems>
  <dataFields count="1">
    <dataField name="Average of 3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52259-E4BB-E549-9F0B-C45A4B613396}" name="PivotTable2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H1:AJ17" firstHeaderRow="1" firstDataRow="2" firstDataCol="1"/>
  <pivotFields count="3">
    <pivotField axis="axisRow" showAll="0" defaultSubtotal="0">
      <items count="15">
        <item x="0"/>
        <item x="1"/>
        <item x="2"/>
        <item x="3"/>
        <item x="8"/>
        <item x="4"/>
        <item x="9"/>
        <item x="5"/>
        <item x="10"/>
        <item x="11"/>
        <item x="12"/>
        <item x="13"/>
        <item x="6"/>
        <item x="7"/>
        <item x="14"/>
      </items>
    </pivotField>
    <pivotField axis="axisCol" showAll="0" defaultSubtotal="0">
      <items count="2">
        <item x="0"/>
        <item x="1"/>
      </items>
    </pivotField>
    <pivotField dataField="1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2">
    <i>
      <x/>
    </i>
    <i>
      <x v="1"/>
    </i>
  </colItems>
  <dataFields count="1">
    <dataField name="StdDev of Iterations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33375-2A05-AB49-8D36-5508424EC025}" name="PivotTable13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D1:AF17" firstHeaderRow="1" firstDataRow="2" firstDataCol="1"/>
  <pivotFields count="3">
    <pivotField axis="axisRow" showAll="0" defaultSubtotal="0">
      <items count="15">
        <item x="0"/>
        <item x="1"/>
        <item x="2"/>
        <item x="3"/>
        <item x="8"/>
        <item x="4"/>
        <item x="9"/>
        <item x="5"/>
        <item x="10"/>
        <item x="11"/>
        <item x="12"/>
        <item x="13"/>
        <item x="6"/>
        <item x="7"/>
        <item x="14"/>
      </items>
    </pivotField>
    <pivotField axis="axisCol" showAll="0" defaultSubtotal="0">
      <items count="2">
        <item x="0"/>
        <item x="1"/>
      </items>
    </pivotField>
    <pivotField dataField="1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2">
    <i>
      <x/>
    </i>
    <i>
      <x v="1"/>
    </i>
  </colItems>
  <dataFields count="1">
    <dataField name="Average of 15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D7193-27F2-384E-A847-193FA7C84A00}" name="PivotTable1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E1:AG15" firstHeaderRow="1" firstDataRow="2" firstDataCol="1"/>
  <pivotFields count="3">
    <pivotField axis="axisRow" showAll="0" defaultSubtotal="0">
      <items count="13">
        <item x="3"/>
        <item x="4"/>
        <item x="5"/>
        <item x="6"/>
        <item x="7"/>
        <item x="0"/>
        <item x="8"/>
        <item x="9"/>
        <item x="10"/>
        <item x="11"/>
        <item x="1"/>
        <item x="2"/>
        <item x="12"/>
      </items>
    </pivotField>
    <pivotField axis="axisCol" showAll="0" defaultSubtotal="0">
      <items count="2">
        <item x="0"/>
        <item x="1"/>
      </items>
    </pivotField>
    <pivotField dataField="1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2">
    <i>
      <x/>
    </i>
    <i>
      <x v="1"/>
    </i>
  </colItems>
  <dataFields count="1">
    <dataField name="Average of 3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88801-9BEE-FF44-B27B-E5BE938D518F}" name="PivotTable3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I1:AK15" firstHeaderRow="1" firstDataRow="2" firstDataCol="1"/>
  <pivotFields count="3">
    <pivotField axis="axisRow" showAll="0" defaultSubtotal="0">
      <items count="13">
        <item x="5"/>
        <item x="0"/>
        <item x="6"/>
        <item x="7"/>
        <item x="8"/>
        <item x="1"/>
        <item x="9"/>
        <item x="2"/>
        <item x="10"/>
        <item x="11"/>
        <item x="3"/>
        <item x="4"/>
        <item x="12"/>
      </items>
    </pivotField>
    <pivotField axis="axisCol" showAll="0" defaultSubtotal="0">
      <items count="2">
        <item x="0"/>
        <item x="1"/>
      </items>
    </pivotField>
    <pivotField dataField="1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2">
    <i>
      <x/>
    </i>
    <i>
      <x v="1"/>
    </i>
  </colItems>
  <dataFields count="1">
    <dataField name="StdDev of Iterations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201B0-1934-5D49-9CA5-9E98DEF20429}" name="PivotTable10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J24:AK40" firstHeaderRow="1" firstDataRow="2" firstDataCol="1"/>
  <pivotFields count="3">
    <pivotField axis="axisRow" showAll="0" defaultSubtotal="0">
      <items count="15">
        <item x="0"/>
        <item x="1"/>
        <item x="2"/>
        <item x="3"/>
        <item x="8"/>
        <item x="4"/>
        <item x="9"/>
        <item x="5"/>
        <item x="10"/>
        <item x="11"/>
        <item x="12"/>
        <item x="13"/>
        <item x="6"/>
        <item x="7"/>
        <item x="14"/>
      </items>
    </pivotField>
    <pivotField axis="axisCol" showAll="0" defaultSubtotal="0">
      <items count="2">
        <item h="1" x="0"/>
        <item x="1"/>
      </items>
    </pivotField>
    <pivotField dataField="1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1">
    <i>
      <x v="1"/>
    </i>
  </colItems>
  <dataFields count="1">
    <dataField name="Average of 15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F2607-D347-1E41-83D5-18A8F6050DD8}" name="PivotTable10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J24:AK40" firstHeaderRow="1" firstDataRow="2" firstDataCol="1"/>
  <pivotFields count="3">
    <pivotField axis="axisRow" showAll="0" defaultSubtotal="0">
      <items count="15">
        <item x="0"/>
        <item x="1"/>
        <item x="2"/>
        <item x="3"/>
        <item x="8"/>
        <item x="4"/>
        <item x="9"/>
        <item x="5"/>
        <item x="10"/>
        <item x="11"/>
        <item x="12"/>
        <item x="13"/>
        <item x="6"/>
        <item x="7"/>
        <item x="14"/>
      </items>
    </pivotField>
    <pivotField axis="axisCol" showAll="0" defaultSubtotal="0">
      <items count="2">
        <item h="1" x="0"/>
        <item x="1"/>
      </items>
    </pivotField>
    <pivotField dataField="1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1">
    <i>
      <x v="1"/>
    </i>
  </colItems>
  <dataFields count="1">
    <dataField name="Average of 15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12-graal-data-10to-5x-8gb48_clean" connectionId="6" xr16:uid="{278B0710-7E19-A047-BE14-20AD8D383B6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12-graal-data-10to-5x-8gb48_iterations" connectionId="7" xr16:uid="{9EAA5A84-63D9-A348-B164-3388542DB74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29-sized-3x47_clean" connectionId="11" xr16:uid="{9E920F0E-4F04-D14A-BE28-F9AE114C771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14-repro48_medium_iterations" connectionId="2" xr16:uid="{0ABC3B14-D194-D248-A91F-49EDDE07D0A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29-sized-3x48_clean" connectionId="13" xr16:uid="{474C5893-FC74-7741-87E5-D22B3846358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29-sized-3x47_clean" connectionId="10" xr16:uid="{F638E91E-B42B-1D4B-A13D-E615FB86F392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14-repro48_large_iterations" connectionId="1" xr16:uid="{A83CDEFC-748E-BC43-9D71-44610382916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29-sized-3x48_clean" connectionId="12" xr16:uid="{6A4437DE-65E3-C94F-B58F-6BF0CD284205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12-large-graal-5x-8gb48_clean" connectionId="8" xr16:uid="{6E314AB9-0B25-624F-B494-EB23A0C9FB04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12-large-graal-5x-8gb48_iterations" connectionId="9" xr16:uid="{F34C0C52-94CD-414D-8340-B77CCA6D1E22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21-rerun-jdbc48_medium_clean" connectionId="4" xr16:uid="{1A5F3A00-E7AB-464A-8916-73A3216EF2B4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21-rerun-jdbc48_small_clean" connectionId="5" xr16:uid="{35D56BFB-DB9E-8A45-9598-E555E76F86C7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21-rerun-jdbc48_large_clean" connectionId="3" xr16:uid="{CA0FD6F3-4984-7B45-B793-39FF088038F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7" Type="http://schemas.openxmlformats.org/officeDocument/2006/relationships/queryTable" Target="../queryTables/query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queryTable" Target="../queryTables/queryTable9.xml"/><Relationship Id="rId5" Type="http://schemas.openxmlformats.org/officeDocument/2006/relationships/queryTable" Target="../queryTables/queryTable8.xml"/><Relationship Id="rId4" Type="http://schemas.openxmlformats.org/officeDocument/2006/relationships/queryTable" Target="../queryTables/query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2486-1064-604C-B01D-622B562F01A4}">
  <dimension ref="A1:BH321"/>
  <sheetViews>
    <sheetView tabSelected="1" workbookViewId="0">
      <selection activeCell="Y51" sqref="Y51"/>
    </sheetView>
  </sheetViews>
  <sheetFormatPr baseColWidth="10" defaultRowHeight="16" x14ac:dyDescent="0.2"/>
  <cols>
    <col min="1" max="1" width="10.5" bestFit="1" customWidth="1"/>
    <col min="2" max="2" width="12.5" bestFit="1" customWidth="1"/>
    <col min="3" max="3" width="7.5" bestFit="1" customWidth="1"/>
    <col min="4" max="4" width="8" bestFit="1" customWidth="1"/>
    <col min="5" max="5" width="5.83203125" bestFit="1" customWidth="1"/>
    <col min="6" max="6" width="17" bestFit="1" customWidth="1"/>
    <col min="7" max="7" width="11.1640625" bestFit="1" customWidth="1"/>
    <col min="8" max="8" width="4.6640625" bestFit="1" customWidth="1"/>
    <col min="12" max="12" width="14.83203125" customWidth="1"/>
    <col min="13" max="13" width="10.1640625" customWidth="1"/>
    <col min="16" max="16" width="21.1640625" customWidth="1"/>
    <col min="17" max="17" width="30.33203125" customWidth="1"/>
    <col min="18" max="18" width="19" customWidth="1"/>
    <col min="19" max="19" width="30.6640625" customWidth="1"/>
    <col min="20" max="20" width="14.33203125" bestFit="1" customWidth="1"/>
    <col min="21" max="21" width="17.1640625" bestFit="1" customWidth="1"/>
    <col min="22" max="22" width="16.33203125" customWidth="1"/>
    <col min="23" max="23" width="10.83203125" bestFit="1" customWidth="1"/>
    <col min="24" max="24" width="14.83203125" customWidth="1"/>
    <col min="25" max="25" width="13.33203125" customWidth="1"/>
    <col min="26" max="26" width="10.83203125" customWidth="1"/>
    <col min="27" max="27" width="17.6640625" customWidth="1"/>
    <col min="28" max="28" width="28.83203125" customWidth="1"/>
    <col min="29" max="29" width="16" bestFit="1" customWidth="1"/>
    <col min="30" max="30" width="34.33203125" customWidth="1"/>
    <col min="31" max="31" width="5.83203125" bestFit="1" customWidth="1"/>
    <col min="32" max="32" width="12.1640625" bestFit="1" customWidth="1"/>
    <col min="33" max="34" width="12.33203125" bestFit="1" customWidth="1"/>
    <col min="35" max="35" width="35.1640625" bestFit="1" customWidth="1"/>
    <col min="36" max="36" width="16" bestFit="1" customWidth="1"/>
    <col min="37" max="39" width="12.1640625" bestFit="1" customWidth="1"/>
    <col min="40" max="40" width="11.33203125" bestFit="1" customWidth="1"/>
    <col min="41" max="42" width="12.33203125" bestFit="1" customWidth="1"/>
    <col min="43" max="43" width="7.83203125" bestFit="1" customWidth="1"/>
    <col min="44" max="44" width="10.5" bestFit="1" customWidth="1"/>
    <col min="45" max="45" width="11.33203125" bestFit="1" customWidth="1"/>
    <col min="46" max="46" width="14" bestFit="1" customWidth="1"/>
    <col min="47" max="47" width="12.33203125" bestFit="1" customWidth="1"/>
    <col min="48" max="48" width="13.6640625" bestFit="1" customWidth="1"/>
    <col min="49" max="49" width="10.5" bestFit="1" customWidth="1"/>
    <col min="50" max="50" width="17.83203125" bestFit="1" customWidth="1"/>
    <col min="51" max="51" width="7.5" bestFit="1" customWidth="1"/>
    <col min="52" max="52" width="8.1640625" bestFit="1" customWidth="1"/>
    <col min="53" max="53" width="5.83203125" bestFit="1" customWidth="1"/>
    <col min="54" max="54" width="17" bestFit="1" customWidth="1"/>
    <col min="55" max="55" width="9.33203125" bestFit="1" customWidth="1"/>
    <col min="56" max="56" width="5" bestFit="1" customWidth="1"/>
    <col min="57" max="57" width="12.33203125" bestFit="1" customWidth="1"/>
    <col min="58" max="58" width="12.5" bestFit="1" customWidth="1"/>
    <col min="59" max="59" width="10.33203125" bestFit="1" customWidth="1"/>
    <col min="60" max="60" width="3.1640625" bestFit="1" customWidth="1"/>
  </cols>
  <sheetData>
    <row r="1" spans="1:60" x14ac:dyDescent="0.2">
      <c r="Q1" s="25" t="s">
        <v>116</v>
      </c>
      <c r="T1" s="25" t="s">
        <v>117</v>
      </c>
      <c r="BF1" t="s">
        <v>24</v>
      </c>
      <c r="BG1" t="s">
        <v>3</v>
      </c>
      <c r="BH1">
        <v>3</v>
      </c>
    </row>
    <row r="2" spans="1:60" x14ac:dyDescent="0.2">
      <c r="A2" t="s">
        <v>104</v>
      </c>
      <c r="B2" t="s">
        <v>12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2" t="s">
        <v>107</v>
      </c>
      <c r="Q2" s="1" t="s">
        <v>17</v>
      </c>
      <c r="R2" s="1" t="s">
        <v>18</v>
      </c>
      <c r="S2" s="1" t="s">
        <v>109</v>
      </c>
      <c r="U2" s="1" t="s">
        <v>17</v>
      </c>
      <c r="V2" s="1" t="s">
        <v>18</v>
      </c>
      <c r="W2" s="1" t="s">
        <v>115</v>
      </c>
      <c r="AC2" t="s">
        <v>0</v>
      </c>
      <c r="AD2" t="s">
        <v>1</v>
      </c>
      <c r="BF2" t="s">
        <v>24</v>
      </c>
      <c r="BG2" t="s">
        <v>3</v>
      </c>
      <c r="BH2">
        <v>3</v>
      </c>
    </row>
    <row r="3" spans="1:60" x14ac:dyDescent="0.2">
      <c r="A3" t="s">
        <v>16</v>
      </c>
      <c r="B3" t="s">
        <v>24</v>
      </c>
      <c r="C3" t="s">
        <v>21</v>
      </c>
      <c r="D3">
        <v>1</v>
      </c>
      <c r="E3">
        <v>5</v>
      </c>
      <c r="F3">
        <v>1.8779999999999999E-3</v>
      </c>
      <c r="G3">
        <v>1.387E-3</v>
      </c>
      <c r="H3" t="s">
        <v>22</v>
      </c>
      <c r="J3" s="3" t="s">
        <v>23</v>
      </c>
      <c r="K3" s="3" t="s">
        <v>24</v>
      </c>
      <c r="L3" s="3" t="s">
        <v>25</v>
      </c>
      <c r="M3" s="4" cm="1">
        <f t="array" ref="M3">INDEX($F$1:$F$100, MATCH(1, ($A$1:$A$100=M$2)*($B$1:$B$100=$K3), 0))</f>
        <v>7.6540000000000002E-3</v>
      </c>
      <c r="N3" s="4" cm="1">
        <f t="array" ref="N3">INDEX($F$1:$F$100, MATCH(1, (A$1:A$100=N$2)*(B$1:B$100=$K3), 0))</f>
        <v>4.6814000000000001E-2</v>
      </c>
      <c r="O3" s="4" cm="1">
        <f t="array" ref="O3">INDEX($F$1:$F$100, MATCH(1, (A$1:A$100=O$2)*(B$1:B$100=$K3), 0))</f>
        <v>1.8779999999999999E-3</v>
      </c>
      <c r="P3" cm="1">
        <f t="array" ref="P3">INDEX($F$1:$F$100, MATCH(1, (A$1:A$100=P$2)*(B$1:B$100=$K3), 0))</f>
        <v>5.3489999999999996E-3</v>
      </c>
      <c r="Q3" s="4">
        <f>IF(ISNA($N3), "DNF", $N3/$M3)</f>
        <v>6.1162790697674421</v>
      </c>
      <c r="R3" s="4">
        <f t="shared" ref="R3:R18" si="0">IF(ISNA(O3), "DNF", O3/$M3)</f>
        <v>0.24536190227332111</v>
      </c>
      <c r="S3">
        <f>IF(ISNA($P3), "DNF", $P3/$M3)</f>
        <v>0.69885027436634428</v>
      </c>
      <c r="U3" s="4">
        <f>IF(ISNA($N3), "DNF", $N3/$P3)</f>
        <v>8.7519162460272959</v>
      </c>
      <c r="V3" s="4">
        <f>IF(ISNA($O3), "DNF", $O3/$P3)</f>
        <v>0.35109366236679757</v>
      </c>
      <c r="W3">
        <f>IF(ISNA($M3), "DNF", $M3/$P3)</f>
        <v>1.4309216676014209</v>
      </c>
      <c r="AC3" t="s">
        <v>19</v>
      </c>
      <c r="AD3" t="s">
        <v>3</v>
      </c>
      <c r="AE3" t="s">
        <v>20</v>
      </c>
      <c r="BF3" t="s">
        <v>24</v>
      </c>
      <c r="BG3" t="s">
        <v>3</v>
      </c>
      <c r="BH3">
        <v>3</v>
      </c>
    </row>
    <row r="4" spans="1:60" x14ac:dyDescent="0.2">
      <c r="A4" t="s">
        <v>16</v>
      </c>
      <c r="B4" t="s">
        <v>28</v>
      </c>
      <c r="C4" t="s">
        <v>21</v>
      </c>
      <c r="D4">
        <v>1</v>
      </c>
      <c r="E4">
        <v>5</v>
      </c>
      <c r="F4">
        <v>1.4890000000000001E-3</v>
      </c>
      <c r="G4">
        <v>1.108E-3</v>
      </c>
      <c r="H4" t="s">
        <v>22</v>
      </c>
      <c r="J4" s="3" t="s">
        <v>27</v>
      </c>
      <c r="K4" s="3" t="s">
        <v>28</v>
      </c>
      <c r="L4" s="3" t="s">
        <v>29</v>
      </c>
      <c r="M4" s="4" cm="1">
        <f t="array" ref="M4">INDEX($F$1:$F$100, MATCH(1, (A$1:A$100=M$2)*(B$1:B$100=$K4), 0))</f>
        <v>1.3155E-2</v>
      </c>
      <c r="N4" s="4" cm="1">
        <f t="array" ref="N4">INDEX($F$1:$F$100, MATCH(1, (A$1:A$100=N$2)*(B$1:B$100=$K4), 0))</f>
        <v>5.4882E-2</v>
      </c>
      <c r="O4" s="4" cm="1">
        <f t="array" ref="O4">INDEX($F$1:$F$100, MATCH(1, (A$1:A$100=O$2)*(B$1:B$100=$K4), 0))</f>
        <v>1.4890000000000001E-3</v>
      </c>
      <c r="P4" cm="1">
        <f t="array" ref="P4">INDEX($F$1:$F$100, MATCH(1, (A$1:A$100=P$2)*(B$1:B$100=$K4), 0))</f>
        <v>1.1920999999999999E-2</v>
      </c>
      <c r="Q4" s="4">
        <f t="shared" ref="Q4:Q18" si="1">IF(ISNA($N4), "DNF", $N4/$M4)</f>
        <v>4.1719498289623713</v>
      </c>
      <c r="R4" s="4">
        <f t="shared" si="0"/>
        <v>0.11318890155834284</v>
      </c>
      <c r="S4">
        <f t="shared" ref="S4:S18" si="2">IF(ISNA($P4), "DNF", $P4/$M4)</f>
        <v>0.90619536297985548</v>
      </c>
      <c r="U4" s="4">
        <f t="shared" ref="U4:U17" si="3">IF(ISNA($N4), "DNF", $N4/$P4)</f>
        <v>4.6038084053351236</v>
      </c>
      <c r="V4" s="4">
        <f t="shared" ref="V4:V18" si="4">IF(ISNA($O4), "DNF", $O4/$P4)</f>
        <v>0.12490562872242263</v>
      </c>
      <c r="W4">
        <f t="shared" ref="W4:W16" si="5">IF(ISNA($M4), "DNF", $M4/$P4)</f>
        <v>1.1035148058048823</v>
      </c>
      <c r="AC4" s="5" t="s">
        <v>24</v>
      </c>
      <c r="AD4">
        <v>3</v>
      </c>
      <c r="AE4">
        <v>3</v>
      </c>
      <c r="BF4" t="s">
        <v>24</v>
      </c>
      <c r="BG4" t="s">
        <v>3</v>
      </c>
      <c r="BH4">
        <v>3</v>
      </c>
    </row>
    <row r="5" spans="1:60" x14ac:dyDescent="0.2">
      <c r="A5" t="s">
        <v>16</v>
      </c>
      <c r="B5" t="s">
        <v>32</v>
      </c>
      <c r="C5" t="s">
        <v>21</v>
      </c>
      <c r="D5">
        <v>1</v>
      </c>
      <c r="E5">
        <v>5</v>
      </c>
      <c r="F5">
        <v>3.1059999999999998E-3</v>
      </c>
      <c r="G5">
        <v>3.7139999999999999E-3</v>
      </c>
      <c r="H5" t="s">
        <v>22</v>
      </c>
      <c r="J5" s="3" t="s">
        <v>31</v>
      </c>
      <c r="K5" s="3" t="s">
        <v>32</v>
      </c>
      <c r="L5" s="3" t="s">
        <v>33</v>
      </c>
      <c r="M5" s="4" cm="1">
        <f t="array" ref="M5">INDEX($F$1:$F$100, MATCH(1, (A$1:A$100=M$2)*(B$1:B$100=$K5), 0))</f>
        <v>1.2475E-2</v>
      </c>
      <c r="N5" s="4" cm="1">
        <f t="array" ref="N5">INDEX($F$1:$F$100, MATCH(1, (A$1:A$100=N$2)*(B$1:B$100=$K5), 0))</f>
        <v>4.3912E-2</v>
      </c>
      <c r="O5" s="4" cm="1">
        <f t="array" ref="O5">INDEX($F$1:$F$100, MATCH(1, (A$1:A$100=O$2)*(B$1:B$100=$K5), 0))</f>
        <v>3.1059999999999998E-3</v>
      </c>
      <c r="P5" cm="1">
        <f t="array" ref="P5">INDEX($F$1:$F$100, MATCH(1, (A$1:A$100=P$2)*(B$1:B$100=$K5), 0))</f>
        <v>1.1039E-2</v>
      </c>
      <c r="Q5" s="4">
        <f t="shared" si="1"/>
        <v>3.52</v>
      </c>
      <c r="R5" s="4">
        <f t="shared" si="0"/>
        <v>0.24897795591182365</v>
      </c>
      <c r="S5">
        <f t="shared" si="2"/>
        <v>0.88488977955911829</v>
      </c>
      <c r="U5" s="4">
        <f t="shared" si="3"/>
        <v>3.9778965486004165</v>
      </c>
      <c r="V5" s="4">
        <f t="shared" si="4"/>
        <v>0.28136606576682666</v>
      </c>
      <c r="W5">
        <f t="shared" si="5"/>
        <v>1.130084246761482</v>
      </c>
      <c r="AC5" s="5" t="s">
        <v>28</v>
      </c>
      <c r="AD5">
        <v>3</v>
      </c>
      <c r="AE5">
        <v>3</v>
      </c>
      <c r="BF5" t="s">
        <v>24</v>
      </c>
      <c r="BG5" t="s">
        <v>3</v>
      </c>
      <c r="BH5">
        <v>3</v>
      </c>
    </row>
    <row r="6" spans="1:60" x14ac:dyDescent="0.2">
      <c r="A6" t="s">
        <v>16</v>
      </c>
      <c r="B6" t="s">
        <v>34</v>
      </c>
      <c r="C6" t="s">
        <v>21</v>
      </c>
      <c r="D6">
        <v>1</v>
      </c>
      <c r="E6">
        <v>5</v>
      </c>
      <c r="F6">
        <v>2.1310000000000001E-3</v>
      </c>
      <c r="G6">
        <v>8.5700000000000001E-4</v>
      </c>
      <c r="H6" t="s">
        <v>22</v>
      </c>
      <c r="J6" s="3" t="s">
        <v>31</v>
      </c>
      <c r="K6" s="3" t="s">
        <v>34</v>
      </c>
      <c r="L6" s="3" t="s">
        <v>35</v>
      </c>
      <c r="M6" s="4" cm="1">
        <f t="array" ref="M6">INDEX($F$1:$F$100, MATCH(1, (A$1:A$100=M$2)*(B$1:B$100=$K6), 0))</f>
        <v>8.9149999999999993E-3</v>
      </c>
      <c r="N6" s="4" cm="1">
        <f t="array" ref="N6">INDEX($F$1:$F$100, MATCH(1, (A$1:A$100=N$2)*(B$1:B$100=$K6), 0))</f>
        <v>3.5820999999999999E-2</v>
      </c>
      <c r="O6" s="4" cm="1">
        <f t="array" ref="O6">INDEX($F$1:$F$100, MATCH(1, (A$1:A$100=O$2)*(B$1:B$100=$K6), 0))</f>
        <v>2.1310000000000001E-3</v>
      </c>
      <c r="P6" cm="1">
        <f t="array" ref="P6">INDEX($F$1:$F$100, MATCH(1, (A$1:A$100=P$2)*(B$1:B$100=$K6), 0))</f>
        <v>8.5599999999999999E-3</v>
      </c>
      <c r="Q6" s="4">
        <f t="shared" si="1"/>
        <v>4.0180594503645546</v>
      </c>
      <c r="R6" s="4">
        <f t="shared" si="0"/>
        <v>0.23903533370723504</v>
      </c>
      <c r="S6">
        <f t="shared" si="2"/>
        <v>0.96017947279865401</v>
      </c>
      <c r="U6" s="4">
        <f t="shared" si="3"/>
        <v>4.1846962616822427</v>
      </c>
      <c r="V6" s="4">
        <f t="shared" si="4"/>
        <v>0.24894859813084114</v>
      </c>
      <c r="W6">
        <f t="shared" si="5"/>
        <v>1.0414719626168223</v>
      </c>
      <c r="AC6" s="5" t="s">
        <v>32</v>
      </c>
      <c r="AD6">
        <v>3</v>
      </c>
      <c r="AE6">
        <v>3</v>
      </c>
      <c r="BF6" t="s">
        <v>24</v>
      </c>
      <c r="BG6" t="s">
        <v>3</v>
      </c>
      <c r="BH6">
        <v>3</v>
      </c>
    </row>
    <row r="7" spans="1:60" x14ac:dyDescent="0.2">
      <c r="A7" t="s">
        <v>16</v>
      </c>
      <c r="B7" t="s">
        <v>36</v>
      </c>
      <c r="C7" t="s">
        <v>21</v>
      </c>
      <c r="D7">
        <v>1</v>
      </c>
      <c r="E7">
        <v>5</v>
      </c>
      <c r="F7">
        <v>6.1700000000000001E-3</v>
      </c>
      <c r="G7">
        <v>6.9249999999999997E-3</v>
      </c>
      <c r="H7" t="s">
        <v>22</v>
      </c>
      <c r="J7" s="3" t="s">
        <v>27</v>
      </c>
      <c r="K7" s="3" t="s">
        <v>36</v>
      </c>
      <c r="L7" s="3" t="s">
        <v>37</v>
      </c>
      <c r="M7" s="4" cm="1">
        <f t="array" ref="M7">INDEX($F$1:$F$100, MATCH(1, (A$1:A$100=M$2)*(B$1:B$100=$K7), 0))</f>
        <v>2.8225E-2</v>
      </c>
      <c r="N7" s="4" cm="1">
        <f t="array" ref="N7">INDEX($F$1:$F$100, MATCH(1, (A$1:A$100=N$2)*(B$1:B$100=$K7), 0))</f>
        <v>0.31134699999999998</v>
      </c>
      <c r="O7" s="4" cm="1">
        <f t="array" ref="O7">INDEX($F$1:$F$100, MATCH(1, (A$1:A$100=O$2)*(B$1:B$100=$K7), 0))</f>
        <v>6.1700000000000001E-3</v>
      </c>
      <c r="P7" cm="1">
        <f t="array" ref="P7">INDEX($F$1:$F$100, MATCH(1, (A$1:A$100=P$2)*(B$1:B$100=$K7), 0))</f>
        <v>2.4934000000000001E-2</v>
      </c>
      <c r="Q7" s="4">
        <f t="shared" si="1"/>
        <v>11.030894596988485</v>
      </c>
      <c r="R7" s="4">
        <f t="shared" si="0"/>
        <v>0.21860053144375555</v>
      </c>
      <c r="S7">
        <f t="shared" si="2"/>
        <v>0.88340124003542964</v>
      </c>
      <c r="U7" s="4">
        <f t="shared" si="3"/>
        <v>12.486845271516803</v>
      </c>
      <c r="V7" s="4">
        <f t="shared" si="4"/>
        <v>0.24745327665035693</v>
      </c>
      <c r="W7">
        <f t="shared" si="5"/>
        <v>1.1319884495066976</v>
      </c>
      <c r="AC7" s="5" t="s">
        <v>34</v>
      </c>
      <c r="AD7">
        <v>2</v>
      </c>
      <c r="AE7">
        <v>2</v>
      </c>
      <c r="BF7" t="s">
        <v>24</v>
      </c>
      <c r="BG7" t="s">
        <v>3</v>
      </c>
      <c r="BH7">
        <v>3</v>
      </c>
    </row>
    <row r="8" spans="1:60" x14ac:dyDescent="0.2">
      <c r="A8" t="s">
        <v>16</v>
      </c>
      <c r="B8" t="s">
        <v>2</v>
      </c>
      <c r="C8" t="s">
        <v>21</v>
      </c>
      <c r="D8">
        <v>1</v>
      </c>
      <c r="E8">
        <v>5</v>
      </c>
      <c r="F8">
        <v>2.4269999999999999E-3</v>
      </c>
      <c r="G8">
        <v>1.1440000000000001E-3</v>
      </c>
      <c r="H8" t="s">
        <v>22</v>
      </c>
      <c r="J8" s="3" t="s">
        <v>31</v>
      </c>
      <c r="K8" s="3" t="s">
        <v>2</v>
      </c>
      <c r="L8" s="3" t="s">
        <v>38</v>
      </c>
      <c r="M8" s="4" cm="1">
        <f t="array" ref="M8">INDEX($F$1:$F$100, MATCH(1, (A$1:A$100=M$2)*(B$1:B$100=$K8), 0))</f>
        <v>1.1313999999999999E-2</v>
      </c>
      <c r="N8" s="4" cm="1">
        <f t="array" ref="N8">INDEX($F$1:$F$100, MATCH(1, (A$1:A$100=N$2)*(B$1:B$100=$K8), 0))</f>
        <v>7.0066000000000003E-2</v>
      </c>
      <c r="O8" s="4" cm="1">
        <f t="array" ref="O8">INDEX($F$1:$F$100, MATCH(1, (A$1:A$100=O$2)*(B$1:B$100=$K8), 0))</f>
        <v>2.4269999999999999E-3</v>
      </c>
      <c r="P8" cm="1">
        <f t="array" ref="P8">INDEX($F$1:$F$100, MATCH(1, (A$1:A$100=P$2)*(B$1:B$100=$K8), 0))</f>
        <v>9.2339999999999992E-3</v>
      </c>
      <c r="Q8" s="4">
        <f t="shared" si="1"/>
        <v>6.1928584055152918</v>
      </c>
      <c r="R8" s="4">
        <f t="shared" si="0"/>
        <v>0.21451299275234223</v>
      </c>
      <c r="S8">
        <f t="shared" si="2"/>
        <v>0.81615697366095097</v>
      </c>
      <c r="U8" s="4">
        <f t="shared" si="3"/>
        <v>7.5878275936755477</v>
      </c>
      <c r="V8" s="4">
        <f t="shared" si="4"/>
        <v>0.26283300844704355</v>
      </c>
      <c r="W8">
        <f t="shared" si="5"/>
        <v>1.2252544942603423</v>
      </c>
      <c r="AC8" s="5" t="s">
        <v>36</v>
      </c>
      <c r="AD8">
        <v>9</v>
      </c>
      <c r="AE8">
        <v>9</v>
      </c>
      <c r="BF8" t="s">
        <v>24</v>
      </c>
      <c r="BG8" t="s">
        <v>3</v>
      </c>
      <c r="BH8">
        <v>3</v>
      </c>
    </row>
    <row r="9" spans="1:60" x14ac:dyDescent="0.2">
      <c r="A9" t="s">
        <v>16</v>
      </c>
      <c r="B9" t="s">
        <v>39</v>
      </c>
      <c r="C9" t="s">
        <v>21</v>
      </c>
      <c r="D9">
        <v>1</v>
      </c>
      <c r="E9">
        <v>5</v>
      </c>
      <c r="F9">
        <v>2.7550000000000001E-3</v>
      </c>
      <c r="G9">
        <v>2.8379999999999998E-3</v>
      </c>
      <c r="H9" t="s">
        <v>22</v>
      </c>
      <c r="J9" s="3" t="s">
        <v>31</v>
      </c>
      <c r="K9" s="3" t="s">
        <v>39</v>
      </c>
      <c r="L9" s="3" t="s">
        <v>40</v>
      </c>
      <c r="M9" s="4" cm="1">
        <f t="array" ref="M9">INDEX($F$1:$F$100, MATCH(1, (A$1:A$100=M$2)*(B$1:B$100=$K9), 0))</f>
        <v>2.3838000000000002E-2</v>
      </c>
      <c r="N9" s="4" cm="1">
        <f t="array" ref="N9">INDEX($F$1:$F$100, MATCH(1, (A$1:A$100=N$2)*(B$1:B$100=$K9), 0))</f>
        <v>0.17114599999999999</v>
      </c>
      <c r="O9" s="4" cm="1">
        <f t="array" ref="O9">INDEX($F$1:$F$100, MATCH(1, (A$1:A$100=O$2)*(B$1:B$100=$K9), 0))</f>
        <v>2.7550000000000001E-3</v>
      </c>
      <c r="P9" cm="1">
        <f t="array" ref="P9">INDEX($F$1:$F$100, MATCH(1, (A$1:A$100=P$2)*(B$1:B$100=$K9), 0))</f>
        <v>1.8013999999999999E-2</v>
      </c>
      <c r="Q9" s="4">
        <f t="shared" si="1"/>
        <v>7.1795452638644175</v>
      </c>
      <c r="R9" s="4">
        <f t="shared" si="0"/>
        <v>0.11557177615571776</v>
      </c>
      <c r="S9">
        <f t="shared" si="2"/>
        <v>0.75568420169477291</v>
      </c>
      <c r="U9" s="4">
        <f t="shared" si="3"/>
        <v>9.5007216609303882</v>
      </c>
      <c r="V9" s="4">
        <f t="shared" si="4"/>
        <v>0.15293660486288443</v>
      </c>
      <c r="W9">
        <f t="shared" si="5"/>
        <v>1.3233040968135896</v>
      </c>
      <c r="AC9" s="5" t="s">
        <v>2</v>
      </c>
      <c r="AD9">
        <v>3</v>
      </c>
      <c r="AE9">
        <v>3</v>
      </c>
      <c r="BF9" t="s">
        <v>24</v>
      </c>
      <c r="BG9" t="s">
        <v>3</v>
      </c>
      <c r="BH9">
        <v>3</v>
      </c>
    </row>
    <row r="10" spans="1:60" x14ac:dyDescent="0.2">
      <c r="A10" t="s">
        <v>16</v>
      </c>
      <c r="B10" t="s">
        <v>41</v>
      </c>
      <c r="C10" t="s">
        <v>21</v>
      </c>
      <c r="D10">
        <v>1</v>
      </c>
      <c r="E10">
        <v>5</v>
      </c>
      <c r="F10">
        <v>1.9889999999999999E-3</v>
      </c>
      <c r="G10">
        <v>1.5039999999999999E-3</v>
      </c>
      <c r="H10" t="s">
        <v>22</v>
      </c>
      <c r="J10" s="3" t="s">
        <v>27</v>
      </c>
      <c r="K10" s="3" t="s">
        <v>41</v>
      </c>
      <c r="L10" s="3" t="s">
        <v>42</v>
      </c>
      <c r="M10" s="4" cm="1">
        <f t="array" ref="M10">INDEX($F$1:$F$100, MATCH(1, (A$1:A$100=M$2)*(B$1:B$100=$K10), 0))</f>
        <v>6.463E-3</v>
      </c>
      <c r="N10" s="4" cm="1">
        <f t="array" ref="N10">INDEX($F$1:$F$100, MATCH(1, (A$1:A$100=N$2)*(B$1:B$100=$K10), 0))</f>
        <v>4.7777E-2</v>
      </c>
      <c r="O10" s="4" cm="1">
        <f t="array" ref="O10">INDEX($F$1:$F$100, MATCH(1, (A$1:A$100=O$2)*(B$1:B$100=$K10), 0))</f>
        <v>1.9889999999999999E-3</v>
      </c>
      <c r="P10" cm="1">
        <f t="array" ref="P10">INDEX($F$1:$F$100, MATCH(1, (A$1:A$100=P$2)*(B$1:B$100=$K10), 0))</f>
        <v>5.2269999999999999E-3</v>
      </c>
      <c r="Q10" s="4">
        <f t="shared" si="1"/>
        <v>7.3923874361751505</v>
      </c>
      <c r="R10" s="4">
        <f t="shared" si="0"/>
        <v>0.30775181804115737</v>
      </c>
      <c r="S10">
        <f t="shared" si="2"/>
        <v>0.80875754293671664</v>
      </c>
      <c r="U10" s="4">
        <f t="shared" si="3"/>
        <v>9.1404247178113636</v>
      </c>
      <c r="V10" s="4">
        <f t="shared" si="4"/>
        <v>0.38052420126267456</v>
      </c>
      <c r="W10">
        <f t="shared" si="5"/>
        <v>1.2364645111918884</v>
      </c>
      <c r="AC10" s="5" t="s">
        <v>39</v>
      </c>
      <c r="AD10">
        <v>3</v>
      </c>
      <c r="AE10">
        <v>5</v>
      </c>
      <c r="BF10" t="s">
        <v>24</v>
      </c>
      <c r="BG10" t="s">
        <v>3</v>
      </c>
      <c r="BH10">
        <v>3</v>
      </c>
    </row>
    <row r="11" spans="1:60" x14ac:dyDescent="0.2">
      <c r="A11" t="s">
        <v>16</v>
      </c>
      <c r="B11" t="s">
        <v>43</v>
      </c>
      <c r="C11" t="s">
        <v>21</v>
      </c>
      <c r="D11">
        <v>1</v>
      </c>
      <c r="E11">
        <v>5</v>
      </c>
      <c r="F11">
        <v>4.0720000000000001E-3</v>
      </c>
      <c r="G11">
        <v>3.2560000000000002E-3</v>
      </c>
      <c r="H11" t="s">
        <v>22</v>
      </c>
      <c r="J11" s="3" t="s">
        <v>31</v>
      </c>
      <c r="K11" s="3" t="s">
        <v>43</v>
      </c>
      <c r="L11" s="3" t="s">
        <v>44</v>
      </c>
      <c r="M11" s="4" cm="1">
        <f t="array" ref="M11">INDEX($F$1:$F$100, MATCH(1, (A$1:A$100=M$2)*(B$1:B$100=$K11), 0))</f>
        <v>1.3899E-2</v>
      </c>
      <c r="N11" s="4" cm="1">
        <f t="array" ref="N11">INDEX($F$1:$F$100, MATCH(1, (A$1:A$100=N$2)*(B$1:B$100=$K11), 0))</f>
        <v>0.32746900000000001</v>
      </c>
      <c r="O11" s="4" cm="1">
        <f t="array" ref="O11">INDEX($F$1:$F$100, MATCH(1, (A$1:A$100=O$2)*(B$1:B$100=$K11), 0))</f>
        <v>4.0720000000000001E-3</v>
      </c>
      <c r="P11" cm="1">
        <f t="array" ref="P11">INDEX($F$1:$F$100, MATCH(1, (A$1:A$100=P$2)*(B$1:B$100=$K11), 0))</f>
        <v>8.5550000000000001E-3</v>
      </c>
      <c r="Q11" s="4">
        <f t="shared" si="1"/>
        <v>23.560615871645442</v>
      </c>
      <c r="R11" s="4">
        <f t="shared" si="0"/>
        <v>0.29297071731779267</v>
      </c>
      <c r="S11">
        <f t="shared" si="2"/>
        <v>0.61551190733146266</v>
      </c>
      <c r="U11" s="4">
        <f t="shared" si="3"/>
        <v>38.278082992402105</v>
      </c>
      <c r="V11" s="4">
        <f t="shared" si="4"/>
        <v>0.47597895967270604</v>
      </c>
      <c r="W11">
        <f t="shared" si="5"/>
        <v>1.6246639392168323</v>
      </c>
      <c r="AC11" s="5" t="s">
        <v>41</v>
      </c>
      <c r="AD11">
        <v>3</v>
      </c>
      <c r="AE11">
        <v>3</v>
      </c>
      <c r="BF11" t="s">
        <v>28</v>
      </c>
      <c r="BG11" t="s">
        <v>3</v>
      </c>
      <c r="BH11">
        <v>3</v>
      </c>
    </row>
    <row r="12" spans="1:60" x14ac:dyDescent="0.2">
      <c r="A12" t="s">
        <v>16</v>
      </c>
      <c r="B12" t="s">
        <v>46</v>
      </c>
      <c r="C12" t="s">
        <v>21</v>
      </c>
      <c r="D12">
        <v>1</v>
      </c>
      <c r="E12">
        <v>5</v>
      </c>
      <c r="F12">
        <v>2.519E-3</v>
      </c>
      <c r="G12">
        <v>1.1820000000000001E-3</v>
      </c>
      <c r="H12" t="s">
        <v>22</v>
      </c>
      <c r="J12" s="3" t="s">
        <v>27</v>
      </c>
      <c r="K12" s="3" t="s">
        <v>46</v>
      </c>
      <c r="L12" s="3" t="s">
        <v>47</v>
      </c>
      <c r="M12" s="4" cm="1">
        <f t="array" ref="M12">INDEX($F$1:$F$100, MATCH(1, (A$1:A$100=M$2)*(B$1:B$100=$K12), 0))</f>
        <v>1.4302E-2</v>
      </c>
      <c r="N12" s="4" cm="1">
        <f t="array" ref="N12">INDEX($F$1:$F$100, MATCH(1, (A$1:A$100=N$2)*(B$1:B$100=$K12), 0))</f>
        <v>7.6815999999999995E-2</v>
      </c>
      <c r="O12" s="4" cm="1">
        <f t="array" ref="O12">INDEX($F$1:$F$100, MATCH(1, (A$1:A$100=O$2)*(B$1:B$100=$K12), 0))</f>
        <v>2.519E-3</v>
      </c>
      <c r="P12" cm="1">
        <f t="array" ref="P12">INDEX($F$1:$F$100, MATCH(1, (A$1:A$100=P$2)*(B$1:B$100=$K12), 0))</f>
        <v>1.2097999999999999E-2</v>
      </c>
      <c r="Q12" s="4">
        <f t="shared" si="1"/>
        <v>5.370997063347783</v>
      </c>
      <c r="R12" s="4">
        <f t="shared" si="0"/>
        <v>0.17612921269752482</v>
      </c>
      <c r="S12">
        <f t="shared" si="2"/>
        <v>0.84589567892602424</v>
      </c>
      <c r="U12" s="4">
        <f t="shared" si="3"/>
        <v>6.3494792527690525</v>
      </c>
      <c r="V12" s="4">
        <f>IF(ISNA($O12), "DNF", $O12/$P12)</f>
        <v>0.20821623408827905</v>
      </c>
      <c r="W12">
        <f t="shared" si="5"/>
        <v>1.1821788725409159</v>
      </c>
      <c r="AC12" s="5" t="s">
        <v>43</v>
      </c>
      <c r="AD12">
        <v>17</v>
      </c>
      <c r="AE12">
        <v>17</v>
      </c>
      <c r="BF12" t="s">
        <v>28</v>
      </c>
      <c r="BG12" t="s">
        <v>3</v>
      </c>
      <c r="BH12">
        <v>3</v>
      </c>
    </row>
    <row r="13" spans="1:60" x14ac:dyDescent="0.2">
      <c r="A13" t="s">
        <v>16</v>
      </c>
      <c r="B13" t="s">
        <v>45</v>
      </c>
      <c r="C13" t="s">
        <v>21</v>
      </c>
      <c r="D13">
        <v>1</v>
      </c>
      <c r="E13">
        <v>5</v>
      </c>
      <c r="F13">
        <v>2.0479999999999999E-3</v>
      </c>
      <c r="G13">
        <v>1.137E-3</v>
      </c>
      <c r="H13" t="s">
        <v>22</v>
      </c>
      <c r="J13" s="3" t="s">
        <v>31</v>
      </c>
      <c r="K13" s="3" t="s">
        <v>45</v>
      </c>
      <c r="L13" s="3" t="s">
        <v>49</v>
      </c>
      <c r="M13" s="4" cm="1">
        <f t="array" ref="M13">INDEX($F$1:$F$100, MATCH(1, (A$1:A$100=M$2)*(B$1:B$100=$K13), 0))</f>
        <v>1.1875E-2</v>
      </c>
      <c r="N13" s="4" cm="1">
        <f t="array" ref="N13">INDEX($F$1:$F$100, MATCH(1, (A$1:A$100=N$2)*(B$1:B$100=$K13), 0))</f>
        <v>3.7601000000000002E-2</v>
      </c>
      <c r="O13" s="4" cm="1">
        <f t="array" ref="O13">INDEX($F$1:$F$100, MATCH(1, (A$1:A$100=O$2)*(B$1:B$100=$K13), 0))</f>
        <v>2.0479999999999999E-3</v>
      </c>
      <c r="P13" cm="1">
        <f t="array" ref="P13">INDEX($F$1:$F$100, MATCH(1, (A$1:A$100=P$2)*(B$1:B$100=$K13), 0))</f>
        <v>9.5499999999999995E-3</v>
      </c>
      <c r="Q13" s="4">
        <f t="shared" si="1"/>
        <v>3.1664000000000003</v>
      </c>
      <c r="R13" s="4">
        <f t="shared" si="0"/>
        <v>0.17246315789473685</v>
      </c>
      <c r="S13">
        <f t="shared" si="2"/>
        <v>0.80421052631578938</v>
      </c>
      <c r="U13" s="4">
        <f t="shared" si="3"/>
        <v>3.9372774869109954</v>
      </c>
      <c r="V13" s="4">
        <f t="shared" si="4"/>
        <v>0.21445026178010471</v>
      </c>
      <c r="W13">
        <f t="shared" si="5"/>
        <v>1.243455497382199</v>
      </c>
      <c r="AC13" s="5" t="s">
        <v>46</v>
      </c>
      <c r="AD13">
        <v>3</v>
      </c>
      <c r="AE13">
        <v>3</v>
      </c>
      <c r="BF13" t="s">
        <v>28</v>
      </c>
      <c r="BG13" t="s">
        <v>3</v>
      </c>
      <c r="BH13">
        <v>3</v>
      </c>
    </row>
    <row r="14" spans="1:60" x14ac:dyDescent="0.2">
      <c r="A14" t="s">
        <v>16</v>
      </c>
      <c r="B14" t="s">
        <v>48</v>
      </c>
      <c r="C14" t="s">
        <v>21</v>
      </c>
      <c r="D14">
        <v>1</v>
      </c>
      <c r="E14">
        <v>5</v>
      </c>
      <c r="F14">
        <v>3.7420000000000001E-3</v>
      </c>
      <c r="G14">
        <v>2.2750000000000001E-3</v>
      </c>
      <c r="H14" t="s">
        <v>22</v>
      </c>
      <c r="J14" s="3" t="s">
        <v>31</v>
      </c>
      <c r="K14" s="3" t="s">
        <v>48</v>
      </c>
      <c r="L14" s="3" t="s">
        <v>50</v>
      </c>
      <c r="M14" s="4" cm="1">
        <f t="array" ref="M14">INDEX($F$1:$F$100, MATCH(1, (A$1:A$100=M$2)*(B$1:B$100=$K14), 0))</f>
        <v>1.1764E-2</v>
      </c>
      <c r="N14" s="4" cm="1">
        <f t="array" ref="N14">INDEX($F$1:$F$100, MATCH(1, (A$1:A$100=N$2)*(B$1:B$100=$K14), 0))</f>
        <v>9.8845000000000002E-2</v>
      </c>
      <c r="O14" s="4" cm="1">
        <f t="array" ref="O14">INDEX($F$1:$F$100, MATCH(1, (A$1:A$100=O$2)*(B$1:B$100=$K14), 0))</f>
        <v>3.7420000000000001E-3</v>
      </c>
      <c r="P14" cm="1">
        <f t="array" ref="P14">INDEX($F$1:$F$100, MATCH(1, (A$1:A$100=P$2)*(B$1:B$100=$K14), 0))</f>
        <v>9.8010000000000007E-3</v>
      </c>
      <c r="Q14" s="4">
        <f t="shared" si="1"/>
        <v>8.4023291397483852</v>
      </c>
      <c r="R14" s="4">
        <f t="shared" si="0"/>
        <v>0.3180890853451207</v>
      </c>
      <c r="S14">
        <f t="shared" si="2"/>
        <v>0.83313498809928599</v>
      </c>
      <c r="U14" s="4">
        <f t="shared" si="3"/>
        <v>10.08519538822569</v>
      </c>
      <c r="V14" s="4">
        <f t="shared" si="4"/>
        <v>0.38179777573716966</v>
      </c>
      <c r="W14">
        <f t="shared" si="5"/>
        <v>1.2002856851341699</v>
      </c>
      <c r="AC14" s="5" t="s">
        <v>45</v>
      </c>
      <c r="AD14">
        <v>2</v>
      </c>
      <c r="AE14">
        <v>2</v>
      </c>
      <c r="BF14" t="s">
        <v>28</v>
      </c>
      <c r="BG14" t="s">
        <v>3</v>
      </c>
      <c r="BH14">
        <v>3</v>
      </c>
    </row>
    <row r="15" spans="1:60" x14ac:dyDescent="0.2">
      <c r="A15" t="s">
        <v>16</v>
      </c>
      <c r="B15" t="s">
        <v>51</v>
      </c>
      <c r="C15" t="s">
        <v>21</v>
      </c>
      <c r="D15">
        <v>1</v>
      </c>
      <c r="E15">
        <v>5</v>
      </c>
      <c r="F15">
        <v>2.6059999999999998E-3</v>
      </c>
      <c r="G15">
        <v>4.6700000000000002E-4</v>
      </c>
      <c r="H15" t="s">
        <v>22</v>
      </c>
      <c r="J15" s="3" t="s">
        <v>27</v>
      </c>
      <c r="K15" s="3" t="s">
        <v>51</v>
      </c>
      <c r="L15" s="3" t="s">
        <v>52</v>
      </c>
      <c r="M15" s="4" cm="1">
        <f t="array" ref="M15">INDEX($F$1:$F$100, MATCH(1, (A$1:A$100=M$2)*(B$1:B$100=$K15), 0))</f>
        <v>1.6160999999999998E-2</v>
      </c>
      <c r="N15" s="4" cm="1">
        <f t="array" ref="N15">INDEX($F$1:$F$100, MATCH(1, (A$1:A$100=N$2)*(B$1:B$100=$K15), 0))</f>
        <v>8.4973999999999994E-2</v>
      </c>
      <c r="O15" s="4" cm="1">
        <f t="array" ref="O15">INDEX($F$1:$F$100, MATCH(1, (A$1:A$100=O$2)*(B$1:B$100=$K15), 0))</f>
        <v>2.6059999999999998E-3</v>
      </c>
      <c r="P15" cm="1">
        <f t="array" ref="P15">INDEX($F$1:$F$100, MATCH(1, (A$1:A$100=P$2)*(B$1:B$100=$K15), 0))</f>
        <v>1.2428E-2</v>
      </c>
      <c r="Q15" s="4">
        <f t="shared" si="1"/>
        <v>5.2579667099808178</v>
      </c>
      <c r="R15" s="4">
        <f t="shared" si="0"/>
        <v>0.16125239774766414</v>
      </c>
      <c r="S15">
        <f t="shared" si="2"/>
        <v>0.76901181857558332</v>
      </c>
      <c r="U15" s="4">
        <f t="shared" si="3"/>
        <v>6.8373028644995166</v>
      </c>
      <c r="V15" s="4">
        <f t="shared" si="4"/>
        <v>0.20968780173801094</v>
      </c>
      <c r="W15">
        <f t="shared" si="5"/>
        <v>1.30037013196009</v>
      </c>
      <c r="AC15" s="5" t="s">
        <v>48</v>
      </c>
      <c r="AD15">
        <v>5</v>
      </c>
      <c r="AE15">
        <v>5</v>
      </c>
      <c r="BF15" t="s">
        <v>28</v>
      </c>
      <c r="BG15" t="s">
        <v>3</v>
      </c>
      <c r="BH15">
        <v>3</v>
      </c>
    </row>
    <row r="16" spans="1:60" x14ac:dyDescent="0.2">
      <c r="A16" t="s">
        <v>16</v>
      </c>
      <c r="B16" t="s">
        <v>26</v>
      </c>
      <c r="C16" t="s">
        <v>21</v>
      </c>
      <c r="D16">
        <v>1</v>
      </c>
      <c r="E16">
        <v>5</v>
      </c>
      <c r="F16">
        <v>2.5100000000000001E-3</v>
      </c>
      <c r="G16">
        <v>8.7699999999999996E-4</v>
      </c>
      <c r="H16" t="s">
        <v>22</v>
      </c>
      <c r="J16" s="3" t="s">
        <v>23</v>
      </c>
      <c r="K16" s="3" t="s">
        <v>26</v>
      </c>
      <c r="L16" s="3" t="s">
        <v>54</v>
      </c>
      <c r="M16" s="4" cm="1">
        <f t="array" ref="M16">INDEX($F$1:$F$100, MATCH(1, (A$1:A$100=M$2)*(B$1:B$100=$K16), 0))</f>
        <v>8.5100000000000002E-3</v>
      </c>
      <c r="N16" s="4" cm="1">
        <f t="array" ref="N16">INDEX($F$1:$F$100, MATCH(1, (A$1:A$100=N$2)*(B$1:B$100=$K16), 0))</f>
        <v>6.8136000000000002E-2</v>
      </c>
      <c r="O16" s="4" cm="1">
        <f t="array" ref="O16">INDEX($F$1:$F$100, MATCH(1, (A$1:A$100=O$2)*(B$1:B$100=$K16), 0))</f>
        <v>2.5100000000000001E-3</v>
      </c>
      <c r="P16" cm="1">
        <f t="array" ref="P16">INDEX($F$1:$F$100, MATCH(1, (A$1:A$100=P$2)*(B$1:B$100=$K16), 0))</f>
        <v>8.6239999999999997E-3</v>
      </c>
      <c r="Q16" s="4">
        <f t="shared" si="1"/>
        <v>8.0065804935370153</v>
      </c>
      <c r="R16" s="4">
        <f t="shared" si="0"/>
        <v>0.29494712103407755</v>
      </c>
      <c r="S16">
        <f t="shared" si="2"/>
        <v>1.0133960047003525</v>
      </c>
      <c r="U16" s="4">
        <f t="shared" si="3"/>
        <v>7.9007421150278301</v>
      </c>
      <c r="V16" s="4">
        <f t="shared" si="4"/>
        <v>0.29104823747680891</v>
      </c>
      <c r="W16">
        <f t="shared" si="5"/>
        <v>0.98678107606679044</v>
      </c>
      <c r="AC16" s="5" t="s">
        <v>51</v>
      </c>
      <c r="AD16">
        <v>3</v>
      </c>
      <c r="AE16">
        <v>3</v>
      </c>
      <c r="BF16" t="s">
        <v>28</v>
      </c>
      <c r="BG16" t="s">
        <v>3</v>
      </c>
      <c r="BH16">
        <v>3</v>
      </c>
    </row>
    <row r="17" spans="1:60" x14ac:dyDescent="0.2">
      <c r="A17" t="s">
        <v>16</v>
      </c>
      <c r="B17" t="s">
        <v>30</v>
      </c>
      <c r="C17" t="s">
        <v>21</v>
      </c>
      <c r="D17">
        <v>1</v>
      </c>
      <c r="E17">
        <v>5</v>
      </c>
      <c r="F17">
        <v>1.4760000000000001E-3</v>
      </c>
      <c r="G17">
        <v>5.9999999999999995E-4</v>
      </c>
      <c r="H17" t="s">
        <v>22</v>
      </c>
      <c r="J17" s="3" t="s">
        <v>23</v>
      </c>
      <c r="K17" s="3" t="s">
        <v>30</v>
      </c>
      <c r="L17" s="3" t="s">
        <v>55</v>
      </c>
      <c r="M17" s="4" cm="1">
        <f t="array" ref="M17">INDEX($F$1:$F$100, MATCH(1, (A$1:A$100=M$2)*(B$1:B$100=$K17), 0))</f>
        <v>6.8710000000000004E-3</v>
      </c>
      <c r="N17" s="4" cm="1">
        <f t="array" ref="N17">INDEX($F$1:$F$100, MATCH(1, (A$1:A$100=N$2)*(B$1:B$100=$K17), 0))</f>
        <v>3.0762000000000001E-2</v>
      </c>
      <c r="O17" s="4" cm="1">
        <f t="array" ref="O17">INDEX($F$1:$F$100, MATCH(1, (A$1:A$100=O$2)*(B$1:B$100=$K17), 0))</f>
        <v>1.4760000000000001E-3</v>
      </c>
      <c r="P17" cm="1">
        <f t="array" ref="P17">INDEX($F$1:$F$100, MATCH(1, (A$1:A$100=P$2)*(B$1:B$100=$K17), 0))</f>
        <v>4.9890000000000004E-3</v>
      </c>
      <c r="Q17" s="4">
        <f t="shared" si="1"/>
        <v>4.4770775724057632</v>
      </c>
      <c r="R17" s="4">
        <f t="shared" si="0"/>
        <v>0.21481589288313202</v>
      </c>
      <c r="S17">
        <f t="shared" si="2"/>
        <v>0.72609518265172468</v>
      </c>
      <c r="U17" s="4">
        <f t="shared" si="3"/>
        <v>6.1659651232711967</v>
      </c>
      <c r="V17" s="4">
        <f>IF(ISNA($O17), "DNF", $O17/$P17)</f>
        <v>0.29585087191822007</v>
      </c>
      <c r="W17">
        <f>IF(ISNA($M17), "DNF", $M17/$P17)</f>
        <v>1.377229905792744</v>
      </c>
      <c r="AC17" s="5" t="s">
        <v>26</v>
      </c>
      <c r="AD17">
        <v>5</v>
      </c>
      <c r="AE17">
        <v>5</v>
      </c>
      <c r="BF17" t="s">
        <v>28</v>
      </c>
      <c r="BG17" t="s">
        <v>3</v>
      </c>
      <c r="BH17">
        <v>3</v>
      </c>
    </row>
    <row r="18" spans="1:60" x14ac:dyDescent="0.2">
      <c r="A18" t="s">
        <v>16</v>
      </c>
      <c r="B18" t="s">
        <v>53</v>
      </c>
      <c r="C18" t="s">
        <v>21</v>
      </c>
      <c r="D18">
        <v>1</v>
      </c>
      <c r="E18">
        <v>5</v>
      </c>
      <c r="F18">
        <v>2.8660000000000001E-3</v>
      </c>
      <c r="G18">
        <v>1.2869999999999999E-3</v>
      </c>
      <c r="H18" t="s">
        <v>22</v>
      </c>
      <c r="J18" s="3" t="s">
        <v>31</v>
      </c>
      <c r="K18" s="3" t="s">
        <v>53</v>
      </c>
      <c r="L18" s="3" t="s">
        <v>56</v>
      </c>
      <c r="M18" s="4" cm="1">
        <f t="array" ref="M18">INDEX($F$1:$F$100, MATCH(1, (A$1:A$100=M$2)*(B$1:B$100=$K18), 0))</f>
        <v>1.1426E-2</v>
      </c>
      <c r="N18" s="4" cm="1">
        <f t="array" ref="N18">INDEX($F$1:$F$100, MATCH(1, (A$1:A$100=N$2)*(B$1:B$100=$K18), 0))</f>
        <v>0.15992999999999999</v>
      </c>
      <c r="O18" s="4" cm="1">
        <f t="array" ref="O18">INDEX($F$1:$F$100, MATCH(1, (A$1:A$100=O$2)*(B$1:B$100=$K18), 0))</f>
        <v>2.8660000000000001E-3</v>
      </c>
      <c r="P18" cm="1">
        <f t="array" ref="P18">INDEX($F$1:$F$100, MATCH(1, (A$1:A$100=P$2)*(B$1:B$100=$K18), 0))</f>
        <v>8.2719999999999998E-3</v>
      </c>
      <c r="Q18" s="4">
        <f t="shared" si="1"/>
        <v>13.997024330474355</v>
      </c>
      <c r="R18" s="4">
        <f t="shared" si="0"/>
        <v>0.25083143707334149</v>
      </c>
      <c r="S18">
        <f t="shared" si="2"/>
        <v>0.72396289165062133</v>
      </c>
      <c r="U18" s="4">
        <f>IF(ISNA($N18), "DNF", $N18/$P18)</f>
        <v>19.333897485493228</v>
      </c>
      <c r="V18" s="4">
        <f t="shared" si="4"/>
        <v>0.34647001934235977</v>
      </c>
      <c r="W18">
        <f>IF(ISNA($M18), "DNF", $M18/$P18)</f>
        <v>1.3812862669245649</v>
      </c>
      <c r="AC18" s="5" t="s">
        <v>30</v>
      </c>
      <c r="AD18">
        <v>2</v>
      </c>
      <c r="AE18">
        <v>2</v>
      </c>
      <c r="BF18" t="s">
        <v>28</v>
      </c>
      <c r="BG18" t="s">
        <v>3</v>
      </c>
      <c r="BH18">
        <v>3</v>
      </c>
    </row>
    <row r="19" spans="1:60" x14ac:dyDescent="0.2">
      <c r="A19" t="s">
        <v>107</v>
      </c>
      <c r="B19" t="s">
        <v>24</v>
      </c>
      <c r="C19" t="s">
        <v>21</v>
      </c>
      <c r="D19">
        <v>1</v>
      </c>
      <c r="E19">
        <v>5</v>
      </c>
      <c r="F19">
        <v>5.3489999999999996E-3</v>
      </c>
      <c r="G19">
        <v>3.1120000000000002E-3</v>
      </c>
      <c r="H19" t="s">
        <v>22</v>
      </c>
      <c r="AC19" s="5" t="s">
        <v>53</v>
      </c>
      <c r="AD19">
        <v>7</v>
      </c>
      <c r="AE19">
        <v>7</v>
      </c>
      <c r="BF19" t="s">
        <v>28</v>
      </c>
      <c r="BG19" t="s">
        <v>3</v>
      </c>
      <c r="BH19">
        <v>3</v>
      </c>
    </row>
    <row r="20" spans="1:60" x14ac:dyDescent="0.2">
      <c r="A20" t="s">
        <v>107</v>
      </c>
      <c r="B20" t="s">
        <v>28</v>
      </c>
      <c r="C20" t="s">
        <v>21</v>
      </c>
      <c r="D20">
        <v>1</v>
      </c>
      <c r="E20">
        <v>5</v>
      </c>
      <c r="F20">
        <v>1.1920999999999999E-2</v>
      </c>
      <c r="G20">
        <v>4.8560000000000001E-3</v>
      </c>
      <c r="H20" t="s">
        <v>22</v>
      </c>
      <c r="BF20" t="s">
        <v>28</v>
      </c>
      <c r="BG20" t="s">
        <v>3</v>
      </c>
      <c r="BH20">
        <v>3</v>
      </c>
    </row>
    <row r="21" spans="1:60" x14ac:dyDescent="0.2">
      <c r="A21" t="s">
        <v>107</v>
      </c>
      <c r="B21" t="s">
        <v>32</v>
      </c>
      <c r="C21" t="s">
        <v>21</v>
      </c>
      <c r="D21">
        <v>1</v>
      </c>
      <c r="E21">
        <v>5</v>
      </c>
      <c r="F21">
        <v>1.1039E-2</v>
      </c>
      <c r="G21">
        <v>7.1729999999999997E-3</v>
      </c>
      <c r="H21" t="s">
        <v>22</v>
      </c>
      <c r="BF21" t="s">
        <v>32</v>
      </c>
      <c r="BG21" t="s">
        <v>3</v>
      </c>
      <c r="BH21">
        <v>3</v>
      </c>
    </row>
    <row r="22" spans="1:60" x14ac:dyDescent="0.2">
      <c r="A22" t="s">
        <v>107</v>
      </c>
      <c r="B22" t="s">
        <v>34</v>
      </c>
      <c r="C22" t="s">
        <v>21</v>
      </c>
      <c r="D22">
        <v>1</v>
      </c>
      <c r="E22">
        <v>5</v>
      </c>
      <c r="F22">
        <v>8.5599999999999999E-3</v>
      </c>
      <c r="G22">
        <v>5.3109999999999997E-3</v>
      </c>
      <c r="H22" t="s">
        <v>22</v>
      </c>
      <c r="BF22" t="s">
        <v>32</v>
      </c>
      <c r="BG22" t="s">
        <v>3</v>
      </c>
      <c r="BH22">
        <v>3</v>
      </c>
    </row>
    <row r="23" spans="1:60" x14ac:dyDescent="0.2">
      <c r="A23" t="s">
        <v>107</v>
      </c>
      <c r="B23" t="s">
        <v>36</v>
      </c>
      <c r="C23" t="s">
        <v>21</v>
      </c>
      <c r="D23">
        <v>1</v>
      </c>
      <c r="E23">
        <v>5</v>
      </c>
      <c r="F23">
        <v>2.4934000000000001E-2</v>
      </c>
      <c r="G23">
        <v>9.9260000000000008E-3</v>
      </c>
      <c r="H23" t="s">
        <v>22</v>
      </c>
      <c r="BF23" t="s">
        <v>32</v>
      </c>
      <c r="BG23" t="s">
        <v>3</v>
      </c>
      <c r="BH23">
        <v>3</v>
      </c>
    </row>
    <row r="24" spans="1:60" x14ac:dyDescent="0.2">
      <c r="A24" t="s">
        <v>107</v>
      </c>
      <c r="B24" t="s">
        <v>2</v>
      </c>
      <c r="C24" t="s">
        <v>21</v>
      </c>
      <c r="D24">
        <v>1</v>
      </c>
      <c r="E24">
        <v>5</v>
      </c>
      <c r="F24">
        <v>9.2339999999999992E-3</v>
      </c>
      <c r="G24">
        <v>5.463E-3</v>
      </c>
      <c r="H24" t="s">
        <v>22</v>
      </c>
      <c r="J24" s="6" t="s">
        <v>57</v>
      </c>
      <c r="K24" s="2"/>
      <c r="L24" s="2"/>
      <c r="P24" t="s">
        <v>111</v>
      </c>
      <c r="T24" s="25" t="s">
        <v>118</v>
      </c>
      <c r="X24" s="25" t="s">
        <v>119</v>
      </c>
      <c r="BF24" t="s">
        <v>32</v>
      </c>
      <c r="BG24" t="s">
        <v>3</v>
      </c>
      <c r="BH24">
        <v>3</v>
      </c>
    </row>
    <row r="25" spans="1:60" x14ac:dyDescent="0.2">
      <c r="A25" t="s">
        <v>107</v>
      </c>
      <c r="B25" t="s">
        <v>39</v>
      </c>
      <c r="C25" t="s">
        <v>21</v>
      </c>
      <c r="D25">
        <v>1</v>
      </c>
      <c r="E25">
        <v>5</v>
      </c>
      <c r="F25">
        <v>1.8013999999999999E-2</v>
      </c>
      <c r="G25">
        <v>6.6829999999999997E-3</v>
      </c>
      <c r="H25" t="s">
        <v>22</v>
      </c>
      <c r="J25" t="s">
        <v>12</v>
      </c>
      <c r="K25" s="6" t="s">
        <v>23</v>
      </c>
      <c r="L25" s="6" t="s">
        <v>31</v>
      </c>
      <c r="M25" s="6" t="s">
        <v>27</v>
      </c>
      <c r="O25" s="6" t="s">
        <v>13</v>
      </c>
      <c r="P25" s="1" t="s">
        <v>14</v>
      </c>
      <c r="Q25" s="1" t="s">
        <v>15</v>
      </c>
      <c r="R25" s="1" t="s">
        <v>16</v>
      </c>
      <c r="S25" s="2" t="s">
        <v>107</v>
      </c>
      <c r="T25" s="1" t="s">
        <v>57</v>
      </c>
      <c r="U25" s="1" t="s">
        <v>58</v>
      </c>
      <c r="V25" s="1" t="s">
        <v>107</v>
      </c>
      <c r="X25" s="1" t="s">
        <v>57</v>
      </c>
      <c r="Y25" s="1" t="s">
        <v>58</v>
      </c>
      <c r="Z25" s="1" t="s">
        <v>14</v>
      </c>
      <c r="BF25" t="s">
        <v>32</v>
      </c>
      <c r="BG25" t="s">
        <v>3</v>
      </c>
      <c r="BH25">
        <v>3</v>
      </c>
    </row>
    <row r="26" spans="1:60" x14ac:dyDescent="0.2">
      <c r="A26" t="s">
        <v>107</v>
      </c>
      <c r="B26" t="s">
        <v>41</v>
      </c>
      <c r="C26" t="s">
        <v>21</v>
      </c>
      <c r="D26">
        <v>1</v>
      </c>
      <c r="E26">
        <v>5</v>
      </c>
      <c r="F26">
        <v>5.2269999999999999E-3</v>
      </c>
      <c r="G26">
        <v>2.9989999999999999E-3</v>
      </c>
      <c r="H26" t="s">
        <v>22</v>
      </c>
      <c r="J26" s="7" t="s">
        <v>29</v>
      </c>
      <c r="K26" s="4" t="str" cm="1">
        <f t="array" ref="K26">IFERROR(INDEX($Q$3:$Q$18, MATCH(1, ($J26=$L$3:$L$18) * (K$25=$J$3:$J$18), 0)), "")</f>
        <v/>
      </c>
      <c r="L26" s="4" t="str" cm="1">
        <f t="array" ref="L26">IFERROR(INDEX($Q$3:$Q$18, MATCH(1, ($J26=$L$3:$L$18) * (L$25=$J$3:$J$18), 0)), "")</f>
        <v/>
      </c>
      <c r="M26" s="4" cm="1">
        <f t="array" ref="M26">IFERROR(INDEX($Q$3:$Q$18, MATCH(1, ($J26=$L$3:$L$18) * (M$25=$J$3:$J$18), 0)), "")</f>
        <v>4.1719498289623713</v>
      </c>
      <c r="N26" s="4"/>
      <c r="O26" s="3" t="s">
        <v>25</v>
      </c>
      <c r="P26" s="4" cm="1">
        <f t="array" ref="P26">INDEX($G$1:$G$100, MATCH(1, ($A$1:$A$100=P$25)*($B$1:$B$100=$K3), 0))</f>
        <v>5.7939999999999997E-3</v>
      </c>
      <c r="Q26" s="4" cm="1">
        <f t="array" ref="Q26">INDEX($G$1:$G$100, MATCH(1, ($A$1:$A$100=Q$25)*($B$1:$B$100=$K3), 0))</f>
        <v>1.3365E-2</v>
      </c>
      <c r="R26" s="4" cm="1">
        <f t="array" ref="R26">INDEX($G$1:$G$100, MATCH(1, ($A$1:$A$100=R$25)*($B$1:$B$100=$K3), 0))</f>
        <v>1.387E-3</v>
      </c>
      <c r="S26" s="4" cm="1">
        <f t="array" ref="S26">INDEX($G$1:$G$100, MATCH(1, ($A$1:$A$100=S$25)*($B$1:$B$100=$K3), 0))</f>
        <v>3.1120000000000002E-3</v>
      </c>
      <c r="T26" s="4" t="b">
        <f>IF(ISNA(N3), TRUE, ABS($M3-N3) &gt; MAX($P26, Q26))</f>
        <v>1</v>
      </c>
      <c r="U26" s="4" t="b">
        <f>IF(ISNA(O3), TRUE, ABS($M3-O3) &gt; MAX($P26, R26))</f>
        <v>0</v>
      </c>
      <c r="V26" s="4" t="b">
        <f>IF(ISNA(P3), TRUE, ABS($M3-P3) &gt; MAX($P26, S26))</f>
        <v>0</v>
      </c>
      <c r="X26" s="4" t="b">
        <f>IF(ISNA(N3), TRUE, ABS($P3-N3) &gt; MAX($S26, Q26))</f>
        <v>1</v>
      </c>
      <c r="Y26" s="4" t="b">
        <f>IF(ISNA(O3), TRUE, ABS($P3-O3) &gt; MAX($S26, R26))</f>
        <v>1</v>
      </c>
      <c r="Z26" s="4" t="b">
        <f>IF(ISNA(M3), TRUE, ABS($P3-M3) &gt; MAX($S26, P26))</f>
        <v>0</v>
      </c>
      <c r="BF26" t="s">
        <v>32</v>
      </c>
      <c r="BG26" t="s">
        <v>3</v>
      </c>
      <c r="BH26">
        <v>3</v>
      </c>
    </row>
    <row r="27" spans="1:60" x14ac:dyDescent="0.2">
      <c r="A27" t="s">
        <v>107</v>
      </c>
      <c r="B27" t="s">
        <v>43</v>
      </c>
      <c r="C27" t="s">
        <v>21</v>
      </c>
      <c r="D27">
        <v>1</v>
      </c>
      <c r="E27">
        <v>5</v>
      </c>
      <c r="F27">
        <v>8.5550000000000001E-3</v>
      </c>
      <c r="G27">
        <v>2.8600000000000001E-3</v>
      </c>
      <c r="H27" t="s">
        <v>22</v>
      </c>
      <c r="J27" s="6" t="s">
        <v>37</v>
      </c>
      <c r="K27" s="4" t="str" cm="1">
        <f t="array" ref="K27">IFERROR(INDEX($Q$3:$Q$18, MATCH(1, ($J27=$L$3:$L$18) * (K$25=$J$3:$J$18), 0)), "")</f>
        <v/>
      </c>
      <c r="L27" s="4" t="str" cm="1">
        <f t="array" ref="L27">IFERROR(INDEX($Q$3:$Q$18, MATCH(1, ($J27=$L$3:$L$18) * (L$25=$J$3:$J$18), 0)), "")</f>
        <v/>
      </c>
      <c r="M27" s="4" cm="1">
        <f t="array" ref="M27">IFERROR(INDEX($Q$3:$Q$18, MATCH(1, ($J27=$L$3:$L$18) * (M$25=$J$3:$J$18), 0)), "")</f>
        <v>11.030894596988485</v>
      </c>
      <c r="N27" s="4"/>
      <c r="O27" s="3" t="s">
        <v>29</v>
      </c>
      <c r="P27" s="4" cm="1">
        <f t="array" ref="P27">INDEX($G$1:$G$100, MATCH(1, ($A$1:$A$100=P$25)*($B$1:$B$100=$K4), 0))</f>
        <v>1.0588E-2</v>
      </c>
      <c r="Q27" s="4" cm="1">
        <f t="array" ref="Q27">INDEX($G$1:$G$100, MATCH(1, ($A$1:$A$100=Q$25)*($B$1:$B$100=$K4), 0))</f>
        <v>2.1817E-2</v>
      </c>
      <c r="R27" s="4" cm="1">
        <f t="array" ref="R27">INDEX($G$1:$G$100, MATCH(1, ($A$1:$A$100=R$25)*($B$1:$B$100=$K4), 0))</f>
        <v>1.108E-3</v>
      </c>
      <c r="S27" s="4" cm="1">
        <f t="array" ref="S27">INDEX($G$1:$G$100, MATCH(1, ($A$1:$A$100=S$25)*($B$1:$B$100=$K4), 0))</f>
        <v>4.8560000000000001E-3</v>
      </c>
      <c r="T27" s="4" t="b">
        <f t="shared" ref="T27:T41" si="6">IF(ISNA(N4), TRUE, ABS($M4-N4) &gt; MAX($P27, Q27))</f>
        <v>1</v>
      </c>
      <c r="U27" s="4" t="b">
        <f t="shared" ref="U27:U41" si="7">IF(ISNA(O4), TRUE, ABS($M4-O4) &gt; MAX($P27, R27))</f>
        <v>1</v>
      </c>
      <c r="V27" s="4" t="b">
        <f t="shared" ref="V27:V41" si="8">IF(ISNA(P4), TRUE, ABS($M4-P4) &gt; MAX($P27, S27))</f>
        <v>0</v>
      </c>
      <c r="X27" s="4" t="b">
        <f t="shared" ref="X27:X41" si="9">IF(ISNA(N4), TRUE, ABS($P4-N4) &gt; MAX($S27, Q27))</f>
        <v>1</v>
      </c>
      <c r="Y27" s="4" t="b">
        <f t="shared" ref="Y27:Y41" si="10">IF(ISNA(O4), TRUE, ABS($P4-O4) &gt; MAX($S27, R27))</f>
        <v>1</v>
      </c>
      <c r="Z27" s="4" t="b">
        <f t="shared" ref="Z27:Z41" si="11">IF(ISNA(M4), TRUE, ABS($P4-M4) &gt; MAX($S27, P27))</f>
        <v>0</v>
      </c>
      <c r="BF27" t="s">
        <v>32</v>
      </c>
      <c r="BG27" t="s">
        <v>3</v>
      </c>
      <c r="BH27">
        <v>3</v>
      </c>
    </row>
    <row r="28" spans="1:60" x14ac:dyDescent="0.2">
      <c r="A28" t="s">
        <v>107</v>
      </c>
      <c r="B28" t="s">
        <v>46</v>
      </c>
      <c r="C28" t="s">
        <v>21</v>
      </c>
      <c r="D28">
        <v>1</v>
      </c>
      <c r="E28">
        <v>5</v>
      </c>
      <c r="F28">
        <v>1.2097999999999999E-2</v>
      </c>
      <c r="G28">
        <v>7.2750000000000002E-3</v>
      </c>
      <c r="H28" t="s">
        <v>22</v>
      </c>
      <c r="J28" s="6" t="s">
        <v>42</v>
      </c>
      <c r="K28" s="4" t="str" cm="1">
        <f t="array" ref="K28">IFERROR(INDEX($Q$3:$Q$18, MATCH(1, ($J28=$L$3:$L$18) * (K$25=$J$3:$J$18), 0)), "")</f>
        <v/>
      </c>
      <c r="L28" s="4" t="str" cm="1">
        <f t="array" ref="L28">IFERROR(INDEX($Q$3:$Q$18, MATCH(1, ($J28=$L$3:$L$18) * (L$25=$J$3:$J$18), 0)), "")</f>
        <v/>
      </c>
      <c r="M28" s="4" cm="1">
        <f t="array" ref="M28">IFERROR(INDEX($Q$3:$Q$18, MATCH(1, ($J28=$L$3:$L$18) * (M$25=$J$3:$J$18), 0)), "")</f>
        <v>7.3923874361751505</v>
      </c>
      <c r="N28" s="4"/>
      <c r="O28" s="3" t="s">
        <v>33</v>
      </c>
      <c r="P28" s="4" cm="1">
        <f t="array" ref="P28">INDEX($G$1:$G$100, MATCH(1, ($A$1:$A$100=P$25)*($B$1:$B$100=$K5), 0))</f>
        <v>1.051E-2</v>
      </c>
      <c r="Q28" s="4" cm="1">
        <f t="array" ref="Q28">INDEX($G$1:$G$100, MATCH(1, ($A$1:$A$100=Q$25)*($B$1:$B$100=$K5), 0))</f>
        <v>1.1979E-2</v>
      </c>
      <c r="R28" s="4" cm="1">
        <f t="array" ref="R28">INDEX($G$1:$G$100, MATCH(1, ($A$1:$A$100=R$25)*($B$1:$B$100=$K5), 0))</f>
        <v>3.7139999999999999E-3</v>
      </c>
      <c r="S28" s="4" cm="1">
        <f t="array" ref="S28">INDEX($G$1:$G$100, MATCH(1, ($A$1:$A$100=S$25)*($B$1:$B$100=$K5), 0))</f>
        <v>7.1729999999999997E-3</v>
      </c>
      <c r="T28" s="4" t="b">
        <f t="shared" si="6"/>
        <v>1</v>
      </c>
      <c r="U28" s="4" t="b">
        <f t="shared" si="7"/>
        <v>0</v>
      </c>
      <c r="V28" s="4" t="b">
        <f t="shared" si="8"/>
        <v>0</v>
      </c>
      <c r="X28" s="4" t="b">
        <f t="shared" si="9"/>
        <v>1</v>
      </c>
      <c r="Y28" s="4" t="b">
        <f t="shared" si="10"/>
        <v>1</v>
      </c>
      <c r="Z28" s="4" t="b">
        <f t="shared" si="11"/>
        <v>0</v>
      </c>
      <c r="BF28" t="s">
        <v>32</v>
      </c>
      <c r="BG28" t="s">
        <v>3</v>
      </c>
      <c r="BH28">
        <v>3</v>
      </c>
    </row>
    <row r="29" spans="1:60" x14ac:dyDescent="0.2">
      <c r="A29" t="s">
        <v>107</v>
      </c>
      <c r="B29" t="s">
        <v>45</v>
      </c>
      <c r="C29" t="s">
        <v>21</v>
      </c>
      <c r="D29">
        <v>1</v>
      </c>
      <c r="E29">
        <v>5</v>
      </c>
      <c r="F29">
        <v>9.5499999999999995E-3</v>
      </c>
      <c r="G29">
        <v>5.7829999999999999E-3</v>
      </c>
      <c r="H29" t="s">
        <v>22</v>
      </c>
      <c r="J29" s="6" t="s">
        <v>47</v>
      </c>
      <c r="K29" s="4" t="str" cm="1">
        <f t="array" ref="K29">IFERROR(INDEX($Q$3:$Q$18, MATCH(1, ($J29=$L$3:$L$18) * (K$25=$J$3:$J$18), 0)), "")</f>
        <v/>
      </c>
      <c r="L29" s="4" t="str" cm="1">
        <f t="array" ref="L29">IFERROR(INDEX($Q$3:$Q$18, MATCH(1, ($J29=$L$3:$L$18) * (L$25=$J$3:$J$18), 0)), "")</f>
        <v/>
      </c>
      <c r="M29" s="4" cm="1">
        <f t="array" ref="M29">IFERROR(INDEX($Q$3:$Q$18, MATCH(1, ($J29=$L$3:$L$18) * (M$25=$J$3:$J$18), 0)), "")</f>
        <v>5.370997063347783</v>
      </c>
      <c r="N29" s="4"/>
      <c r="O29" s="3" t="s">
        <v>35</v>
      </c>
      <c r="P29" s="4" cm="1">
        <f t="array" ref="P29">INDEX($G$1:$G$100, MATCH(1, ($A$1:$A$100=P$25)*($B$1:$B$100=$K6), 0))</f>
        <v>8.8050000000000003E-3</v>
      </c>
      <c r="Q29" s="4" cm="1">
        <f t="array" ref="Q29">INDEX($G$1:$G$100, MATCH(1, ($A$1:$A$100=Q$25)*($B$1:$B$100=$K6), 0))</f>
        <v>1.291E-2</v>
      </c>
      <c r="R29" s="4" cm="1">
        <f t="array" ref="R29">INDEX($G$1:$G$100, MATCH(1, ($A$1:$A$100=R$25)*($B$1:$B$100=$K6), 0))</f>
        <v>8.5700000000000001E-4</v>
      </c>
      <c r="S29" s="4" cm="1">
        <f t="array" ref="S29">INDEX($G$1:$G$100, MATCH(1, ($A$1:$A$100=S$25)*($B$1:$B$100=$K6), 0))</f>
        <v>5.3109999999999997E-3</v>
      </c>
      <c r="T29" s="4" t="b">
        <f t="shared" si="6"/>
        <v>1</v>
      </c>
      <c r="U29" s="4" t="b">
        <f t="shared" si="7"/>
        <v>0</v>
      </c>
      <c r="V29" s="4" t="b">
        <f t="shared" si="8"/>
        <v>0</v>
      </c>
      <c r="X29" s="4" t="b">
        <f t="shared" si="9"/>
        <v>1</v>
      </c>
      <c r="Y29" s="4" t="b">
        <f t="shared" si="10"/>
        <v>1</v>
      </c>
      <c r="Z29" s="4" t="b">
        <f t="shared" si="11"/>
        <v>0</v>
      </c>
      <c r="BF29" t="s">
        <v>32</v>
      </c>
      <c r="BG29" t="s">
        <v>3</v>
      </c>
      <c r="BH29">
        <v>3</v>
      </c>
    </row>
    <row r="30" spans="1:60" x14ac:dyDescent="0.2">
      <c r="A30" t="s">
        <v>107</v>
      </c>
      <c r="B30" t="s">
        <v>48</v>
      </c>
      <c r="C30" t="s">
        <v>21</v>
      </c>
      <c r="D30">
        <v>1</v>
      </c>
      <c r="E30">
        <v>5</v>
      </c>
      <c r="F30">
        <v>9.8010000000000007E-3</v>
      </c>
      <c r="G30">
        <v>7.7479999999999997E-3</v>
      </c>
      <c r="H30" t="s">
        <v>22</v>
      </c>
      <c r="J30" s="6" t="s">
        <v>52</v>
      </c>
      <c r="K30" s="4" t="str" cm="1">
        <f t="array" ref="K30">IFERROR(INDEX($Q$3:$Q$18, MATCH(1, ($J30=$L$3:$L$18) * (K$25=$J$3:$J$18), 0)), "")</f>
        <v/>
      </c>
      <c r="L30" s="4" t="str" cm="1">
        <f t="array" ref="L30">IFERROR(INDEX($Q$3:$Q$18, MATCH(1, ($J30=$L$3:$L$18) * (L$25=$J$3:$J$18), 0)), "")</f>
        <v/>
      </c>
      <c r="M30" s="4" cm="1">
        <f t="array" ref="M30">IFERROR(INDEX($Q$3:$Q$18, MATCH(1, ($J30=$L$3:$L$18) * (M$25=$J$3:$J$18), 0)), "")</f>
        <v>5.2579667099808178</v>
      </c>
      <c r="N30" s="4"/>
      <c r="O30" s="3" t="s">
        <v>37</v>
      </c>
      <c r="P30" s="4" cm="1">
        <f t="array" ref="P30">INDEX($G$1:$G$100, MATCH(1, ($A$1:$A$100=P$25)*($B$1:$B$100=$K7), 0))</f>
        <v>1.2089000000000001E-2</v>
      </c>
      <c r="Q30" s="4" cm="1">
        <f t="array" ref="Q30">INDEX($G$1:$G$100, MATCH(1, ($A$1:$A$100=Q$25)*($B$1:$B$100=$K7), 0))</f>
        <v>3.6797000000000003E-2</v>
      </c>
      <c r="R30" s="4" cm="1">
        <f t="array" ref="R30">INDEX($G$1:$G$100, MATCH(1, ($A$1:$A$100=R$25)*($B$1:$B$100=$K7), 0))</f>
        <v>6.9249999999999997E-3</v>
      </c>
      <c r="S30" s="4" cm="1">
        <f t="array" ref="S30">INDEX($G$1:$G$100, MATCH(1, ($A$1:$A$100=S$25)*($B$1:$B$100=$K7), 0))</f>
        <v>9.9260000000000008E-3</v>
      </c>
      <c r="T30" s="4" t="b">
        <f t="shared" si="6"/>
        <v>1</v>
      </c>
      <c r="U30" s="4" t="b">
        <f t="shared" si="7"/>
        <v>1</v>
      </c>
      <c r="V30" s="4" t="b">
        <f t="shared" si="8"/>
        <v>0</v>
      </c>
      <c r="X30" s="4" t="b">
        <f t="shared" si="9"/>
        <v>1</v>
      </c>
      <c r="Y30" s="4" t="b">
        <f t="shared" si="10"/>
        <v>1</v>
      </c>
      <c r="Z30" s="4" t="b">
        <f t="shared" si="11"/>
        <v>0</v>
      </c>
      <c r="BF30" t="s">
        <v>32</v>
      </c>
      <c r="BG30" t="s">
        <v>3</v>
      </c>
      <c r="BH30">
        <v>3</v>
      </c>
    </row>
    <row r="31" spans="1:60" x14ac:dyDescent="0.2">
      <c r="A31" t="s">
        <v>107</v>
      </c>
      <c r="B31" t="s">
        <v>51</v>
      </c>
      <c r="C31" t="s">
        <v>21</v>
      </c>
      <c r="D31">
        <v>1</v>
      </c>
      <c r="E31">
        <v>5</v>
      </c>
      <c r="F31">
        <v>1.2428E-2</v>
      </c>
      <c r="G31">
        <v>8.0409999999999995E-3</v>
      </c>
      <c r="H31" t="s">
        <v>22</v>
      </c>
      <c r="J31" s="7" t="s">
        <v>33</v>
      </c>
      <c r="K31" s="4" t="str" cm="1">
        <f t="array" ref="K31">IFERROR(INDEX($Q$3:$Q$18, MATCH(1, ($J31=$L$3:$L$18) * (K$25=$J$3:$J$18), 0)), "")</f>
        <v/>
      </c>
      <c r="L31" s="4" cm="1">
        <f t="array" ref="L31">IFERROR(INDEX($Q$3:$Q$18, MATCH(1, ($J31=$L$3:$L$18) * (L$25=$J$3:$J$18), 0)), "")</f>
        <v>3.52</v>
      </c>
      <c r="M31" s="4" t="str" cm="1">
        <f t="array" ref="M31">IFERROR(INDEX($Q$3:$Q$18, MATCH(1, ($J31=$L$3:$L$18) * (M$25=$J$3:$J$18), 0)), "")</f>
        <v/>
      </c>
      <c r="N31" s="4"/>
      <c r="O31" s="3" t="s">
        <v>38</v>
      </c>
      <c r="P31" s="4" cm="1">
        <f t="array" ref="P31">INDEX($G$1:$G$100, MATCH(1, ($A$1:$A$100=P$25)*($B$1:$B$100=$K8), 0))</f>
        <v>5.3559999999999997E-3</v>
      </c>
      <c r="Q31" s="4" cm="1">
        <f t="array" ref="Q31">INDEX($G$1:$G$100, MATCH(1, ($A$1:$A$100=Q$25)*($B$1:$B$100=$K8), 0))</f>
        <v>1.9456000000000001E-2</v>
      </c>
      <c r="R31" s="4" cm="1">
        <f t="array" ref="R31">INDEX($G$1:$G$100, MATCH(1, ($A$1:$A$100=R$25)*($B$1:$B$100=$K8), 0))</f>
        <v>1.1440000000000001E-3</v>
      </c>
      <c r="S31" s="4" cm="1">
        <f t="array" ref="S31">INDEX($G$1:$G$100, MATCH(1, ($A$1:$A$100=S$25)*($B$1:$B$100=$K8), 0))</f>
        <v>5.463E-3</v>
      </c>
      <c r="T31" s="4" t="b">
        <f t="shared" si="6"/>
        <v>1</v>
      </c>
      <c r="U31" s="4" t="b">
        <f t="shared" si="7"/>
        <v>1</v>
      </c>
      <c r="V31" s="4" t="b">
        <f t="shared" si="8"/>
        <v>0</v>
      </c>
      <c r="X31" s="4" t="b">
        <f t="shared" si="9"/>
        <v>1</v>
      </c>
      <c r="Y31" s="4" t="b">
        <f>IF(ISNA(O8), TRUE, ABS($P8-O8) &gt; MAX($S31, R31))</f>
        <v>1</v>
      </c>
      <c r="Z31" s="4" t="b">
        <f t="shared" si="11"/>
        <v>0</v>
      </c>
      <c r="BF31" t="s">
        <v>34</v>
      </c>
      <c r="BG31" t="s">
        <v>3</v>
      </c>
      <c r="BH31">
        <v>2</v>
      </c>
    </row>
    <row r="32" spans="1:60" x14ac:dyDescent="0.2">
      <c r="A32" t="s">
        <v>107</v>
      </c>
      <c r="B32" t="s">
        <v>26</v>
      </c>
      <c r="C32" t="s">
        <v>21</v>
      </c>
      <c r="D32">
        <v>1</v>
      </c>
      <c r="E32">
        <v>5</v>
      </c>
      <c r="F32">
        <v>8.6239999999999997E-3</v>
      </c>
      <c r="G32">
        <v>6.8219999999999999E-3</v>
      </c>
      <c r="H32" t="s">
        <v>22</v>
      </c>
      <c r="J32" s="7" t="s">
        <v>35</v>
      </c>
      <c r="K32" s="4" t="str" cm="1">
        <f t="array" ref="K32">IFERROR(INDEX($Q$3:$Q$18, MATCH(1, ($J32=$L$3:$L$18) * (K$25=$J$3:$J$18), 0)), "")</f>
        <v/>
      </c>
      <c r="L32" s="4" cm="1">
        <f t="array" ref="L32">IFERROR(INDEX($Q$3:$Q$18, MATCH(1, ($J32=$L$3:$L$18) * (L$25=$J$3:$J$18), 0)), "")</f>
        <v>4.0180594503645546</v>
      </c>
      <c r="M32" s="4" t="str" cm="1">
        <f t="array" ref="M32">IFERROR(INDEX($Q$3:$Q$18, MATCH(1, ($J32=$L$3:$L$18) * (M$25=$J$3:$J$18), 0)), "")</f>
        <v/>
      </c>
      <c r="N32" s="4"/>
      <c r="O32" s="3" t="s">
        <v>40</v>
      </c>
      <c r="P32" s="4" cm="1">
        <f t="array" ref="P32">INDEX($G$1:$G$100, MATCH(1, ($A$1:$A$100=P$25)*($B$1:$B$100=$K9), 0))</f>
        <v>9.1529999999999997E-3</v>
      </c>
      <c r="Q32" s="4" cm="1">
        <f t="array" ref="Q32">INDEX($G$1:$G$100, MATCH(1, ($A$1:$A$100=Q$25)*($B$1:$B$100=$K9), 0))</f>
        <v>2.3591999999999998E-2</v>
      </c>
      <c r="R32" s="4" cm="1">
        <f t="array" ref="R32">INDEX($G$1:$G$100, MATCH(1, ($A$1:$A$100=R$25)*($B$1:$B$100=$K9), 0))</f>
        <v>2.8379999999999998E-3</v>
      </c>
      <c r="S32" s="4" cm="1">
        <f t="array" ref="S32">INDEX($G$1:$G$100, MATCH(1, ($A$1:$A$100=S$25)*($B$1:$B$100=$K9), 0))</f>
        <v>6.6829999999999997E-3</v>
      </c>
      <c r="T32" s="4" t="b">
        <f t="shared" si="6"/>
        <v>1</v>
      </c>
      <c r="U32" s="4" t="b">
        <f t="shared" si="7"/>
        <v>1</v>
      </c>
      <c r="V32" s="4" t="b">
        <f t="shared" si="8"/>
        <v>0</v>
      </c>
      <c r="X32" s="4" t="b">
        <f t="shared" si="9"/>
        <v>1</v>
      </c>
      <c r="Y32" s="4" t="b">
        <f t="shared" si="10"/>
        <v>1</v>
      </c>
      <c r="Z32" s="4" t="b">
        <f t="shared" si="11"/>
        <v>0</v>
      </c>
      <c r="BF32" t="s">
        <v>34</v>
      </c>
      <c r="BG32" t="s">
        <v>3</v>
      </c>
      <c r="BH32">
        <v>2</v>
      </c>
    </row>
    <row r="33" spans="1:60" x14ac:dyDescent="0.2">
      <c r="A33" t="s">
        <v>107</v>
      </c>
      <c r="B33" t="s">
        <v>30</v>
      </c>
      <c r="C33" t="s">
        <v>21</v>
      </c>
      <c r="D33">
        <v>1</v>
      </c>
      <c r="E33">
        <v>5</v>
      </c>
      <c r="F33">
        <v>4.9890000000000004E-3</v>
      </c>
      <c r="G33">
        <v>2.7729999999999999E-3</v>
      </c>
      <c r="H33" t="s">
        <v>22</v>
      </c>
      <c r="J33" s="6" t="s">
        <v>38</v>
      </c>
      <c r="K33" s="4" t="str" cm="1">
        <f t="array" ref="K33">IFERROR(INDEX($Q$3:$Q$18, MATCH(1, ($J33=$L$3:$L$18) * (K$25=$J$3:$J$18), 0)), "")</f>
        <v/>
      </c>
      <c r="L33" s="4" cm="1">
        <f t="array" ref="L33">IFERROR(INDEX($Q$3:$Q$18, MATCH(1, ($J33=$L$3:$L$18) * (L$25=$J$3:$J$18), 0)), "")</f>
        <v>6.1928584055152918</v>
      </c>
      <c r="M33" s="4" t="str" cm="1">
        <f t="array" ref="M33">IFERROR(INDEX($Q$3:$Q$18, MATCH(1, ($J33=$L$3:$L$18) * (M$25=$J$3:$J$18), 0)), "")</f>
        <v/>
      </c>
      <c r="N33" s="4"/>
      <c r="O33" s="3" t="s">
        <v>42</v>
      </c>
      <c r="P33" s="4" cm="1">
        <f t="array" ref="P33">INDEX($G$1:$G$100, MATCH(1, ($A$1:$A$100=P$25)*($B$1:$B$100=$K10), 0))</f>
        <v>1.8240000000000001E-3</v>
      </c>
      <c r="Q33" s="4" cm="1">
        <f t="array" ref="Q33">INDEX($G$1:$G$100, MATCH(1, ($A$1:$A$100=Q$25)*($B$1:$B$100=$K10), 0))</f>
        <v>5.8009999999999997E-3</v>
      </c>
      <c r="R33" s="4" cm="1">
        <f t="array" ref="R33">INDEX($G$1:$G$100, MATCH(1, ($A$1:$A$100=R$25)*($B$1:$B$100=$K10), 0))</f>
        <v>1.5039999999999999E-3</v>
      </c>
      <c r="S33" s="4" cm="1">
        <f t="array" ref="S33">INDEX($G$1:$G$100, MATCH(1, ($A$1:$A$100=S$25)*($B$1:$B$100=$K10), 0))</f>
        <v>2.9989999999999999E-3</v>
      </c>
      <c r="T33" s="4" t="b">
        <f t="shared" si="6"/>
        <v>1</v>
      </c>
      <c r="U33" s="4" t="b">
        <f t="shared" si="7"/>
        <v>1</v>
      </c>
      <c r="V33" s="4" t="b">
        <f t="shared" si="8"/>
        <v>0</v>
      </c>
      <c r="X33" s="4" t="b">
        <f t="shared" si="9"/>
        <v>1</v>
      </c>
      <c r="Y33" s="4" t="b">
        <f t="shared" si="10"/>
        <v>1</v>
      </c>
      <c r="Z33" s="4" t="b">
        <f t="shared" si="11"/>
        <v>0</v>
      </c>
      <c r="BF33" t="s">
        <v>34</v>
      </c>
      <c r="BG33" t="s">
        <v>3</v>
      </c>
      <c r="BH33">
        <v>2</v>
      </c>
    </row>
    <row r="34" spans="1:60" x14ac:dyDescent="0.2">
      <c r="A34" t="s">
        <v>107</v>
      </c>
      <c r="B34" t="s">
        <v>53</v>
      </c>
      <c r="C34" t="s">
        <v>21</v>
      </c>
      <c r="D34">
        <v>1</v>
      </c>
      <c r="E34">
        <v>5</v>
      </c>
      <c r="F34">
        <v>8.2719999999999998E-3</v>
      </c>
      <c r="G34">
        <v>3.313E-3</v>
      </c>
      <c r="H34" t="s">
        <v>22</v>
      </c>
      <c r="J34" s="6" t="s">
        <v>56</v>
      </c>
      <c r="K34" s="4" t="str" cm="1">
        <f t="array" ref="K34">IFERROR(INDEX($Q$3:$Q$18, MATCH(1, ($J34=$L$3:$L$18) * (K$25=$J$3:$J$18), 0)), "")</f>
        <v/>
      </c>
      <c r="L34" s="4" cm="1">
        <f t="array" ref="L34">IFERROR(INDEX($Q$3:$Q$18, MATCH(1, ($J34=$L$3:$L$18) * (L$25=$J$3:$J$18), 0)), "")</f>
        <v>13.997024330474355</v>
      </c>
      <c r="M34" s="4" t="str" cm="1">
        <f t="array" ref="M34">IFERROR(INDEX($Q$3:$Q$18, MATCH(1, ($J34=$L$3:$L$18) * (M$25=$J$3:$J$18), 0)), "")</f>
        <v/>
      </c>
      <c r="N34" s="4"/>
      <c r="O34" s="3" t="s">
        <v>44</v>
      </c>
      <c r="P34" s="4" cm="1">
        <f t="array" ref="P34">INDEX($G$1:$G$100, MATCH(1, ($A$1:$A$100=P$25)*($B$1:$B$100=$K11), 0))</f>
        <v>5.9659999999999999E-3</v>
      </c>
      <c r="Q34" s="4" cm="1">
        <f t="array" ref="Q34">INDEX($G$1:$G$100, MATCH(1, ($A$1:$A$100=Q$25)*($B$1:$B$100=$K11), 0))</f>
        <v>3.1792000000000001E-2</v>
      </c>
      <c r="R34" s="4" cm="1">
        <f t="array" ref="R34">INDEX($G$1:$G$100, MATCH(1, ($A$1:$A$100=R$25)*($B$1:$B$100=$K11), 0))</f>
        <v>3.2560000000000002E-3</v>
      </c>
      <c r="S34" s="4" cm="1">
        <f t="array" ref="S34">INDEX($G$1:$G$100, MATCH(1, ($A$1:$A$100=S$25)*($B$1:$B$100=$K11), 0))</f>
        <v>2.8600000000000001E-3</v>
      </c>
      <c r="T34" s="4" t="b">
        <f t="shared" si="6"/>
        <v>1</v>
      </c>
      <c r="U34" s="4" t="b">
        <f t="shared" si="7"/>
        <v>1</v>
      </c>
      <c r="V34" s="4" t="b">
        <f t="shared" si="8"/>
        <v>0</v>
      </c>
      <c r="X34" s="4" t="b">
        <f t="shared" si="9"/>
        <v>1</v>
      </c>
      <c r="Y34" s="4" t="b">
        <f t="shared" si="10"/>
        <v>1</v>
      </c>
      <c r="Z34" s="4" t="b">
        <f t="shared" si="11"/>
        <v>0</v>
      </c>
      <c r="BF34" t="s">
        <v>34</v>
      </c>
      <c r="BG34" t="s">
        <v>3</v>
      </c>
      <c r="BH34">
        <v>2</v>
      </c>
    </row>
    <row r="35" spans="1:60" x14ac:dyDescent="0.2">
      <c r="A35" t="s">
        <v>15</v>
      </c>
      <c r="B35" t="s">
        <v>24</v>
      </c>
      <c r="C35" t="s">
        <v>21</v>
      </c>
      <c r="D35">
        <v>1</v>
      </c>
      <c r="E35">
        <v>5</v>
      </c>
      <c r="F35">
        <v>4.6814000000000001E-2</v>
      </c>
      <c r="G35">
        <v>1.3365E-2</v>
      </c>
      <c r="H35" t="s">
        <v>22</v>
      </c>
      <c r="J35" s="6" t="s">
        <v>40</v>
      </c>
      <c r="K35" s="4" t="str" cm="1">
        <f t="array" ref="K35">IFERROR(INDEX($Q$3:$Q$18, MATCH(1, ($J35=$L$3:$L$18) * (K$25=$J$3:$J$18), 0)), "")</f>
        <v/>
      </c>
      <c r="L35" s="4" cm="1">
        <f t="array" ref="L35">IFERROR(INDEX($Q$3:$Q$18, MATCH(1, ($J35=$L$3:$L$18) * (L$25=$J$3:$J$18), 0)), "")</f>
        <v>7.1795452638644175</v>
      </c>
      <c r="M35" s="4" t="str" cm="1">
        <f t="array" ref="M35">IFERROR(INDEX($Q$3:$Q$18, MATCH(1, ($J35=$L$3:$L$18) * (M$25=$J$3:$J$18), 0)), "")</f>
        <v/>
      </c>
      <c r="N35" s="4"/>
      <c r="O35" s="3" t="s">
        <v>47</v>
      </c>
      <c r="P35" s="4" cm="1">
        <f t="array" ref="P35">INDEX($G$1:$G$100, MATCH(1, ($A$1:$A$100=P$25)*($B$1:$B$100=$K12), 0))</f>
        <v>7.3930000000000003E-3</v>
      </c>
      <c r="Q35" s="4" cm="1">
        <f t="array" ref="Q35">INDEX($G$1:$G$100, MATCH(1, ($A$1:$A$100=Q$25)*($B$1:$B$100=$K12), 0))</f>
        <v>1.6327999999999999E-2</v>
      </c>
      <c r="R35" s="4" cm="1">
        <f t="array" ref="R35">INDEX($G$1:$G$100, MATCH(1, ($A$1:$A$100=R$25)*($B$1:$B$100=$K12), 0))</f>
        <v>1.1820000000000001E-3</v>
      </c>
      <c r="S35" s="4" cm="1">
        <f t="array" ref="S35">INDEX($G$1:$G$100, MATCH(1, ($A$1:$A$100=S$25)*($B$1:$B$100=$K12), 0))</f>
        <v>7.2750000000000002E-3</v>
      </c>
      <c r="T35" s="4" t="b">
        <f t="shared" si="6"/>
        <v>1</v>
      </c>
      <c r="U35" s="4" t="b">
        <f t="shared" si="7"/>
        <v>1</v>
      </c>
      <c r="V35" s="4" t="b">
        <f t="shared" si="8"/>
        <v>0</v>
      </c>
      <c r="X35" s="4" t="b">
        <f t="shared" si="9"/>
        <v>1</v>
      </c>
      <c r="Y35" s="4" t="b">
        <f t="shared" si="10"/>
        <v>1</v>
      </c>
      <c r="Z35" s="4" t="b">
        <f t="shared" si="11"/>
        <v>0</v>
      </c>
      <c r="BF35" t="s">
        <v>34</v>
      </c>
      <c r="BG35" t="s">
        <v>3</v>
      </c>
      <c r="BH35">
        <v>2</v>
      </c>
    </row>
    <row r="36" spans="1:60" x14ac:dyDescent="0.2">
      <c r="A36" t="s">
        <v>15</v>
      </c>
      <c r="B36" t="s">
        <v>28</v>
      </c>
      <c r="C36" t="s">
        <v>21</v>
      </c>
      <c r="D36">
        <v>1</v>
      </c>
      <c r="E36">
        <v>5</v>
      </c>
      <c r="F36">
        <v>5.4882E-2</v>
      </c>
      <c r="G36">
        <v>2.1817E-2</v>
      </c>
      <c r="H36" t="s">
        <v>22</v>
      </c>
      <c r="J36" s="6" t="s">
        <v>44</v>
      </c>
      <c r="K36" s="4" t="str" cm="1">
        <f t="array" ref="K36">IFERROR(INDEX($Q$3:$Q$18, MATCH(1, ($J36=$L$3:$L$18) * (K$25=$J$3:$J$18), 0)), "")</f>
        <v/>
      </c>
      <c r="L36" s="4" cm="1">
        <f t="array" ref="L36">IFERROR(INDEX($Q$3:$Q$18, MATCH(1, ($J36=$L$3:$L$18) * (L$25=$J$3:$J$18), 0)), "")</f>
        <v>23.560615871645442</v>
      </c>
      <c r="M36" s="4" t="str" cm="1">
        <f t="array" ref="M36">IFERROR(INDEX($Q$3:$Q$18, MATCH(1, ($J36=$L$3:$L$18) * (M$25=$J$3:$J$18), 0)), "")</f>
        <v/>
      </c>
      <c r="N36" s="4"/>
      <c r="O36" s="3" t="s">
        <v>49</v>
      </c>
      <c r="P36" s="4" cm="1">
        <f t="array" ref="P36">INDEX($G$1:$G$100, MATCH(1, ($A$1:$A$100=P$25)*($B$1:$B$100=$K13), 0))</f>
        <v>9.8460000000000006E-3</v>
      </c>
      <c r="Q36" s="4" cm="1">
        <f t="array" ref="Q36">INDEX($G$1:$G$100, MATCH(1, ($A$1:$A$100=Q$25)*($B$1:$B$100=$K13), 0))</f>
        <v>6.0330000000000002E-3</v>
      </c>
      <c r="R36" s="4" cm="1">
        <f t="array" ref="R36">INDEX($G$1:$G$100, MATCH(1, ($A$1:$A$100=R$25)*($B$1:$B$100=$K13), 0))</f>
        <v>1.137E-3</v>
      </c>
      <c r="S36" s="4" cm="1">
        <f t="array" ref="S36">INDEX($G$1:$G$100, MATCH(1, ($A$1:$A$100=S$25)*($B$1:$B$100=$K13), 0))</f>
        <v>5.7829999999999999E-3</v>
      </c>
      <c r="T36" s="4" t="b">
        <f t="shared" si="6"/>
        <v>1</v>
      </c>
      <c r="U36" s="4" t="b">
        <f t="shared" si="7"/>
        <v>0</v>
      </c>
      <c r="V36" s="4" t="b">
        <f t="shared" si="8"/>
        <v>0</v>
      </c>
      <c r="X36" s="4" t="b">
        <f t="shared" si="9"/>
        <v>1</v>
      </c>
      <c r="Y36" s="4" t="b">
        <f t="shared" si="10"/>
        <v>1</v>
      </c>
      <c r="Z36" s="4" t="b">
        <f t="shared" si="11"/>
        <v>0</v>
      </c>
      <c r="BF36" t="s">
        <v>34</v>
      </c>
      <c r="BG36" t="s">
        <v>3</v>
      </c>
      <c r="BH36">
        <v>2</v>
      </c>
    </row>
    <row r="37" spans="1:60" x14ac:dyDescent="0.2">
      <c r="A37" t="s">
        <v>15</v>
      </c>
      <c r="B37" t="s">
        <v>32</v>
      </c>
      <c r="C37" t="s">
        <v>21</v>
      </c>
      <c r="D37">
        <v>1</v>
      </c>
      <c r="E37">
        <v>5</v>
      </c>
      <c r="F37">
        <v>4.3912E-2</v>
      </c>
      <c r="G37">
        <v>1.1979E-2</v>
      </c>
      <c r="H37" t="s">
        <v>22</v>
      </c>
      <c r="J37" s="6" t="s">
        <v>49</v>
      </c>
      <c r="K37" s="4" t="str" cm="1">
        <f t="array" ref="K37">IFERROR(INDEX($Q$3:$Q$18, MATCH(1, ($J37=$L$3:$L$18) * (K$25=$J$3:$J$18), 0)), "")</f>
        <v/>
      </c>
      <c r="L37" s="4" cm="1">
        <f t="array" ref="L37">IFERROR(INDEX($Q$3:$Q$18, MATCH(1, ($J37=$L$3:$L$18) * (L$25=$J$3:$J$18), 0)), "")</f>
        <v>3.1664000000000003</v>
      </c>
      <c r="M37" s="4" t="str" cm="1">
        <f t="array" ref="M37">IFERROR(INDEX($Q$3:$Q$18, MATCH(1, ($J37=$L$3:$L$18) * (M$25=$J$3:$J$18), 0)), "")</f>
        <v/>
      </c>
      <c r="N37" s="4"/>
      <c r="O37" s="3" t="s">
        <v>50</v>
      </c>
      <c r="P37" s="4" cm="1">
        <f t="array" ref="P37">INDEX($G$1:$G$100, MATCH(1, ($A$1:$A$100=P$25)*($B$1:$B$100=$K14), 0))</f>
        <v>8.8170000000000002E-3</v>
      </c>
      <c r="Q37" s="4" cm="1">
        <f t="array" ref="Q37">INDEX($G$1:$G$100, MATCH(1, ($A$1:$A$100=Q$25)*($B$1:$B$100=$K14), 0))</f>
        <v>6.6579999999999999E-3</v>
      </c>
      <c r="R37" s="4" cm="1">
        <f t="array" ref="R37">INDEX($G$1:$G$100, MATCH(1, ($A$1:$A$100=R$25)*($B$1:$B$100=$K14), 0))</f>
        <v>2.2750000000000001E-3</v>
      </c>
      <c r="S37" s="4" cm="1">
        <f t="array" ref="S37">INDEX($G$1:$G$100, MATCH(1, ($A$1:$A$100=S$25)*($B$1:$B$100=$K14), 0))</f>
        <v>7.7479999999999997E-3</v>
      </c>
      <c r="T37" s="4" t="b">
        <f t="shared" si="6"/>
        <v>1</v>
      </c>
      <c r="U37" s="4" t="b">
        <f t="shared" si="7"/>
        <v>0</v>
      </c>
      <c r="V37" s="4" t="b">
        <f t="shared" si="8"/>
        <v>0</v>
      </c>
      <c r="X37" s="4" t="b">
        <f t="shared" si="9"/>
        <v>1</v>
      </c>
      <c r="Y37" s="4" t="b">
        <f t="shared" si="10"/>
        <v>0</v>
      </c>
      <c r="Z37" s="4" t="b">
        <f t="shared" si="11"/>
        <v>0</v>
      </c>
      <c r="BF37" t="s">
        <v>34</v>
      </c>
      <c r="BG37" t="s">
        <v>3</v>
      </c>
      <c r="BH37">
        <v>2</v>
      </c>
    </row>
    <row r="38" spans="1:60" x14ac:dyDescent="0.2">
      <c r="A38" t="s">
        <v>15</v>
      </c>
      <c r="B38" t="s">
        <v>34</v>
      </c>
      <c r="C38" t="s">
        <v>21</v>
      </c>
      <c r="D38">
        <v>1</v>
      </c>
      <c r="E38">
        <v>5</v>
      </c>
      <c r="F38">
        <v>3.5820999999999999E-2</v>
      </c>
      <c r="G38">
        <v>1.291E-2</v>
      </c>
      <c r="H38" t="s">
        <v>22</v>
      </c>
      <c r="J38" s="6" t="s">
        <v>50</v>
      </c>
      <c r="K38" s="4" t="str" cm="1">
        <f t="array" ref="K38">IFERROR(INDEX($Q$3:$Q$18, MATCH(1, ($J38=$L$3:$L$18) * (K$25=$J$3:$J$18), 0)), "")</f>
        <v/>
      </c>
      <c r="L38" s="4" cm="1">
        <f t="array" ref="L38">IFERROR(INDEX($Q$3:$Q$18, MATCH(1, ($J38=$L$3:$L$18) * (L$25=$J$3:$J$18), 0)), "")</f>
        <v>8.4023291397483852</v>
      </c>
      <c r="M38" s="4" t="str" cm="1">
        <f t="array" ref="M38">IFERROR(INDEX($Q$3:$Q$18, MATCH(1, ($J38=$L$3:$L$18) * (M$25=$J$3:$J$18), 0)), "")</f>
        <v/>
      </c>
      <c r="N38" s="4"/>
      <c r="O38" s="3" t="s">
        <v>52</v>
      </c>
      <c r="P38" s="4" cm="1">
        <f t="array" ref="P38">INDEX($G$1:$G$100, MATCH(1, ($A$1:$A$100=P$25)*($B$1:$B$100=$K15), 0))</f>
        <v>6.352E-3</v>
      </c>
      <c r="Q38" s="4" cm="1">
        <f t="array" ref="Q38">INDEX($G$1:$G$100, MATCH(1, ($A$1:$A$100=Q$25)*($B$1:$B$100=$K15), 0))</f>
        <v>1.3313999999999999E-2</v>
      </c>
      <c r="R38" s="4" cm="1">
        <f t="array" ref="R38">INDEX($G$1:$G$100, MATCH(1, ($A$1:$A$100=R$25)*($B$1:$B$100=$K15), 0))</f>
        <v>4.6700000000000002E-4</v>
      </c>
      <c r="S38" s="4" cm="1">
        <f t="array" ref="S38">INDEX($G$1:$G$100, MATCH(1, ($A$1:$A$100=S$25)*($B$1:$B$100=$K15), 0))</f>
        <v>8.0409999999999995E-3</v>
      </c>
      <c r="T38" s="4" t="b">
        <f t="shared" si="6"/>
        <v>1</v>
      </c>
      <c r="U38" s="4" t="b">
        <f t="shared" si="7"/>
        <v>1</v>
      </c>
      <c r="V38" s="4" t="b">
        <f t="shared" si="8"/>
        <v>0</v>
      </c>
      <c r="X38" s="4" t="b">
        <f t="shared" si="9"/>
        <v>1</v>
      </c>
      <c r="Y38" s="4" t="b">
        <f t="shared" si="10"/>
        <v>1</v>
      </c>
      <c r="Z38" s="4" t="b">
        <f t="shared" si="11"/>
        <v>0</v>
      </c>
      <c r="BF38" t="s">
        <v>34</v>
      </c>
      <c r="BG38" t="s">
        <v>3</v>
      </c>
      <c r="BH38">
        <v>2</v>
      </c>
    </row>
    <row r="39" spans="1:60" x14ac:dyDescent="0.2">
      <c r="A39" t="s">
        <v>15</v>
      </c>
      <c r="B39" t="s">
        <v>36</v>
      </c>
      <c r="C39" t="s">
        <v>21</v>
      </c>
      <c r="D39">
        <v>1</v>
      </c>
      <c r="E39">
        <v>5</v>
      </c>
      <c r="F39">
        <v>0.31134699999999998</v>
      </c>
      <c r="G39">
        <v>3.6797000000000003E-2</v>
      </c>
      <c r="H39" t="s">
        <v>22</v>
      </c>
      <c r="J39" s="7" t="s">
        <v>25</v>
      </c>
      <c r="K39" s="4" cm="1">
        <f t="array" ref="K39">IFERROR(INDEX($Q$3:$Q$18, MATCH(1, ($J39=$L$3:$L$18) * (K$25=$J$3:$J$18), 0)), "")</f>
        <v>6.1162790697674421</v>
      </c>
      <c r="L39" s="4" t="str" cm="1">
        <f t="array" ref="L39">IFERROR(INDEX($Q$3:$Q$18, MATCH(1, ($J39=$L$3:$L$18) * (L$25=$J$3:$J$18), 0)), "")</f>
        <v/>
      </c>
      <c r="M39" s="4" t="str" cm="1">
        <f t="array" ref="M39">IFERROR(INDEX($Q$3:$Q$18, MATCH(1, ($J39=$L$3:$L$18) * (M$25=$J$3:$J$18), 0)), "")</f>
        <v/>
      </c>
      <c r="N39" s="4"/>
      <c r="O39" s="3" t="s">
        <v>54</v>
      </c>
      <c r="P39" s="4" cm="1">
        <f t="array" ref="P39">INDEX($G$1:$G$100, MATCH(1, ($A$1:$A$100=P$25)*($B$1:$B$100=$K16), 0))</f>
        <v>7.4190000000000002E-3</v>
      </c>
      <c r="Q39" s="4" cm="1">
        <f t="array" ref="Q39">INDEX($G$1:$G$100, MATCH(1, ($A$1:$A$100=Q$25)*($B$1:$B$100=$K16), 0))</f>
        <v>1.5009E-2</v>
      </c>
      <c r="R39" s="4" cm="1">
        <f t="array" ref="R39">INDEX($G$1:$G$100, MATCH(1, ($A$1:$A$100=R$25)*($B$1:$B$100=$K16), 0))</f>
        <v>8.7699999999999996E-4</v>
      </c>
      <c r="S39" s="4" cm="1">
        <f t="array" ref="S39">INDEX($G$1:$G$100, MATCH(1, ($A$1:$A$100=S$25)*($B$1:$B$100=$K16), 0))</f>
        <v>6.8219999999999999E-3</v>
      </c>
      <c r="T39" s="4" t="b">
        <f t="shared" si="6"/>
        <v>1</v>
      </c>
      <c r="U39" s="4" t="b">
        <f t="shared" si="7"/>
        <v>0</v>
      </c>
      <c r="V39" s="4" t="b">
        <f t="shared" si="8"/>
        <v>0</v>
      </c>
      <c r="X39" s="4" t="b">
        <f t="shared" si="9"/>
        <v>1</v>
      </c>
      <c r="Y39" s="4" t="b">
        <f t="shared" si="10"/>
        <v>0</v>
      </c>
      <c r="Z39" s="4" t="b">
        <f t="shared" si="11"/>
        <v>0</v>
      </c>
      <c r="BF39" t="s">
        <v>34</v>
      </c>
      <c r="BG39" t="s">
        <v>3</v>
      </c>
      <c r="BH39">
        <v>2</v>
      </c>
    </row>
    <row r="40" spans="1:60" x14ac:dyDescent="0.2">
      <c r="A40" t="s">
        <v>15</v>
      </c>
      <c r="B40" t="s">
        <v>2</v>
      </c>
      <c r="C40" t="s">
        <v>21</v>
      </c>
      <c r="D40">
        <v>1</v>
      </c>
      <c r="E40">
        <v>5</v>
      </c>
      <c r="F40">
        <v>7.0066000000000003E-2</v>
      </c>
      <c r="G40">
        <v>1.9456000000000001E-2</v>
      </c>
      <c r="H40" t="s">
        <v>22</v>
      </c>
      <c r="J40" s="7" t="s">
        <v>54</v>
      </c>
      <c r="K40" s="4" cm="1">
        <f t="array" ref="K40">IFERROR(INDEX($Q$3:$Q$18, MATCH(1, ($J40=$L$3:$L$18) * (K$25=$J$3:$J$18), 0)), "")</f>
        <v>8.0065804935370153</v>
      </c>
      <c r="L40" s="4" t="str" cm="1">
        <f t="array" ref="L40">IFERROR(INDEX($Q$3:$Q$18, MATCH(1, ($J40=$L$3:$L$18) * (L$25=$J$3:$J$18), 0)), "")</f>
        <v/>
      </c>
      <c r="M40" s="4" t="str" cm="1">
        <f t="array" ref="M40">IFERROR(INDEX($Q$3:$Q$18, MATCH(1, ($J40=$L$3:$L$18) * (M$25=$J$3:$J$18), 0)), "")</f>
        <v/>
      </c>
      <c r="N40" s="4"/>
      <c r="O40" s="3" t="s">
        <v>55</v>
      </c>
      <c r="P40" s="4" cm="1">
        <f t="array" ref="P40">INDEX($G$1:$G$100, MATCH(1, ($A$1:$A$100=P$25)*($B$1:$B$100=$K17), 0))</f>
        <v>3.6359999999999999E-3</v>
      </c>
      <c r="Q40" s="4" cm="1">
        <f t="array" ref="Q40">INDEX($G$1:$G$100, MATCH(1, ($A$1:$A$100=Q$25)*($B$1:$B$100=$K17), 0))</f>
        <v>1.3948E-2</v>
      </c>
      <c r="R40" s="4" cm="1">
        <f t="array" ref="R40">INDEX($G$1:$G$100, MATCH(1, ($A$1:$A$100=R$25)*($B$1:$B$100=$K17), 0))</f>
        <v>5.9999999999999995E-4</v>
      </c>
      <c r="S40" s="4" cm="1">
        <f t="array" ref="S40">INDEX($G$1:$G$100, MATCH(1, ($A$1:$A$100=S$25)*($B$1:$B$100=$K17), 0))</f>
        <v>2.7729999999999999E-3</v>
      </c>
      <c r="T40" s="4" t="b">
        <f t="shared" si="6"/>
        <v>1</v>
      </c>
      <c r="U40" s="4" t="b">
        <f t="shared" si="7"/>
        <v>1</v>
      </c>
      <c r="V40" s="4" t="b">
        <f t="shared" si="8"/>
        <v>0</v>
      </c>
      <c r="X40" s="4" t="b">
        <f t="shared" si="9"/>
        <v>1</v>
      </c>
      <c r="Y40" s="4" t="b">
        <f t="shared" si="10"/>
        <v>1</v>
      </c>
      <c r="Z40" s="4" t="b">
        <f t="shared" si="11"/>
        <v>0</v>
      </c>
      <c r="BF40" t="s">
        <v>34</v>
      </c>
      <c r="BG40" t="s">
        <v>3</v>
      </c>
      <c r="BH40">
        <v>2</v>
      </c>
    </row>
    <row r="41" spans="1:60" x14ac:dyDescent="0.2">
      <c r="A41" t="s">
        <v>15</v>
      </c>
      <c r="B41" t="s">
        <v>39</v>
      </c>
      <c r="C41" t="s">
        <v>21</v>
      </c>
      <c r="D41">
        <v>1</v>
      </c>
      <c r="E41">
        <v>5</v>
      </c>
      <c r="F41">
        <v>0.17114599999999999</v>
      </c>
      <c r="G41">
        <v>2.3591999999999998E-2</v>
      </c>
      <c r="H41" t="s">
        <v>22</v>
      </c>
      <c r="J41" s="7" t="s">
        <v>55</v>
      </c>
      <c r="K41" s="4" cm="1">
        <f t="array" ref="K41">IFERROR(INDEX($Q$3:$Q$18, MATCH(1, ($J41=$L$3:$L$18) * (K$25=$J$3:$J$18), 0)), "")</f>
        <v>4.4770775724057632</v>
      </c>
      <c r="L41" s="4" t="str" cm="1">
        <f t="array" ref="L41">IFERROR(INDEX($Q$3:$Q$18, MATCH(1, ($J41=$L$3:$L$18) * (L$25=$J$3:$J$18), 0)), "")</f>
        <v/>
      </c>
      <c r="M41" s="4" t="str" cm="1">
        <f t="array" ref="M41">IFERROR(INDEX($Q$3:$Q$18, MATCH(1, ($J41=$L$3:$L$18) * (M$25=$J$3:$J$18), 0)), "")</f>
        <v/>
      </c>
      <c r="N41" s="4"/>
      <c r="O41" s="3" t="s">
        <v>56</v>
      </c>
      <c r="P41" s="4" cm="1">
        <f t="array" ref="P41">INDEX($G$1:$G$100, MATCH(1, ($A$1:$A$100=P$25)*($B$1:$B$100=$K18), 0))</f>
        <v>5.4149999999999997E-3</v>
      </c>
      <c r="Q41" s="4" cm="1">
        <f t="array" ref="Q41">INDEX($G$1:$G$100, MATCH(1, ($A$1:$A$100=Q$25)*($B$1:$B$100=$K18), 0))</f>
        <v>1.9130999999999999E-2</v>
      </c>
      <c r="R41" s="4" cm="1">
        <f t="array" ref="R41">INDEX($G$1:$G$100, MATCH(1, ($A$1:$A$100=R$25)*($B$1:$B$100=$K18), 0))</f>
        <v>1.2869999999999999E-3</v>
      </c>
      <c r="S41" s="4" cm="1">
        <f t="array" ref="S41">INDEX($G$1:$G$100, MATCH(1, ($A$1:$A$100=S$25)*($B$1:$B$100=$K18), 0))</f>
        <v>3.313E-3</v>
      </c>
      <c r="T41" s="4" t="b">
        <f t="shared" si="6"/>
        <v>1</v>
      </c>
      <c r="U41" s="4" t="b">
        <f t="shared" si="7"/>
        <v>1</v>
      </c>
      <c r="V41" s="4" t="b">
        <f t="shared" si="8"/>
        <v>0</v>
      </c>
      <c r="X41" s="4" t="b">
        <f t="shared" si="9"/>
        <v>1</v>
      </c>
      <c r="Y41" s="4" t="b">
        <f t="shared" si="10"/>
        <v>1</v>
      </c>
      <c r="Z41" s="4" t="b">
        <f t="shared" si="11"/>
        <v>0</v>
      </c>
      <c r="BF41" t="s">
        <v>36</v>
      </c>
      <c r="BG41" t="s">
        <v>3</v>
      </c>
      <c r="BH41">
        <v>9</v>
      </c>
    </row>
    <row r="42" spans="1:60" x14ac:dyDescent="0.2">
      <c r="A42" t="s">
        <v>15</v>
      </c>
      <c r="B42" t="s">
        <v>41</v>
      </c>
      <c r="C42" t="s">
        <v>21</v>
      </c>
      <c r="D42">
        <v>1</v>
      </c>
      <c r="E42">
        <v>5</v>
      </c>
      <c r="F42">
        <v>4.7777E-2</v>
      </c>
      <c r="G42">
        <v>5.8009999999999997E-3</v>
      </c>
      <c r="H42" t="s">
        <v>22</v>
      </c>
      <c r="S42" s="2"/>
      <c r="BF42" t="s">
        <v>36</v>
      </c>
      <c r="BG42" t="s">
        <v>3</v>
      </c>
      <c r="BH42">
        <v>9</v>
      </c>
    </row>
    <row r="43" spans="1:60" x14ac:dyDescent="0.2">
      <c r="A43" t="s">
        <v>15</v>
      </c>
      <c r="B43" t="s">
        <v>43</v>
      </c>
      <c r="C43" t="s">
        <v>21</v>
      </c>
      <c r="D43">
        <v>1</v>
      </c>
      <c r="E43">
        <v>5</v>
      </c>
      <c r="F43">
        <v>0.32746900000000001</v>
      </c>
      <c r="G43">
        <v>3.1792000000000001E-2</v>
      </c>
      <c r="H43" t="s">
        <v>22</v>
      </c>
      <c r="J43" s="7" t="s">
        <v>58</v>
      </c>
      <c r="S43" s="3"/>
      <c r="BF43" t="s">
        <v>36</v>
      </c>
      <c r="BG43" t="s">
        <v>3</v>
      </c>
      <c r="BH43">
        <v>9</v>
      </c>
    </row>
    <row r="44" spans="1:60" x14ac:dyDescent="0.2">
      <c r="A44" t="s">
        <v>15</v>
      </c>
      <c r="B44" t="s">
        <v>46</v>
      </c>
      <c r="C44" t="s">
        <v>21</v>
      </c>
      <c r="D44">
        <v>1</v>
      </c>
      <c r="E44">
        <v>5</v>
      </c>
      <c r="F44">
        <v>7.6815999999999995E-2</v>
      </c>
      <c r="G44">
        <v>1.6327999999999999E-2</v>
      </c>
      <c r="H44" t="s">
        <v>22</v>
      </c>
      <c r="J44" t="s">
        <v>12</v>
      </c>
      <c r="K44" s="6" t="s">
        <v>23</v>
      </c>
      <c r="L44" s="6" t="s">
        <v>31</v>
      </c>
      <c r="M44" s="6" t="s">
        <v>27</v>
      </c>
      <c r="S44" s="3"/>
      <c r="BF44" t="s">
        <v>36</v>
      </c>
      <c r="BG44" t="s">
        <v>3</v>
      </c>
      <c r="BH44">
        <v>9</v>
      </c>
    </row>
    <row r="45" spans="1:60" x14ac:dyDescent="0.2">
      <c r="A45" t="s">
        <v>15</v>
      </c>
      <c r="B45" t="s">
        <v>45</v>
      </c>
      <c r="C45" t="s">
        <v>21</v>
      </c>
      <c r="D45">
        <v>1</v>
      </c>
      <c r="E45">
        <v>5</v>
      </c>
      <c r="F45">
        <v>3.7601000000000002E-2</v>
      </c>
      <c r="G45">
        <v>6.0330000000000002E-3</v>
      </c>
      <c r="H45" t="s">
        <v>22</v>
      </c>
      <c r="J45" s="7" t="s">
        <v>29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0.11318890155834284</v>
      </c>
      <c r="S45" s="3"/>
      <c r="BF45" t="s">
        <v>36</v>
      </c>
      <c r="BG45" t="s">
        <v>3</v>
      </c>
      <c r="BH45">
        <v>9</v>
      </c>
    </row>
    <row r="46" spans="1:60" x14ac:dyDescent="0.2">
      <c r="A46" t="s">
        <v>15</v>
      </c>
      <c r="B46" t="s">
        <v>48</v>
      </c>
      <c r="C46" t="s">
        <v>21</v>
      </c>
      <c r="D46">
        <v>1</v>
      </c>
      <c r="E46">
        <v>5</v>
      </c>
      <c r="F46">
        <v>9.8845000000000002E-2</v>
      </c>
      <c r="G46">
        <v>6.6579999999999999E-3</v>
      </c>
      <c r="H46" t="s">
        <v>22</v>
      </c>
      <c r="J46" s="6" t="s">
        <v>37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cm="1">
        <f t="array" ref="M46">IFERROR(INDEX($R$3:$R$18, MATCH(1, ($J46=$L$3:$L$18) * (M$44=$J$3:$J$18), 0)), "")</f>
        <v>0.21860053144375555</v>
      </c>
      <c r="S46" s="3"/>
      <c r="BF46" t="s">
        <v>36</v>
      </c>
      <c r="BG46" t="s">
        <v>3</v>
      </c>
      <c r="BH46">
        <v>9</v>
      </c>
    </row>
    <row r="47" spans="1:60" x14ac:dyDescent="0.2">
      <c r="A47" t="s">
        <v>15</v>
      </c>
      <c r="B47" t="s">
        <v>51</v>
      </c>
      <c r="C47" t="s">
        <v>21</v>
      </c>
      <c r="D47">
        <v>1</v>
      </c>
      <c r="E47">
        <v>5</v>
      </c>
      <c r="F47">
        <v>8.4973999999999994E-2</v>
      </c>
      <c r="G47">
        <v>1.3313999999999999E-2</v>
      </c>
      <c r="H47" t="s">
        <v>22</v>
      </c>
      <c r="J47" s="6" t="s">
        <v>42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0.30775181804115737</v>
      </c>
      <c r="S47" s="3"/>
      <c r="BF47" t="s">
        <v>36</v>
      </c>
      <c r="BG47" t="s">
        <v>3</v>
      </c>
      <c r="BH47">
        <v>9</v>
      </c>
    </row>
    <row r="48" spans="1:60" x14ac:dyDescent="0.2">
      <c r="A48" t="s">
        <v>15</v>
      </c>
      <c r="B48" t="s">
        <v>26</v>
      </c>
      <c r="C48" t="s">
        <v>21</v>
      </c>
      <c r="D48">
        <v>1</v>
      </c>
      <c r="E48">
        <v>5</v>
      </c>
      <c r="F48">
        <v>6.8136000000000002E-2</v>
      </c>
      <c r="G48">
        <v>1.5009E-2</v>
      </c>
      <c r="H48" t="s">
        <v>22</v>
      </c>
      <c r="J48" s="6" t="s">
        <v>47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cm="1">
        <f t="array" ref="M48">IFERROR(INDEX($R$3:$R$18, MATCH(1, ($J48=$L$3:$L$18) * (M$44=$J$3:$J$18), 0)), "")</f>
        <v>0.17612921269752482</v>
      </c>
      <c r="S48" s="3"/>
      <c r="BF48" t="s">
        <v>36</v>
      </c>
      <c r="BG48" t="s">
        <v>3</v>
      </c>
      <c r="BH48">
        <v>9</v>
      </c>
    </row>
    <row r="49" spans="1:60" x14ac:dyDescent="0.2">
      <c r="A49" t="s">
        <v>15</v>
      </c>
      <c r="B49" t="s">
        <v>30</v>
      </c>
      <c r="C49" t="s">
        <v>21</v>
      </c>
      <c r="D49">
        <v>1</v>
      </c>
      <c r="E49">
        <v>5</v>
      </c>
      <c r="F49">
        <v>3.0762000000000001E-2</v>
      </c>
      <c r="G49">
        <v>1.3948E-2</v>
      </c>
      <c r="H49" t="s">
        <v>22</v>
      </c>
      <c r="J49" s="6" t="s">
        <v>52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cm="1">
        <f t="array" ref="M49">IFERROR(INDEX($R$3:$R$18, MATCH(1, ($J49=$L$3:$L$18) * (M$44=$J$3:$J$18), 0)), "")</f>
        <v>0.16125239774766414</v>
      </c>
      <c r="S49" s="3"/>
      <c r="BF49" t="s">
        <v>36</v>
      </c>
      <c r="BG49" t="s">
        <v>3</v>
      </c>
      <c r="BH49">
        <v>9</v>
      </c>
    </row>
    <row r="50" spans="1:60" x14ac:dyDescent="0.2">
      <c r="A50" t="s">
        <v>15</v>
      </c>
      <c r="B50" t="s">
        <v>53</v>
      </c>
      <c r="C50" t="s">
        <v>21</v>
      </c>
      <c r="D50">
        <v>1</v>
      </c>
      <c r="E50">
        <v>5</v>
      </c>
      <c r="F50">
        <v>0.15992999999999999</v>
      </c>
      <c r="G50">
        <v>1.9130999999999999E-2</v>
      </c>
      <c r="H50" t="s">
        <v>22</v>
      </c>
      <c r="J50" s="7" t="s">
        <v>33</v>
      </c>
      <c r="K50" t="str" cm="1">
        <f t="array" ref="K50">IFERROR(INDEX($R$3:$R$18, MATCH(1, ($J50=$L$3:$L$18) * (K$44=$J$3:$J$18), 0)), "")</f>
        <v/>
      </c>
      <c r="L50" cm="1">
        <f t="array" ref="L50">IFERROR(INDEX($R$3:$R$18, MATCH(1, ($J50=$L$3:$L$18) * (L$44=$J$3:$J$18), 0)), "")</f>
        <v>0.24897795591182365</v>
      </c>
      <c r="M50" t="str" cm="1">
        <f t="array" ref="M50">IFERROR(INDEX($R$3:$R$18, MATCH(1, ($J50=$L$3:$L$18) * (M$44=$J$3:$J$18), 0)), "")</f>
        <v/>
      </c>
      <c r="S50" s="3"/>
      <c r="BF50" t="s">
        <v>36</v>
      </c>
      <c r="BG50" t="s">
        <v>3</v>
      </c>
      <c r="BH50">
        <v>9</v>
      </c>
    </row>
    <row r="51" spans="1:60" x14ac:dyDescent="0.2">
      <c r="A51" t="s">
        <v>14</v>
      </c>
      <c r="B51" t="s">
        <v>24</v>
      </c>
      <c r="C51" t="s">
        <v>21</v>
      </c>
      <c r="D51">
        <v>1</v>
      </c>
      <c r="E51">
        <v>5</v>
      </c>
      <c r="F51">
        <v>7.6540000000000002E-3</v>
      </c>
      <c r="G51">
        <v>5.7939999999999997E-3</v>
      </c>
      <c r="H51" t="s">
        <v>22</v>
      </c>
      <c r="J51" s="7" t="s">
        <v>35</v>
      </c>
      <c r="K51" t="str" cm="1">
        <f t="array" ref="K51">IFERROR(INDEX($R$3:$R$18, MATCH(1, ($J51=$L$3:$L$18) * (K$44=$J$3:$J$18), 0)), "")</f>
        <v/>
      </c>
      <c r="L51" cm="1">
        <f t="array" ref="L51">IFERROR(INDEX($R$3:$R$18, MATCH(1, ($J51=$L$3:$L$18) * (L$44=$J$3:$J$18), 0)), "")</f>
        <v>0.23903533370723504</v>
      </c>
      <c r="M51" t="str" cm="1">
        <f t="array" ref="M51">IFERROR(INDEX($R$3:$R$18, MATCH(1, ($J51=$L$3:$L$18) * (M$44=$J$3:$J$18), 0)), "")</f>
        <v/>
      </c>
      <c r="S51" s="3"/>
      <c r="AC51" s="5"/>
      <c r="AD51" s="5"/>
      <c r="AE51" s="5"/>
      <c r="BF51" t="s">
        <v>2</v>
      </c>
      <c r="BG51" t="s">
        <v>3</v>
      </c>
      <c r="BH51">
        <v>3</v>
      </c>
    </row>
    <row r="52" spans="1:60" x14ac:dyDescent="0.2">
      <c r="A52" t="s">
        <v>14</v>
      </c>
      <c r="B52" t="s">
        <v>28</v>
      </c>
      <c r="C52" t="s">
        <v>21</v>
      </c>
      <c r="D52">
        <v>1</v>
      </c>
      <c r="E52">
        <v>5</v>
      </c>
      <c r="F52">
        <v>1.3155E-2</v>
      </c>
      <c r="G52">
        <v>1.0588E-2</v>
      </c>
      <c r="H52" t="s">
        <v>22</v>
      </c>
      <c r="J52" s="6" t="s">
        <v>38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0.21451299275234223</v>
      </c>
      <c r="M52" t="str" cm="1">
        <f t="array" ref="M52">IFERROR(INDEX($R$3:$R$18, MATCH(1, ($J52=$L$3:$L$18) * (M$44=$J$3:$J$18), 0)), "")</f>
        <v/>
      </c>
      <c r="S52" s="3"/>
      <c r="AC52" s="5"/>
      <c r="AD52" s="5"/>
      <c r="AE52" s="5"/>
      <c r="BF52" t="s">
        <v>2</v>
      </c>
      <c r="BG52" t="s">
        <v>3</v>
      </c>
      <c r="BH52">
        <v>3</v>
      </c>
    </row>
    <row r="53" spans="1:60" x14ac:dyDescent="0.2">
      <c r="A53" t="s">
        <v>14</v>
      </c>
      <c r="B53" t="s">
        <v>32</v>
      </c>
      <c r="C53" t="s">
        <v>21</v>
      </c>
      <c r="D53">
        <v>1</v>
      </c>
      <c r="E53">
        <v>5</v>
      </c>
      <c r="F53">
        <v>1.2475E-2</v>
      </c>
      <c r="G53">
        <v>1.051E-2</v>
      </c>
      <c r="H53" t="s">
        <v>22</v>
      </c>
      <c r="J53" s="6" t="s">
        <v>56</v>
      </c>
      <c r="K53" t="str" cm="1">
        <f t="array" ref="K53">IFERROR(INDEX($R$3:$R$18, MATCH(1, ($J53=$L$3:$L$18) * (K$44=$J$3:$J$18), 0)), "")</f>
        <v/>
      </c>
      <c r="L53" cm="1">
        <f t="array" ref="L53">IFERROR(INDEX($R$3:$R$18, MATCH(1, ($J53=$L$3:$L$18) * (L$44=$J$3:$J$18), 0)), "")</f>
        <v>0.25083143707334149</v>
      </c>
      <c r="M53" t="str" cm="1">
        <f t="array" ref="M53">IFERROR(INDEX($R$3:$R$18, MATCH(1, ($J53=$L$3:$L$18) * (M$44=$J$3:$J$18), 0)), "")</f>
        <v/>
      </c>
      <c r="S53" s="3"/>
      <c r="AC53" s="5"/>
      <c r="AD53" s="5"/>
      <c r="AE53" s="5"/>
      <c r="BF53" t="s">
        <v>2</v>
      </c>
      <c r="BG53" t="s">
        <v>3</v>
      </c>
      <c r="BH53">
        <v>3</v>
      </c>
    </row>
    <row r="54" spans="1:60" x14ac:dyDescent="0.2">
      <c r="A54" t="s">
        <v>14</v>
      </c>
      <c r="B54" t="s">
        <v>34</v>
      </c>
      <c r="C54" t="s">
        <v>21</v>
      </c>
      <c r="D54">
        <v>1</v>
      </c>
      <c r="E54">
        <v>5</v>
      </c>
      <c r="F54">
        <v>8.9149999999999993E-3</v>
      </c>
      <c r="G54">
        <v>8.8050000000000003E-3</v>
      </c>
      <c r="H54" t="s">
        <v>22</v>
      </c>
      <c r="J54" s="6" t="s">
        <v>40</v>
      </c>
      <c r="K54" t="str" cm="1">
        <f t="array" ref="K54">IFERROR(INDEX($R$3:$R$18, MATCH(1, ($J54=$L$3:$L$18) * (K$44=$J$3:$J$18), 0)), "")</f>
        <v/>
      </c>
      <c r="L54" cm="1">
        <f t="array" ref="L54">IFERROR(INDEX($R$3:$R$18, MATCH(1, ($J54=$L$3:$L$18) * (L$44=$J$3:$J$18), 0)), "")</f>
        <v>0.11557177615571776</v>
      </c>
      <c r="M54" t="str" cm="1">
        <f t="array" ref="M54">IFERROR(INDEX($R$3:$R$18, MATCH(1, ($J54=$L$3:$L$18) * (M$44=$J$3:$J$18), 0)), "")</f>
        <v/>
      </c>
      <c r="S54" s="3"/>
      <c r="AC54" s="5"/>
      <c r="AD54" s="5"/>
      <c r="AE54" s="5"/>
      <c r="BF54" t="s">
        <v>2</v>
      </c>
      <c r="BG54" t="s">
        <v>3</v>
      </c>
      <c r="BH54">
        <v>3</v>
      </c>
    </row>
    <row r="55" spans="1:60" x14ac:dyDescent="0.2">
      <c r="A55" t="s">
        <v>14</v>
      </c>
      <c r="B55" t="s">
        <v>36</v>
      </c>
      <c r="C55" t="s">
        <v>21</v>
      </c>
      <c r="D55">
        <v>1</v>
      </c>
      <c r="E55">
        <v>5</v>
      </c>
      <c r="F55">
        <v>2.8225E-2</v>
      </c>
      <c r="G55">
        <v>1.2089000000000001E-2</v>
      </c>
      <c r="H55" t="s">
        <v>22</v>
      </c>
      <c r="J55" s="6" t="s">
        <v>44</v>
      </c>
      <c r="K55" t="str" cm="1">
        <f t="array" ref="K55">IFERROR(INDEX($R$3:$R$18, MATCH(1, ($J55=$L$3:$L$18) * (K$44=$J$3:$J$18), 0)), "")</f>
        <v/>
      </c>
      <c r="L55" cm="1">
        <f t="array" ref="L55">IFERROR(INDEX($R$3:$R$18, MATCH(1, ($J55=$L$3:$L$18) * (L$44=$J$3:$J$18), 0)), "")</f>
        <v>0.29297071731779267</v>
      </c>
      <c r="M55" t="str" cm="1">
        <f t="array" ref="M55">IFERROR(INDEX($R$3:$R$18, MATCH(1, ($J55=$L$3:$L$18) * (M$44=$J$3:$J$18), 0)), "")</f>
        <v/>
      </c>
      <c r="S55" s="3"/>
      <c r="AC55" s="5"/>
      <c r="AD55" s="5"/>
      <c r="AE55" s="5"/>
      <c r="BF55" t="s">
        <v>2</v>
      </c>
      <c r="BG55" t="s">
        <v>3</v>
      </c>
      <c r="BH55">
        <v>3</v>
      </c>
    </row>
    <row r="56" spans="1:60" x14ac:dyDescent="0.2">
      <c r="A56" t="s">
        <v>14</v>
      </c>
      <c r="B56" t="s">
        <v>2</v>
      </c>
      <c r="C56" t="s">
        <v>21</v>
      </c>
      <c r="D56">
        <v>1</v>
      </c>
      <c r="E56">
        <v>5</v>
      </c>
      <c r="F56">
        <v>1.1313999999999999E-2</v>
      </c>
      <c r="G56">
        <v>5.3559999999999997E-3</v>
      </c>
      <c r="H56" t="s">
        <v>22</v>
      </c>
      <c r="J56" s="6" t="s">
        <v>49</v>
      </c>
      <c r="K56" t="str" cm="1">
        <f t="array" ref="K56">IFERROR(INDEX($R$3:$R$18, MATCH(1, ($J56=$L$3:$L$18) * (K$44=$J$3:$J$18), 0)), "")</f>
        <v/>
      </c>
      <c r="L56" cm="1">
        <f t="array" ref="L56">IFERROR(INDEX($R$3:$R$18, MATCH(1, ($J56=$L$3:$L$18) * (L$44=$J$3:$J$18), 0)), "")</f>
        <v>0.17246315789473685</v>
      </c>
      <c r="M56" t="str" cm="1">
        <f t="array" ref="M56">IFERROR(INDEX($R$3:$R$18, MATCH(1, ($J56=$L$3:$L$18) * (M$44=$J$3:$J$18), 0)), "")</f>
        <v/>
      </c>
      <c r="S56" s="3"/>
      <c r="AC56" s="5"/>
      <c r="AD56" s="5"/>
      <c r="AE56" s="5"/>
      <c r="BF56" t="s">
        <v>2</v>
      </c>
      <c r="BG56" t="s">
        <v>3</v>
      </c>
      <c r="BH56">
        <v>3</v>
      </c>
    </row>
    <row r="57" spans="1:60" x14ac:dyDescent="0.2">
      <c r="A57" t="s">
        <v>14</v>
      </c>
      <c r="B57" t="s">
        <v>39</v>
      </c>
      <c r="C57" t="s">
        <v>21</v>
      </c>
      <c r="D57">
        <v>1</v>
      </c>
      <c r="E57">
        <v>5</v>
      </c>
      <c r="F57">
        <v>2.3838000000000002E-2</v>
      </c>
      <c r="G57">
        <v>9.1529999999999997E-3</v>
      </c>
      <c r="H57" t="s">
        <v>22</v>
      </c>
      <c r="J57" s="6" t="s">
        <v>50</v>
      </c>
      <c r="K57" t="str" cm="1">
        <f t="array" ref="K57">IFERROR(INDEX($R$3:$R$18, MATCH(1, ($J57=$L$3:$L$18) * (K$44=$J$3:$J$18), 0)), "")</f>
        <v/>
      </c>
      <c r="L57" cm="1">
        <f t="array" ref="L57">IFERROR(INDEX($R$3:$R$18, MATCH(1, ($J57=$L$3:$L$18) * (L$44=$J$3:$J$18), 0)), "")</f>
        <v>0.3180890853451207</v>
      </c>
      <c r="M57" t="str" cm="1">
        <f t="array" ref="M57">IFERROR(INDEX($R$3:$R$18, MATCH(1, ($J57=$L$3:$L$18) * (M$44=$J$3:$J$18), 0)), "")</f>
        <v/>
      </c>
      <c r="S57" s="3"/>
      <c r="AC57" s="5"/>
      <c r="AD57" s="5"/>
      <c r="AE57" s="5"/>
      <c r="BF57" t="s">
        <v>2</v>
      </c>
      <c r="BG57" t="s">
        <v>3</v>
      </c>
      <c r="BH57">
        <v>3</v>
      </c>
    </row>
    <row r="58" spans="1:60" x14ac:dyDescent="0.2">
      <c r="A58" t="s">
        <v>14</v>
      </c>
      <c r="B58" t="s">
        <v>41</v>
      </c>
      <c r="C58" t="s">
        <v>21</v>
      </c>
      <c r="D58">
        <v>1</v>
      </c>
      <c r="E58">
        <v>5</v>
      </c>
      <c r="F58">
        <v>6.463E-3</v>
      </c>
      <c r="G58">
        <v>1.8240000000000001E-3</v>
      </c>
      <c r="H58" t="s">
        <v>22</v>
      </c>
      <c r="J58" s="7" t="s">
        <v>25</v>
      </c>
      <c r="K58" cm="1">
        <f t="array" ref="K58">IFERROR(INDEX($R$3:$R$18, MATCH(1, ($J58=$L$3:$L$18) * (K$44=$J$3:$J$18), 0)), "")</f>
        <v>0.24536190227332111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  <c r="S58" s="3"/>
      <c r="AC58" s="5"/>
      <c r="AD58" s="5"/>
      <c r="AE58" s="5"/>
      <c r="BF58" t="s">
        <v>2</v>
      </c>
      <c r="BG58" t="s">
        <v>3</v>
      </c>
      <c r="BH58">
        <v>3</v>
      </c>
    </row>
    <row r="59" spans="1:60" x14ac:dyDescent="0.2">
      <c r="A59" t="s">
        <v>14</v>
      </c>
      <c r="B59" t="s">
        <v>43</v>
      </c>
      <c r="C59" t="s">
        <v>21</v>
      </c>
      <c r="D59">
        <v>1</v>
      </c>
      <c r="E59">
        <v>5</v>
      </c>
      <c r="F59">
        <v>1.3899E-2</v>
      </c>
      <c r="G59">
        <v>5.9659999999999999E-3</v>
      </c>
      <c r="H59" t="s">
        <v>22</v>
      </c>
      <c r="J59" s="7" t="s">
        <v>54</v>
      </c>
      <c r="K59" cm="1">
        <f t="array" ref="K59">IFERROR(INDEX($R$3:$R$18, MATCH(1, ($J59=$L$3:$L$18) * (K$44=$J$3:$J$18), 0)), "")</f>
        <v>0.29494712103407755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  <c r="AC59" s="5"/>
      <c r="AD59" s="5"/>
      <c r="AE59" s="5"/>
      <c r="BF59" t="s">
        <v>2</v>
      </c>
      <c r="BG59" t="s">
        <v>3</v>
      </c>
      <c r="BH59">
        <v>3</v>
      </c>
    </row>
    <row r="60" spans="1:60" x14ac:dyDescent="0.2">
      <c r="A60" t="s">
        <v>14</v>
      </c>
      <c r="B60" t="s">
        <v>46</v>
      </c>
      <c r="C60" t="s">
        <v>21</v>
      </c>
      <c r="D60">
        <v>1</v>
      </c>
      <c r="E60">
        <v>5</v>
      </c>
      <c r="F60">
        <v>1.4302E-2</v>
      </c>
      <c r="G60">
        <v>7.3930000000000003E-3</v>
      </c>
      <c r="H60" t="s">
        <v>22</v>
      </c>
      <c r="J60" s="7" t="s">
        <v>55</v>
      </c>
      <c r="K60" cm="1">
        <f t="array" ref="K60">IFERROR(INDEX($R$3:$R$18, MATCH(1, ($J60=$L$3:$L$18) * (K$44=$J$3:$J$18), 0)), "")</f>
        <v>0.21481589288313202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  <c r="AC60" s="5"/>
      <c r="AD60" s="5"/>
      <c r="AE60" s="5"/>
      <c r="BF60" t="s">
        <v>2</v>
      </c>
      <c r="BG60" t="s">
        <v>3</v>
      </c>
      <c r="BH60">
        <v>3</v>
      </c>
    </row>
    <row r="61" spans="1:60" x14ac:dyDescent="0.2">
      <c r="A61" t="s">
        <v>14</v>
      </c>
      <c r="B61" t="s">
        <v>45</v>
      </c>
      <c r="C61" t="s">
        <v>21</v>
      </c>
      <c r="D61">
        <v>1</v>
      </c>
      <c r="E61">
        <v>5</v>
      </c>
      <c r="F61">
        <v>1.1875E-2</v>
      </c>
      <c r="G61">
        <v>9.8460000000000006E-3</v>
      </c>
      <c r="H61" t="s">
        <v>22</v>
      </c>
      <c r="AC61" s="5"/>
      <c r="AD61" s="5"/>
      <c r="AE61" s="5"/>
      <c r="BF61" t="s">
        <v>39</v>
      </c>
      <c r="BG61" t="s">
        <v>3</v>
      </c>
      <c r="BH61">
        <v>3</v>
      </c>
    </row>
    <row r="62" spans="1:60" x14ac:dyDescent="0.2">
      <c r="A62" t="s">
        <v>14</v>
      </c>
      <c r="B62" t="s">
        <v>48</v>
      </c>
      <c r="C62" t="s">
        <v>21</v>
      </c>
      <c r="D62">
        <v>1</v>
      </c>
      <c r="E62">
        <v>5</v>
      </c>
      <c r="F62">
        <v>1.1764E-2</v>
      </c>
      <c r="G62">
        <v>8.8170000000000002E-3</v>
      </c>
      <c r="H62" t="s">
        <v>22</v>
      </c>
      <c r="J62" s="7" t="s">
        <v>107</v>
      </c>
      <c r="AC62" s="5"/>
      <c r="AD62" s="5"/>
      <c r="AE62" s="5"/>
      <c r="BF62" t="s">
        <v>39</v>
      </c>
      <c r="BG62" t="s">
        <v>3</v>
      </c>
      <c r="BH62">
        <v>3</v>
      </c>
    </row>
    <row r="63" spans="1:60" x14ac:dyDescent="0.2">
      <c r="A63" t="s">
        <v>14</v>
      </c>
      <c r="B63" t="s">
        <v>51</v>
      </c>
      <c r="C63" t="s">
        <v>21</v>
      </c>
      <c r="D63">
        <v>1</v>
      </c>
      <c r="E63">
        <v>5</v>
      </c>
      <c r="F63">
        <v>1.6160999999999998E-2</v>
      </c>
      <c r="G63">
        <v>6.352E-3</v>
      </c>
      <c r="H63" t="s">
        <v>22</v>
      </c>
      <c r="J63" t="s">
        <v>12</v>
      </c>
      <c r="K63" s="6" t="s">
        <v>23</v>
      </c>
      <c r="L63" s="6" t="s">
        <v>31</v>
      </c>
      <c r="M63" s="6" t="s">
        <v>27</v>
      </c>
      <c r="AC63" s="5"/>
      <c r="AD63" s="5"/>
      <c r="AE63" s="5"/>
      <c r="BF63" t="s">
        <v>39</v>
      </c>
      <c r="BG63" t="s">
        <v>3</v>
      </c>
      <c r="BH63">
        <v>3</v>
      </c>
    </row>
    <row r="64" spans="1:60" x14ac:dyDescent="0.2">
      <c r="A64" t="s">
        <v>14</v>
      </c>
      <c r="B64" t="s">
        <v>26</v>
      </c>
      <c r="C64" t="s">
        <v>21</v>
      </c>
      <c r="D64">
        <v>1</v>
      </c>
      <c r="E64">
        <v>5</v>
      </c>
      <c r="F64">
        <v>8.5100000000000002E-3</v>
      </c>
      <c r="G64">
        <v>7.4190000000000002E-3</v>
      </c>
      <c r="H64" t="s">
        <v>22</v>
      </c>
      <c r="J64" s="7" t="s">
        <v>29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0.90619536297985548</v>
      </c>
      <c r="AC64" s="5"/>
      <c r="AD64" s="5"/>
      <c r="AE64" s="5"/>
      <c r="BF64" t="s">
        <v>39</v>
      </c>
      <c r="BG64" t="s">
        <v>3</v>
      </c>
      <c r="BH64">
        <v>3</v>
      </c>
    </row>
    <row r="65" spans="1:60" x14ac:dyDescent="0.2">
      <c r="A65" t="s">
        <v>14</v>
      </c>
      <c r="B65" t="s">
        <v>30</v>
      </c>
      <c r="C65" t="s">
        <v>21</v>
      </c>
      <c r="D65">
        <v>1</v>
      </c>
      <c r="E65">
        <v>5</v>
      </c>
      <c r="F65">
        <v>6.8710000000000004E-3</v>
      </c>
      <c r="G65">
        <v>3.6359999999999999E-3</v>
      </c>
      <c r="H65" t="s">
        <v>22</v>
      </c>
      <c r="J65" s="6" t="s">
        <v>37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0.88340124003542964</v>
      </c>
      <c r="AC65" s="5"/>
      <c r="AD65" s="5"/>
      <c r="AE65" s="5"/>
      <c r="BF65" t="s">
        <v>39</v>
      </c>
      <c r="BG65" t="s">
        <v>3</v>
      </c>
      <c r="BH65">
        <v>3</v>
      </c>
    </row>
    <row r="66" spans="1:60" x14ac:dyDescent="0.2">
      <c r="A66" t="s">
        <v>14</v>
      </c>
      <c r="B66" t="s">
        <v>53</v>
      </c>
      <c r="C66" t="s">
        <v>21</v>
      </c>
      <c r="D66">
        <v>1</v>
      </c>
      <c r="E66">
        <v>5</v>
      </c>
      <c r="F66">
        <v>1.1426E-2</v>
      </c>
      <c r="G66">
        <v>5.4149999999999997E-3</v>
      </c>
      <c r="H66" t="s">
        <v>22</v>
      </c>
      <c r="J66" s="6" t="s">
        <v>42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0.80875754293671664</v>
      </c>
      <c r="AC66" s="5"/>
      <c r="AD66" s="5"/>
      <c r="AE66" s="5"/>
      <c r="BF66" t="s">
        <v>39</v>
      </c>
      <c r="BG66" t="s">
        <v>3</v>
      </c>
      <c r="BH66">
        <v>3</v>
      </c>
    </row>
    <row r="67" spans="1:60" x14ac:dyDescent="0.2">
      <c r="J67" s="6" t="s">
        <v>47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0.84589567892602424</v>
      </c>
      <c r="BF67" t="s">
        <v>39</v>
      </c>
      <c r="BG67" t="s">
        <v>3</v>
      </c>
      <c r="BH67">
        <v>3</v>
      </c>
    </row>
    <row r="68" spans="1:60" x14ac:dyDescent="0.2">
      <c r="J68" s="6" t="s">
        <v>52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0.76901181857558332</v>
      </c>
      <c r="BF68" t="s">
        <v>39</v>
      </c>
      <c r="BG68" t="s">
        <v>3</v>
      </c>
      <c r="BH68">
        <v>3</v>
      </c>
    </row>
    <row r="69" spans="1:60" x14ac:dyDescent="0.2">
      <c r="J69" s="7" t="s">
        <v>33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0.88488977955911829</v>
      </c>
      <c r="M69" t="str" cm="1">
        <f t="array" ref="M69">IFERROR(INDEX($S$3:$S$18, MATCH(1, ($J50=$L$3:$L$18) * (M$44=$J$3:$J$18), 0)), "")</f>
        <v/>
      </c>
      <c r="BF69" t="s">
        <v>39</v>
      </c>
      <c r="BG69" t="s">
        <v>3</v>
      </c>
      <c r="BH69">
        <v>3</v>
      </c>
    </row>
    <row r="70" spans="1:60" x14ac:dyDescent="0.2">
      <c r="J70" s="7" t="s">
        <v>35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0.96017947279865401</v>
      </c>
      <c r="M70" t="str" cm="1">
        <f t="array" ref="M70">IFERROR(INDEX($S$3:$S$18, MATCH(1, ($J51=$L$3:$L$18) * (M$44=$J$3:$J$18), 0)), "")</f>
        <v/>
      </c>
      <c r="BF70" t="s">
        <v>39</v>
      </c>
      <c r="BG70" t="s">
        <v>3</v>
      </c>
      <c r="BH70">
        <v>3</v>
      </c>
    </row>
    <row r="71" spans="1:60" x14ac:dyDescent="0.2">
      <c r="J71" s="6" t="s">
        <v>38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0.81615697366095097</v>
      </c>
      <c r="M71" t="str" cm="1">
        <f t="array" ref="M71">IFERROR(INDEX($S$3:$S$18, MATCH(1, ($J52=$L$3:$L$18) * (M$44=$J$3:$J$18), 0)), "")</f>
        <v/>
      </c>
      <c r="BF71" t="s">
        <v>41</v>
      </c>
      <c r="BG71" t="s">
        <v>3</v>
      </c>
      <c r="BH71">
        <v>3</v>
      </c>
    </row>
    <row r="72" spans="1:60" x14ac:dyDescent="0.2">
      <c r="J72" s="6" t="s">
        <v>56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0.72396289165062133</v>
      </c>
      <c r="M72" t="str" cm="1">
        <f t="array" ref="M72">IFERROR(INDEX($S$3:$S$18, MATCH(1, ($J53=$L$3:$L$18) * (M$44=$J$3:$J$18), 0)), "")</f>
        <v/>
      </c>
      <c r="BF72" t="s">
        <v>41</v>
      </c>
      <c r="BG72" t="s">
        <v>3</v>
      </c>
      <c r="BH72">
        <v>3</v>
      </c>
    </row>
    <row r="73" spans="1:60" x14ac:dyDescent="0.2">
      <c r="J73" s="6" t="s">
        <v>40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0.75568420169477291</v>
      </c>
      <c r="M73" t="str" cm="1">
        <f t="array" ref="M73">IFERROR(INDEX($S$3:$S$18, MATCH(1, ($J54=$L$3:$L$18) * (M$44=$J$3:$J$18), 0)), "")</f>
        <v/>
      </c>
      <c r="BF73" t="s">
        <v>41</v>
      </c>
      <c r="BG73" t="s">
        <v>3</v>
      </c>
      <c r="BH73">
        <v>3</v>
      </c>
    </row>
    <row r="74" spans="1:60" x14ac:dyDescent="0.2">
      <c r="J74" s="6" t="s">
        <v>44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0.61551190733146266</v>
      </c>
      <c r="M74" t="str" cm="1">
        <f t="array" ref="M74">IFERROR(INDEX($S$3:$S$18, MATCH(1, ($J55=$L$3:$L$18) * (M$44=$J$3:$J$18), 0)), "")</f>
        <v/>
      </c>
      <c r="BF74" t="s">
        <v>41</v>
      </c>
      <c r="BG74" t="s">
        <v>3</v>
      </c>
      <c r="BH74">
        <v>3</v>
      </c>
    </row>
    <row r="75" spans="1:60" x14ac:dyDescent="0.2">
      <c r="J75" s="6" t="s">
        <v>49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0.80421052631578938</v>
      </c>
      <c r="M75" t="str" cm="1">
        <f t="array" ref="M75">IFERROR(INDEX($S$3:$S$18, MATCH(1, ($J56=$L$3:$L$18) * (M$44=$J$3:$J$18), 0)), "")</f>
        <v/>
      </c>
      <c r="BF75" t="s">
        <v>41</v>
      </c>
      <c r="BG75" t="s">
        <v>3</v>
      </c>
      <c r="BH75">
        <v>3</v>
      </c>
    </row>
    <row r="76" spans="1:60" x14ac:dyDescent="0.2">
      <c r="J76" s="6" t="s">
        <v>50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0.83313498809928599</v>
      </c>
      <c r="M76" t="str" cm="1">
        <f t="array" ref="M76">IFERROR(INDEX($S$3:$S$18, MATCH(1, ($J57=$L$3:$L$18) * (M$44=$J$3:$J$18), 0)), "")</f>
        <v/>
      </c>
      <c r="BF76" t="s">
        <v>41</v>
      </c>
      <c r="BG76" t="s">
        <v>3</v>
      </c>
      <c r="BH76">
        <v>3</v>
      </c>
    </row>
    <row r="77" spans="1:60" x14ac:dyDescent="0.2">
      <c r="J77" s="7" t="s">
        <v>25</v>
      </c>
      <c r="K77" cm="1">
        <f t="array" ref="K77">IFERROR(INDEX($S$3:$S$18, MATCH(1, ($J58=$L$3:$L$18) * (K$44=$J$3:$J$18), 0)), "")</f>
        <v>0.69885027436634428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  <c r="BF77" t="s">
        <v>41</v>
      </c>
      <c r="BG77" t="s">
        <v>3</v>
      </c>
      <c r="BH77">
        <v>3</v>
      </c>
    </row>
    <row r="78" spans="1:60" x14ac:dyDescent="0.2">
      <c r="J78" s="7" t="s">
        <v>54</v>
      </c>
      <c r="K78" cm="1">
        <f t="array" ref="K78">IFERROR(INDEX($S$3:$S$18, MATCH(1, ($J59=$L$3:$L$18) * (K$44=$J$3:$J$18), 0)), "")</f>
        <v>1.0133960047003525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  <c r="BF78" t="s">
        <v>41</v>
      </c>
      <c r="BG78" t="s">
        <v>3</v>
      </c>
      <c r="BH78">
        <v>3</v>
      </c>
    </row>
    <row r="79" spans="1:60" x14ac:dyDescent="0.2">
      <c r="J79" s="7" t="s">
        <v>55</v>
      </c>
      <c r="K79" cm="1">
        <f t="array" ref="K79">IFERROR(INDEX($S$3:$S$18, MATCH(1, ($J60=$L$3:$L$18) * (K$44=$J$3:$J$18), 0)), "")</f>
        <v>0.72609518265172468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  <c r="BF79" t="s">
        <v>41</v>
      </c>
      <c r="BG79" t="s">
        <v>3</v>
      </c>
      <c r="BH79">
        <v>3</v>
      </c>
    </row>
    <row r="80" spans="1:60" x14ac:dyDescent="0.2">
      <c r="BF80" t="s">
        <v>41</v>
      </c>
      <c r="BG80" t="s">
        <v>3</v>
      </c>
      <c r="BH80">
        <v>3</v>
      </c>
    </row>
    <row r="81" spans="58:60" x14ac:dyDescent="0.2">
      <c r="BF81" t="s">
        <v>43</v>
      </c>
      <c r="BG81" t="s">
        <v>3</v>
      </c>
      <c r="BH81">
        <v>17</v>
      </c>
    </row>
    <row r="82" spans="58:60" x14ac:dyDescent="0.2">
      <c r="BF82" t="s">
        <v>43</v>
      </c>
      <c r="BG82" t="s">
        <v>3</v>
      </c>
      <c r="BH82">
        <v>17</v>
      </c>
    </row>
    <row r="83" spans="58:60" x14ac:dyDescent="0.2">
      <c r="BF83" t="s">
        <v>43</v>
      </c>
      <c r="BG83" t="s">
        <v>3</v>
      </c>
      <c r="BH83">
        <v>17</v>
      </c>
    </row>
    <row r="84" spans="58:60" x14ac:dyDescent="0.2">
      <c r="BF84" t="s">
        <v>43</v>
      </c>
      <c r="BG84" t="s">
        <v>3</v>
      </c>
      <c r="BH84">
        <v>17</v>
      </c>
    </row>
    <row r="85" spans="58:60" x14ac:dyDescent="0.2">
      <c r="BF85" t="s">
        <v>43</v>
      </c>
      <c r="BG85" t="s">
        <v>3</v>
      </c>
      <c r="BH85">
        <v>17</v>
      </c>
    </row>
    <row r="86" spans="58:60" x14ac:dyDescent="0.2">
      <c r="BF86" t="s">
        <v>43</v>
      </c>
      <c r="BG86" t="s">
        <v>3</v>
      </c>
      <c r="BH86">
        <v>17</v>
      </c>
    </row>
    <row r="87" spans="58:60" x14ac:dyDescent="0.2">
      <c r="BF87" t="s">
        <v>43</v>
      </c>
      <c r="BG87" t="s">
        <v>3</v>
      </c>
      <c r="BH87">
        <v>17</v>
      </c>
    </row>
    <row r="88" spans="58:60" x14ac:dyDescent="0.2">
      <c r="BF88" t="s">
        <v>43</v>
      </c>
      <c r="BG88" t="s">
        <v>3</v>
      </c>
      <c r="BH88">
        <v>17</v>
      </c>
    </row>
    <row r="89" spans="58:60" x14ac:dyDescent="0.2">
      <c r="BF89" t="s">
        <v>43</v>
      </c>
      <c r="BG89" t="s">
        <v>3</v>
      </c>
      <c r="BH89">
        <v>17</v>
      </c>
    </row>
    <row r="90" spans="58:60" x14ac:dyDescent="0.2">
      <c r="BF90" t="s">
        <v>43</v>
      </c>
      <c r="BG90" t="s">
        <v>3</v>
      </c>
      <c r="BH90">
        <v>17</v>
      </c>
    </row>
    <row r="91" spans="58:60" x14ac:dyDescent="0.2">
      <c r="BF91" t="s">
        <v>46</v>
      </c>
      <c r="BG91" t="s">
        <v>3</v>
      </c>
      <c r="BH91">
        <v>3</v>
      </c>
    </row>
    <row r="92" spans="58:60" x14ac:dyDescent="0.2">
      <c r="BF92" t="s">
        <v>46</v>
      </c>
      <c r="BG92" t="s">
        <v>3</v>
      </c>
      <c r="BH92">
        <v>3</v>
      </c>
    </row>
    <row r="93" spans="58:60" x14ac:dyDescent="0.2">
      <c r="BF93" t="s">
        <v>46</v>
      </c>
      <c r="BG93" t="s">
        <v>3</v>
      </c>
      <c r="BH93">
        <v>3</v>
      </c>
    </row>
    <row r="94" spans="58:60" x14ac:dyDescent="0.2">
      <c r="BF94" t="s">
        <v>46</v>
      </c>
      <c r="BG94" t="s">
        <v>3</v>
      </c>
      <c r="BH94">
        <v>3</v>
      </c>
    </row>
    <row r="95" spans="58:60" x14ac:dyDescent="0.2">
      <c r="BF95" t="s">
        <v>46</v>
      </c>
      <c r="BG95" t="s">
        <v>3</v>
      </c>
      <c r="BH95">
        <v>3</v>
      </c>
    </row>
    <row r="96" spans="58:60" x14ac:dyDescent="0.2">
      <c r="BF96" t="s">
        <v>46</v>
      </c>
      <c r="BG96" t="s">
        <v>3</v>
      </c>
      <c r="BH96">
        <v>3</v>
      </c>
    </row>
    <row r="97" spans="58:60" x14ac:dyDescent="0.2">
      <c r="BF97" t="s">
        <v>46</v>
      </c>
      <c r="BG97" t="s">
        <v>3</v>
      </c>
      <c r="BH97">
        <v>3</v>
      </c>
    </row>
    <row r="98" spans="58:60" x14ac:dyDescent="0.2">
      <c r="BF98" t="s">
        <v>46</v>
      </c>
      <c r="BG98" t="s">
        <v>3</v>
      </c>
      <c r="BH98">
        <v>3</v>
      </c>
    </row>
    <row r="99" spans="58:60" x14ac:dyDescent="0.2">
      <c r="BF99" t="s">
        <v>46</v>
      </c>
      <c r="BG99" t="s">
        <v>3</v>
      </c>
      <c r="BH99">
        <v>3</v>
      </c>
    </row>
    <row r="100" spans="58:60" x14ac:dyDescent="0.2">
      <c r="BF100" t="s">
        <v>46</v>
      </c>
      <c r="BG100" t="s">
        <v>3</v>
      </c>
      <c r="BH100">
        <v>3</v>
      </c>
    </row>
    <row r="101" spans="58:60" x14ac:dyDescent="0.2">
      <c r="BF101" t="s">
        <v>45</v>
      </c>
      <c r="BG101" t="s">
        <v>3</v>
      </c>
      <c r="BH101">
        <v>2</v>
      </c>
    </row>
    <row r="102" spans="58:60" x14ac:dyDescent="0.2">
      <c r="BF102" t="s">
        <v>45</v>
      </c>
      <c r="BG102" t="s">
        <v>3</v>
      </c>
      <c r="BH102">
        <v>2</v>
      </c>
    </row>
    <row r="103" spans="58:60" x14ac:dyDescent="0.2">
      <c r="BF103" t="s">
        <v>45</v>
      </c>
      <c r="BG103" t="s">
        <v>3</v>
      </c>
      <c r="BH103">
        <v>2</v>
      </c>
    </row>
    <row r="104" spans="58:60" x14ac:dyDescent="0.2">
      <c r="BF104" t="s">
        <v>45</v>
      </c>
      <c r="BG104" t="s">
        <v>3</v>
      </c>
      <c r="BH104">
        <v>2</v>
      </c>
    </row>
    <row r="105" spans="58:60" x14ac:dyDescent="0.2">
      <c r="BF105" t="s">
        <v>45</v>
      </c>
      <c r="BG105" t="s">
        <v>3</v>
      </c>
      <c r="BH105">
        <v>2</v>
      </c>
    </row>
    <row r="106" spans="58:60" x14ac:dyDescent="0.2">
      <c r="BF106" t="s">
        <v>45</v>
      </c>
      <c r="BG106" t="s">
        <v>3</v>
      </c>
      <c r="BH106">
        <v>2</v>
      </c>
    </row>
    <row r="107" spans="58:60" x14ac:dyDescent="0.2">
      <c r="BF107" t="s">
        <v>45</v>
      </c>
      <c r="BG107" t="s">
        <v>3</v>
      </c>
      <c r="BH107">
        <v>2</v>
      </c>
    </row>
    <row r="108" spans="58:60" x14ac:dyDescent="0.2">
      <c r="BF108" t="s">
        <v>45</v>
      </c>
      <c r="BG108" t="s">
        <v>3</v>
      </c>
      <c r="BH108">
        <v>2</v>
      </c>
    </row>
    <row r="109" spans="58:60" x14ac:dyDescent="0.2">
      <c r="BF109" t="s">
        <v>45</v>
      </c>
      <c r="BG109" t="s">
        <v>3</v>
      </c>
      <c r="BH109">
        <v>2</v>
      </c>
    </row>
    <row r="110" spans="58:60" x14ac:dyDescent="0.2">
      <c r="BF110" t="s">
        <v>45</v>
      </c>
      <c r="BG110" t="s">
        <v>3</v>
      </c>
      <c r="BH110">
        <v>2</v>
      </c>
    </row>
    <row r="111" spans="58:60" x14ac:dyDescent="0.2">
      <c r="BF111" t="s">
        <v>48</v>
      </c>
      <c r="BG111" t="s">
        <v>3</v>
      </c>
      <c r="BH111">
        <v>5</v>
      </c>
    </row>
    <row r="112" spans="58:60" x14ac:dyDescent="0.2">
      <c r="BF112" t="s">
        <v>48</v>
      </c>
      <c r="BG112" t="s">
        <v>3</v>
      </c>
      <c r="BH112">
        <v>5</v>
      </c>
    </row>
    <row r="113" spans="58:60" x14ac:dyDescent="0.2">
      <c r="BF113" t="s">
        <v>48</v>
      </c>
      <c r="BG113" t="s">
        <v>3</v>
      </c>
      <c r="BH113">
        <v>5</v>
      </c>
    </row>
    <row r="114" spans="58:60" x14ac:dyDescent="0.2">
      <c r="BF114" t="s">
        <v>48</v>
      </c>
      <c r="BG114" t="s">
        <v>3</v>
      </c>
      <c r="BH114">
        <v>5</v>
      </c>
    </row>
    <row r="115" spans="58:60" x14ac:dyDescent="0.2">
      <c r="BF115" t="s">
        <v>48</v>
      </c>
      <c r="BG115" t="s">
        <v>3</v>
      </c>
      <c r="BH115">
        <v>5</v>
      </c>
    </row>
    <row r="116" spans="58:60" x14ac:dyDescent="0.2">
      <c r="BF116" t="s">
        <v>48</v>
      </c>
      <c r="BG116" t="s">
        <v>3</v>
      </c>
      <c r="BH116">
        <v>5</v>
      </c>
    </row>
    <row r="117" spans="58:60" x14ac:dyDescent="0.2">
      <c r="BF117" t="s">
        <v>48</v>
      </c>
      <c r="BG117" t="s">
        <v>3</v>
      </c>
      <c r="BH117">
        <v>5</v>
      </c>
    </row>
    <row r="118" spans="58:60" x14ac:dyDescent="0.2">
      <c r="BF118" t="s">
        <v>48</v>
      </c>
      <c r="BG118" t="s">
        <v>3</v>
      </c>
      <c r="BH118">
        <v>5</v>
      </c>
    </row>
    <row r="119" spans="58:60" x14ac:dyDescent="0.2">
      <c r="BF119" t="s">
        <v>48</v>
      </c>
      <c r="BG119" t="s">
        <v>3</v>
      </c>
      <c r="BH119">
        <v>5</v>
      </c>
    </row>
    <row r="120" spans="58:60" x14ac:dyDescent="0.2">
      <c r="BF120" t="s">
        <v>48</v>
      </c>
      <c r="BG120" t="s">
        <v>3</v>
      </c>
      <c r="BH120">
        <v>5</v>
      </c>
    </row>
    <row r="121" spans="58:60" x14ac:dyDescent="0.2">
      <c r="BF121" t="s">
        <v>51</v>
      </c>
      <c r="BG121" t="s">
        <v>3</v>
      </c>
      <c r="BH121">
        <v>3</v>
      </c>
    </row>
    <row r="122" spans="58:60" x14ac:dyDescent="0.2">
      <c r="BF122" t="s">
        <v>51</v>
      </c>
      <c r="BG122" t="s">
        <v>3</v>
      </c>
      <c r="BH122">
        <v>3</v>
      </c>
    </row>
    <row r="123" spans="58:60" x14ac:dyDescent="0.2">
      <c r="BF123" t="s">
        <v>51</v>
      </c>
      <c r="BG123" t="s">
        <v>3</v>
      </c>
      <c r="BH123">
        <v>3</v>
      </c>
    </row>
    <row r="124" spans="58:60" x14ac:dyDescent="0.2">
      <c r="BF124" t="s">
        <v>51</v>
      </c>
      <c r="BG124" t="s">
        <v>3</v>
      </c>
      <c r="BH124">
        <v>3</v>
      </c>
    </row>
    <row r="125" spans="58:60" x14ac:dyDescent="0.2">
      <c r="BF125" t="s">
        <v>51</v>
      </c>
      <c r="BG125" t="s">
        <v>3</v>
      </c>
      <c r="BH125">
        <v>3</v>
      </c>
    </row>
    <row r="126" spans="58:60" x14ac:dyDescent="0.2">
      <c r="BF126" t="s">
        <v>51</v>
      </c>
      <c r="BG126" t="s">
        <v>3</v>
      </c>
      <c r="BH126">
        <v>3</v>
      </c>
    </row>
    <row r="127" spans="58:60" x14ac:dyDescent="0.2">
      <c r="BF127" t="s">
        <v>51</v>
      </c>
      <c r="BG127" t="s">
        <v>3</v>
      </c>
      <c r="BH127">
        <v>3</v>
      </c>
    </row>
    <row r="128" spans="58:60" x14ac:dyDescent="0.2">
      <c r="BF128" t="s">
        <v>51</v>
      </c>
      <c r="BG128" t="s">
        <v>3</v>
      </c>
      <c r="BH128">
        <v>3</v>
      </c>
    </row>
    <row r="129" spans="58:60" x14ac:dyDescent="0.2">
      <c r="BF129" t="s">
        <v>51</v>
      </c>
      <c r="BG129" t="s">
        <v>3</v>
      </c>
      <c r="BH129">
        <v>3</v>
      </c>
    </row>
    <row r="130" spans="58:60" x14ac:dyDescent="0.2">
      <c r="BF130" t="s">
        <v>51</v>
      </c>
      <c r="BG130" t="s">
        <v>3</v>
      </c>
      <c r="BH130">
        <v>3</v>
      </c>
    </row>
    <row r="131" spans="58:60" x14ac:dyDescent="0.2">
      <c r="BF131" t="s">
        <v>26</v>
      </c>
      <c r="BG131" t="s">
        <v>3</v>
      </c>
      <c r="BH131">
        <v>5</v>
      </c>
    </row>
    <row r="132" spans="58:60" x14ac:dyDescent="0.2">
      <c r="BF132" t="s">
        <v>26</v>
      </c>
      <c r="BG132" t="s">
        <v>3</v>
      </c>
      <c r="BH132">
        <v>5</v>
      </c>
    </row>
    <row r="133" spans="58:60" x14ac:dyDescent="0.2">
      <c r="BF133" t="s">
        <v>26</v>
      </c>
      <c r="BG133" t="s">
        <v>3</v>
      </c>
      <c r="BH133">
        <v>5</v>
      </c>
    </row>
    <row r="134" spans="58:60" x14ac:dyDescent="0.2">
      <c r="BF134" t="s">
        <v>26</v>
      </c>
      <c r="BG134" t="s">
        <v>3</v>
      </c>
      <c r="BH134">
        <v>5</v>
      </c>
    </row>
    <row r="135" spans="58:60" x14ac:dyDescent="0.2">
      <c r="BF135" t="s">
        <v>26</v>
      </c>
      <c r="BG135" t="s">
        <v>3</v>
      </c>
      <c r="BH135">
        <v>5</v>
      </c>
    </row>
    <row r="136" spans="58:60" x14ac:dyDescent="0.2">
      <c r="BF136" t="s">
        <v>26</v>
      </c>
      <c r="BG136" t="s">
        <v>3</v>
      </c>
      <c r="BH136">
        <v>5</v>
      </c>
    </row>
    <row r="137" spans="58:60" x14ac:dyDescent="0.2">
      <c r="BF137" t="s">
        <v>26</v>
      </c>
      <c r="BG137" t="s">
        <v>3</v>
      </c>
      <c r="BH137">
        <v>5</v>
      </c>
    </row>
    <row r="138" spans="58:60" x14ac:dyDescent="0.2">
      <c r="BF138" t="s">
        <v>26</v>
      </c>
      <c r="BG138" t="s">
        <v>3</v>
      </c>
      <c r="BH138">
        <v>5</v>
      </c>
    </row>
    <row r="139" spans="58:60" x14ac:dyDescent="0.2">
      <c r="BF139" t="s">
        <v>26</v>
      </c>
      <c r="BG139" t="s">
        <v>3</v>
      </c>
      <c r="BH139">
        <v>5</v>
      </c>
    </row>
    <row r="140" spans="58:60" x14ac:dyDescent="0.2">
      <c r="BF140" t="s">
        <v>26</v>
      </c>
      <c r="BG140" t="s">
        <v>3</v>
      </c>
      <c r="BH140">
        <v>5</v>
      </c>
    </row>
    <row r="141" spans="58:60" x14ac:dyDescent="0.2">
      <c r="BF141" t="s">
        <v>30</v>
      </c>
      <c r="BG141" t="s">
        <v>3</v>
      </c>
      <c r="BH141">
        <v>2</v>
      </c>
    </row>
    <row r="142" spans="58:60" x14ac:dyDescent="0.2">
      <c r="BF142" t="s">
        <v>30</v>
      </c>
      <c r="BG142" t="s">
        <v>3</v>
      </c>
      <c r="BH142">
        <v>2</v>
      </c>
    </row>
    <row r="143" spans="58:60" x14ac:dyDescent="0.2">
      <c r="BF143" t="s">
        <v>30</v>
      </c>
      <c r="BG143" t="s">
        <v>3</v>
      </c>
      <c r="BH143">
        <v>2</v>
      </c>
    </row>
    <row r="144" spans="58:60" x14ac:dyDescent="0.2">
      <c r="BF144" t="s">
        <v>30</v>
      </c>
      <c r="BG144" t="s">
        <v>3</v>
      </c>
      <c r="BH144">
        <v>2</v>
      </c>
    </row>
    <row r="145" spans="58:60" x14ac:dyDescent="0.2">
      <c r="BF145" t="s">
        <v>30</v>
      </c>
      <c r="BG145" t="s">
        <v>3</v>
      </c>
      <c r="BH145">
        <v>2</v>
      </c>
    </row>
    <row r="146" spans="58:60" x14ac:dyDescent="0.2">
      <c r="BF146" t="s">
        <v>30</v>
      </c>
      <c r="BG146" t="s">
        <v>3</v>
      </c>
      <c r="BH146">
        <v>2</v>
      </c>
    </row>
    <row r="147" spans="58:60" x14ac:dyDescent="0.2">
      <c r="BF147" t="s">
        <v>30</v>
      </c>
      <c r="BG147" t="s">
        <v>3</v>
      </c>
      <c r="BH147">
        <v>2</v>
      </c>
    </row>
    <row r="148" spans="58:60" x14ac:dyDescent="0.2">
      <c r="BF148" t="s">
        <v>30</v>
      </c>
      <c r="BG148" t="s">
        <v>3</v>
      </c>
      <c r="BH148">
        <v>2</v>
      </c>
    </row>
    <row r="149" spans="58:60" x14ac:dyDescent="0.2">
      <c r="BF149" t="s">
        <v>30</v>
      </c>
      <c r="BG149" t="s">
        <v>3</v>
      </c>
      <c r="BH149">
        <v>2</v>
      </c>
    </row>
    <row r="150" spans="58:60" x14ac:dyDescent="0.2">
      <c r="BF150" t="s">
        <v>30</v>
      </c>
      <c r="BG150" t="s">
        <v>3</v>
      </c>
      <c r="BH150">
        <v>2</v>
      </c>
    </row>
    <row r="151" spans="58:60" x14ac:dyDescent="0.2">
      <c r="BF151" t="s">
        <v>30</v>
      </c>
      <c r="BG151" t="s">
        <v>3</v>
      </c>
      <c r="BH151">
        <v>2</v>
      </c>
    </row>
    <row r="152" spans="58:60" x14ac:dyDescent="0.2">
      <c r="BF152" t="s">
        <v>53</v>
      </c>
      <c r="BG152" t="s">
        <v>3</v>
      </c>
      <c r="BH152">
        <v>7</v>
      </c>
    </row>
    <row r="153" spans="58:60" x14ac:dyDescent="0.2">
      <c r="BF153" t="s">
        <v>53</v>
      </c>
      <c r="BG153" t="s">
        <v>3</v>
      </c>
      <c r="BH153">
        <v>7</v>
      </c>
    </row>
    <row r="154" spans="58:60" x14ac:dyDescent="0.2">
      <c r="BF154" t="s">
        <v>53</v>
      </c>
      <c r="BG154" t="s">
        <v>3</v>
      </c>
      <c r="BH154">
        <v>7</v>
      </c>
    </row>
    <row r="155" spans="58:60" x14ac:dyDescent="0.2">
      <c r="BF155" t="s">
        <v>53</v>
      </c>
      <c r="BG155" t="s">
        <v>3</v>
      </c>
      <c r="BH155">
        <v>7</v>
      </c>
    </row>
    <row r="156" spans="58:60" x14ac:dyDescent="0.2">
      <c r="BF156" t="s">
        <v>53</v>
      </c>
      <c r="BG156" t="s">
        <v>3</v>
      </c>
      <c r="BH156">
        <v>7</v>
      </c>
    </row>
    <row r="157" spans="58:60" x14ac:dyDescent="0.2">
      <c r="BF157" t="s">
        <v>53</v>
      </c>
      <c r="BG157" t="s">
        <v>3</v>
      </c>
      <c r="BH157">
        <v>7</v>
      </c>
    </row>
    <row r="158" spans="58:60" x14ac:dyDescent="0.2">
      <c r="BF158" t="s">
        <v>53</v>
      </c>
      <c r="BG158" t="s">
        <v>3</v>
      </c>
      <c r="BH158">
        <v>7</v>
      </c>
    </row>
    <row r="159" spans="58:60" x14ac:dyDescent="0.2">
      <c r="BF159" t="s">
        <v>53</v>
      </c>
      <c r="BG159" t="s">
        <v>3</v>
      </c>
      <c r="BH159">
        <v>7</v>
      </c>
    </row>
    <row r="160" spans="58:60" x14ac:dyDescent="0.2">
      <c r="BF160" t="s">
        <v>53</v>
      </c>
      <c r="BG160" t="s">
        <v>3</v>
      </c>
      <c r="BH160">
        <v>7</v>
      </c>
    </row>
    <row r="161" spans="58:60" x14ac:dyDescent="0.2">
      <c r="BF161" t="s">
        <v>53</v>
      </c>
      <c r="BG161" t="s">
        <v>3</v>
      </c>
      <c r="BH161">
        <v>7</v>
      </c>
    </row>
    <row r="162" spans="58:60" x14ac:dyDescent="0.2">
      <c r="BF162" t="s">
        <v>24</v>
      </c>
      <c r="BG162" t="s">
        <v>20</v>
      </c>
      <c r="BH162">
        <v>3</v>
      </c>
    </row>
    <row r="163" spans="58:60" x14ac:dyDescent="0.2">
      <c r="BF163" t="s">
        <v>24</v>
      </c>
      <c r="BG163" t="s">
        <v>20</v>
      </c>
      <c r="BH163">
        <v>3</v>
      </c>
    </row>
    <row r="164" spans="58:60" x14ac:dyDescent="0.2">
      <c r="BF164" t="s">
        <v>24</v>
      </c>
      <c r="BG164" t="s">
        <v>20</v>
      </c>
      <c r="BH164">
        <v>3</v>
      </c>
    </row>
    <row r="165" spans="58:60" x14ac:dyDescent="0.2">
      <c r="BF165" t="s">
        <v>24</v>
      </c>
      <c r="BG165" t="s">
        <v>20</v>
      </c>
      <c r="BH165">
        <v>3</v>
      </c>
    </row>
    <row r="166" spans="58:60" x14ac:dyDescent="0.2">
      <c r="BF166" t="s">
        <v>24</v>
      </c>
      <c r="BG166" t="s">
        <v>20</v>
      </c>
      <c r="BH166">
        <v>3</v>
      </c>
    </row>
    <row r="167" spans="58:60" x14ac:dyDescent="0.2">
      <c r="BF167" t="s">
        <v>24</v>
      </c>
      <c r="BG167" t="s">
        <v>20</v>
      </c>
      <c r="BH167">
        <v>3</v>
      </c>
    </row>
    <row r="168" spans="58:60" x14ac:dyDescent="0.2">
      <c r="BF168" t="s">
        <v>24</v>
      </c>
      <c r="BG168" t="s">
        <v>20</v>
      </c>
      <c r="BH168">
        <v>3</v>
      </c>
    </row>
    <row r="169" spans="58:60" x14ac:dyDescent="0.2">
      <c r="BF169" t="s">
        <v>24</v>
      </c>
      <c r="BG169" t="s">
        <v>20</v>
      </c>
      <c r="BH169">
        <v>3</v>
      </c>
    </row>
    <row r="170" spans="58:60" x14ac:dyDescent="0.2">
      <c r="BF170" t="s">
        <v>24</v>
      </c>
      <c r="BG170" t="s">
        <v>20</v>
      </c>
      <c r="BH170">
        <v>3</v>
      </c>
    </row>
    <row r="171" spans="58:60" x14ac:dyDescent="0.2">
      <c r="BF171" t="s">
        <v>24</v>
      </c>
      <c r="BG171" t="s">
        <v>20</v>
      </c>
      <c r="BH171">
        <v>3</v>
      </c>
    </row>
    <row r="172" spans="58:60" x14ac:dyDescent="0.2">
      <c r="BF172" t="s">
        <v>28</v>
      </c>
      <c r="BG172" t="s">
        <v>20</v>
      </c>
      <c r="BH172">
        <v>3</v>
      </c>
    </row>
    <row r="173" spans="58:60" x14ac:dyDescent="0.2">
      <c r="BF173" t="s">
        <v>28</v>
      </c>
      <c r="BG173" t="s">
        <v>20</v>
      </c>
      <c r="BH173">
        <v>3</v>
      </c>
    </row>
    <row r="174" spans="58:60" x14ac:dyDescent="0.2">
      <c r="BF174" t="s">
        <v>28</v>
      </c>
      <c r="BG174" t="s">
        <v>20</v>
      </c>
      <c r="BH174">
        <v>3</v>
      </c>
    </row>
    <row r="175" spans="58:60" x14ac:dyDescent="0.2">
      <c r="BF175" t="s">
        <v>28</v>
      </c>
      <c r="BG175" t="s">
        <v>20</v>
      </c>
      <c r="BH175">
        <v>3</v>
      </c>
    </row>
    <row r="176" spans="58:60" x14ac:dyDescent="0.2">
      <c r="BF176" t="s">
        <v>28</v>
      </c>
      <c r="BG176" t="s">
        <v>20</v>
      </c>
      <c r="BH176">
        <v>3</v>
      </c>
    </row>
    <row r="177" spans="58:60" x14ac:dyDescent="0.2">
      <c r="BF177" t="s">
        <v>28</v>
      </c>
      <c r="BG177" t="s">
        <v>20</v>
      </c>
      <c r="BH177">
        <v>3</v>
      </c>
    </row>
    <row r="178" spans="58:60" x14ac:dyDescent="0.2">
      <c r="BF178" t="s">
        <v>28</v>
      </c>
      <c r="BG178" t="s">
        <v>20</v>
      </c>
      <c r="BH178">
        <v>3</v>
      </c>
    </row>
    <row r="179" spans="58:60" x14ac:dyDescent="0.2">
      <c r="BF179" t="s">
        <v>28</v>
      </c>
      <c r="BG179" t="s">
        <v>20</v>
      </c>
      <c r="BH179">
        <v>3</v>
      </c>
    </row>
    <row r="180" spans="58:60" x14ac:dyDescent="0.2">
      <c r="BF180" t="s">
        <v>28</v>
      </c>
      <c r="BG180" t="s">
        <v>20</v>
      </c>
      <c r="BH180">
        <v>3</v>
      </c>
    </row>
    <row r="181" spans="58:60" x14ac:dyDescent="0.2">
      <c r="BF181" t="s">
        <v>28</v>
      </c>
      <c r="BG181" t="s">
        <v>20</v>
      </c>
      <c r="BH181">
        <v>3</v>
      </c>
    </row>
    <row r="182" spans="58:60" x14ac:dyDescent="0.2">
      <c r="BF182" t="s">
        <v>32</v>
      </c>
      <c r="BG182" t="s">
        <v>20</v>
      </c>
      <c r="BH182">
        <v>3</v>
      </c>
    </row>
    <row r="183" spans="58:60" x14ac:dyDescent="0.2">
      <c r="BF183" t="s">
        <v>32</v>
      </c>
      <c r="BG183" t="s">
        <v>20</v>
      </c>
      <c r="BH183">
        <v>3</v>
      </c>
    </row>
    <row r="184" spans="58:60" x14ac:dyDescent="0.2">
      <c r="BF184" t="s">
        <v>32</v>
      </c>
      <c r="BG184" t="s">
        <v>20</v>
      </c>
      <c r="BH184">
        <v>3</v>
      </c>
    </row>
    <row r="185" spans="58:60" x14ac:dyDescent="0.2">
      <c r="BF185" t="s">
        <v>32</v>
      </c>
      <c r="BG185" t="s">
        <v>20</v>
      </c>
      <c r="BH185">
        <v>3</v>
      </c>
    </row>
    <row r="186" spans="58:60" x14ac:dyDescent="0.2">
      <c r="BF186" t="s">
        <v>32</v>
      </c>
      <c r="BG186" t="s">
        <v>20</v>
      </c>
      <c r="BH186">
        <v>3</v>
      </c>
    </row>
    <row r="187" spans="58:60" x14ac:dyDescent="0.2">
      <c r="BF187" t="s">
        <v>32</v>
      </c>
      <c r="BG187" t="s">
        <v>20</v>
      </c>
      <c r="BH187">
        <v>3</v>
      </c>
    </row>
    <row r="188" spans="58:60" x14ac:dyDescent="0.2">
      <c r="BF188" t="s">
        <v>32</v>
      </c>
      <c r="BG188" t="s">
        <v>20</v>
      </c>
      <c r="BH188">
        <v>3</v>
      </c>
    </row>
    <row r="189" spans="58:60" x14ac:dyDescent="0.2">
      <c r="BF189" t="s">
        <v>32</v>
      </c>
      <c r="BG189" t="s">
        <v>20</v>
      </c>
      <c r="BH189">
        <v>3</v>
      </c>
    </row>
    <row r="190" spans="58:60" x14ac:dyDescent="0.2">
      <c r="BF190" t="s">
        <v>32</v>
      </c>
      <c r="BG190" t="s">
        <v>20</v>
      </c>
      <c r="BH190">
        <v>3</v>
      </c>
    </row>
    <row r="191" spans="58:60" x14ac:dyDescent="0.2">
      <c r="BF191" t="s">
        <v>32</v>
      </c>
      <c r="BG191" t="s">
        <v>20</v>
      </c>
      <c r="BH191">
        <v>3</v>
      </c>
    </row>
    <row r="192" spans="58:60" x14ac:dyDescent="0.2">
      <c r="BF192" t="s">
        <v>34</v>
      </c>
      <c r="BG192" t="s">
        <v>20</v>
      </c>
      <c r="BH192">
        <v>2</v>
      </c>
    </row>
    <row r="193" spans="58:60" x14ac:dyDescent="0.2">
      <c r="BF193" t="s">
        <v>34</v>
      </c>
      <c r="BG193" t="s">
        <v>20</v>
      </c>
      <c r="BH193">
        <v>2</v>
      </c>
    </row>
    <row r="194" spans="58:60" x14ac:dyDescent="0.2">
      <c r="BF194" t="s">
        <v>34</v>
      </c>
      <c r="BG194" t="s">
        <v>20</v>
      </c>
      <c r="BH194">
        <v>2</v>
      </c>
    </row>
    <row r="195" spans="58:60" x14ac:dyDescent="0.2">
      <c r="BF195" t="s">
        <v>34</v>
      </c>
      <c r="BG195" t="s">
        <v>20</v>
      </c>
      <c r="BH195">
        <v>2</v>
      </c>
    </row>
    <row r="196" spans="58:60" x14ac:dyDescent="0.2">
      <c r="BF196" t="s">
        <v>34</v>
      </c>
      <c r="BG196" t="s">
        <v>20</v>
      </c>
      <c r="BH196">
        <v>2</v>
      </c>
    </row>
    <row r="197" spans="58:60" x14ac:dyDescent="0.2">
      <c r="BF197" t="s">
        <v>34</v>
      </c>
      <c r="BG197" t="s">
        <v>20</v>
      </c>
      <c r="BH197">
        <v>2</v>
      </c>
    </row>
    <row r="198" spans="58:60" x14ac:dyDescent="0.2">
      <c r="BF198" t="s">
        <v>34</v>
      </c>
      <c r="BG198" t="s">
        <v>20</v>
      </c>
      <c r="BH198">
        <v>2</v>
      </c>
    </row>
    <row r="199" spans="58:60" x14ac:dyDescent="0.2">
      <c r="BF199" t="s">
        <v>34</v>
      </c>
      <c r="BG199" t="s">
        <v>20</v>
      </c>
      <c r="BH199">
        <v>2</v>
      </c>
    </row>
    <row r="200" spans="58:60" x14ac:dyDescent="0.2">
      <c r="BF200" t="s">
        <v>34</v>
      </c>
      <c r="BG200" t="s">
        <v>20</v>
      </c>
      <c r="BH200">
        <v>2</v>
      </c>
    </row>
    <row r="201" spans="58:60" x14ac:dyDescent="0.2">
      <c r="BF201" t="s">
        <v>34</v>
      </c>
      <c r="BG201" t="s">
        <v>20</v>
      </c>
      <c r="BH201">
        <v>2</v>
      </c>
    </row>
    <row r="202" spans="58:60" x14ac:dyDescent="0.2">
      <c r="BF202" t="s">
        <v>36</v>
      </c>
      <c r="BG202" t="s">
        <v>20</v>
      </c>
      <c r="BH202">
        <v>9</v>
      </c>
    </row>
    <row r="203" spans="58:60" x14ac:dyDescent="0.2">
      <c r="BF203" t="s">
        <v>36</v>
      </c>
      <c r="BG203" t="s">
        <v>20</v>
      </c>
      <c r="BH203">
        <v>9</v>
      </c>
    </row>
    <row r="204" spans="58:60" x14ac:dyDescent="0.2">
      <c r="BF204" t="s">
        <v>36</v>
      </c>
      <c r="BG204" t="s">
        <v>20</v>
      </c>
      <c r="BH204">
        <v>9</v>
      </c>
    </row>
    <row r="205" spans="58:60" x14ac:dyDescent="0.2">
      <c r="BF205" t="s">
        <v>36</v>
      </c>
      <c r="BG205" t="s">
        <v>20</v>
      </c>
      <c r="BH205">
        <v>9</v>
      </c>
    </row>
    <row r="206" spans="58:60" x14ac:dyDescent="0.2">
      <c r="BF206" t="s">
        <v>36</v>
      </c>
      <c r="BG206" t="s">
        <v>20</v>
      </c>
      <c r="BH206">
        <v>9</v>
      </c>
    </row>
    <row r="207" spans="58:60" x14ac:dyDescent="0.2">
      <c r="BF207" t="s">
        <v>36</v>
      </c>
      <c r="BG207" t="s">
        <v>20</v>
      </c>
      <c r="BH207">
        <v>9</v>
      </c>
    </row>
    <row r="208" spans="58:60" x14ac:dyDescent="0.2">
      <c r="BF208" t="s">
        <v>36</v>
      </c>
      <c r="BG208" t="s">
        <v>20</v>
      </c>
      <c r="BH208">
        <v>9</v>
      </c>
    </row>
    <row r="209" spans="58:60" x14ac:dyDescent="0.2">
      <c r="BF209" t="s">
        <v>36</v>
      </c>
      <c r="BG209" t="s">
        <v>20</v>
      </c>
      <c r="BH209">
        <v>9</v>
      </c>
    </row>
    <row r="210" spans="58:60" x14ac:dyDescent="0.2">
      <c r="BF210" t="s">
        <v>36</v>
      </c>
      <c r="BG210" t="s">
        <v>20</v>
      </c>
      <c r="BH210">
        <v>9</v>
      </c>
    </row>
    <row r="211" spans="58:60" x14ac:dyDescent="0.2">
      <c r="BF211" t="s">
        <v>36</v>
      </c>
      <c r="BG211" t="s">
        <v>20</v>
      </c>
      <c r="BH211">
        <v>9</v>
      </c>
    </row>
    <row r="212" spans="58:60" x14ac:dyDescent="0.2">
      <c r="BF212" t="s">
        <v>2</v>
      </c>
      <c r="BG212" t="s">
        <v>20</v>
      </c>
      <c r="BH212">
        <v>3</v>
      </c>
    </row>
    <row r="213" spans="58:60" x14ac:dyDescent="0.2">
      <c r="BF213" t="s">
        <v>2</v>
      </c>
      <c r="BG213" t="s">
        <v>20</v>
      </c>
      <c r="BH213">
        <v>3</v>
      </c>
    </row>
    <row r="214" spans="58:60" x14ac:dyDescent="0.2">
      <c r="BF214" t="s">
        <v>2</v>
      </c>
      <c r="BG214" t="s">
        <v>20</v>
      </c>
      <c r="BH214">
        <v>3</v>
      </c>
    </row>
    <row r="215" spans="58:60" x14ac:dyDescent="0.2">
      <c r="BF215" t="s">
        <v>2</v>
      </c>
      <c r="BG215" t="s">
        <v>20</v>
      </c>
      <c r="BH215">
        <v>3</v>
      </c>
    </row>
    <row r="216" spans="58:60" x14ac:dyDescent="0.2">
      <c r="BF216" t="s">
        <v>2</v>
      </c>
      <c r="BG216" t="s">
        <v>20</v>
      </c>
      <c r="BH216">
        <v>3</v>
      </c>
    </row>
    <row r="217" spans="58:60" x14ac:dyDescent="0.2">
      <c r="BF217" t="s">
        <v>2</v>
      </c>
      <c r="BG217" t="s">
        <v>20</v>
      </c>
      <c r="BH217">
        <v>3</v>
      </c>
    </row>
    <row r="218" spans="58:60" x14ac:dyDescent="0.2">
      <c r="BF218" t="s">
        <v>2</v>
      </c>
      <c r="BG218" t="s">
        <v>20</v>
      </c>
      <c r="BH218">
        <v>3</v>
      </c>
    </row>
    <row r="219" spans="58:60" x14ac:dyDescent="0.2">
      <c r="BF219" t="s">
        <v>2</v>
      </c>
      <c r="BG219" t="s">
        <v>20</v>
      </c>
      <c r="BH219">
        <v>3</v>
      </c>
    </row>
    <row r="220" spans="58:60" x14ac:dyDescent="0.2">
      <c r="BF220" t="s">
        <v>2</v>
      </c>
      <c r="BG220" t="s">
        <v>20</v>
      </c>
      <c r="BH220">
        <v>3</v>
      </c>
    </row>
    <row r="221" spans="58:60" x14ac:dyDescent="0.2">
      <c r="BF221" t="s">
        <v>2</v>
      </c>
      <c r="BG221" t="s">
        <v>20</v>
      </c>
      <c r="BH221">
        <v>3</v>
      </c>
    </row>
    <row r="222" spans="58:60" x14ac:dyDescent="0.2">
      <c r="BF222" t="s">
        <v>39</v>
      </c>
      <c r="BG222" t="s">
        <v>20</v>
      </c>
      <c r="BH222">
        <v>5</v>
      </c>
    </row>
    <row r="223" spans="58:60" x14ac:dyDescent="0.2">
      <c r="BF223" t="s">
        <v>39</v>
      </c>
      <c r="BG223" t="s">
        <v>20</v>
      </c>
      <c r="BH223">
        <v>5</v>
      </c>
    </row>
    <row r="224" spans="58:60" x14ac:dyDescent="0.2">
      <c r="BF224" t="s">
        <v>39</v>
      </c>
      <c r="BG224" t="s">
        <v>20</v>
      </c>
      <c r="BH224">
        <v>5</v>
      </c>
    </row>
    <row r="225" spans="58:60" x14ac:dyDescent="0.2">
      <c r="BF225" t="s">
        <v>39</v>
      </c>
      <c r="BG225" t="s">
        <v>20</v>
      </c>
      <c r="BH225">
        <v>5</v>
      </c>
    </row>
    <row r="226" spans="58:60" x14ac:dyDescent="0.2">
      <c r="BF226" t="s">
        <v>39</v>
      </c>
      <c r="BG226" t="s">
        <v>20</v>
      </c>
      <c r="BH226">
        <v>5</v>
      </c>
    </row>
    <row r="227" spans="58:60" x14ac:dyDescent="0.2">
      <c r="BF227" t="s">
        <v>39</v>
      </c>
      <c r="BG227" t="s">
        <v>20</v>
      </c>
      <c r="BH227">
        <v>5</v>
      </c>
    </row>
    <row r="228" spans="58:60" x14ac:dyDescent="0.2">
      <c r="BF228" t="s">
        <v>39</v>
      </c>
      <c r="BG228" t="s">
        <v>20</v>
      </c>
      <c r="BH228">
        <v>5</v>
      </c>
    </row>
    <row r="229" spans="58:60" x14ac:dyDescent="0.2">
      <c r="BF229" t="s">
        <v>39</v>
      </c>
      <c r="BG229" t="s">
        <v>20</v>
      </c>
      <c r="BH229">
        <v>5</v>
      </c>
    </row>
    <row r="230" spans="58:60" x14ac:dyDescent="0.2">
      <c r="BF230" t="s">
        <v>39</v>
      </c>
      <c r="BG230" t="s">
        <v>20</v>
      </c>
      <c r="BH230">
        <v>5</v>
      </c>
    </row>
    <row r="231" spans="58:60" x14ac:dyDescent="0.2">
      <c r="BF231" t="s">
        <v>39</v>
      </c>
      <c r="BG231" t="s">
        <v>20</v>
      </c>
      <c r="BH231">
        <v>5</v>
      </c>
    </row>
    <row r="232" spans="58:60" x14ac:dyDescent="0.2">
      <c r="BF232" t="s">
        <v>41</v>
      </c>
      <c r="BG232" t="s">
        <v>20</v>
      </c>
      <c r="BH232">
        <v>3</v>
      </c>
    </row>
    <row r="233" spans="58:60" x14ac:dyDescent="0.2">
      <c r="BF233" t="s">
        <v>41</v>
      </c>
      <c r="BG233" t="s">
        <v>20</v>
      </c>
      <c r="BH233">
        <v>3</v>
      </c>
    </row>
    <row r="234" spans="58:60" x14ac:dyDescent="0.2">
      <c r="BF234" t="s">
        <v>41</v>
      </c>
      <c r="BG234" t="s">
        <v>20</v>
      </c>
      <c r="BH234">
        <v>3</v>
      </c>
    </row>
    <row r="235" spans="58:60" x14ac:dyDescent="0.2">
      <c r="BF235" t="s">
        <v>41</v>
      </c>
      <c r="BG235" t="s">
        <v>20</v>
      </c>
      <c r="BH235">
        <v>3</v>
      </c>
    </row>
    <row r="236" spans="58:60" x14ac:dyDescent="0.2">
      <c r="BF236" t="s">
        <v>41</v>
      </c>
      <c r="BG236" t="s">
        <v>20</v>
      </c>
      <c r="BH236">
        <v>3</v>
      </c>
    </row>
    <row r="237" spans="58:60" x14ac:dyDescent="0.2">
      <c r="BF237" t="s">
        <v>41</v>
      </c>
      <c r="BG237" t="s">
        <v>20</v>
      </c>
      <c r="BH237">
        <v>3</v>
      </c>
    </row>
    <row r="238" spans="58:60" x14ac:dyDescent="0.2">
      <c r="BF238" t="s">
        <v>41</v>
      </c>
      <c r="BG238" t="s">
        <v>20</v>
      </c>
      <c r="BH238">
        <v>3</v>
      </c>
    </row>
    <row r="239" spans="58:60" x14ac:dyDescent="0.2">
      <c r="BF239" t="s">
        <v>41</v>
      </c>
      <c r="BG239" t="s">
        <v>20</v>
      </c>
      <c r="BH239">
        <v>3</v>
      </c>
    </row>
    <row r="240" spans="58:60" x14ac:dyDescent="0.2">
      <c r="BF240" t="s">
        <v>41</v>
      </c>
      <c r="BG240" t="s">
        <v>20</v>
      </c>
      <c r="BH240">
        <v>3</v>
      </c>
    </row>
    <row r="241" spans="58:60" x14ac:dyDescent="0.2">
      <c r="BF241" t="s">
        <v>41</v>
      </c>
      <c r="BG241" t="s">
        <v>20</v>
      </c>
      <c r="BH241">
        <v>3</v>
      </c>
    </row>
    <row r="242" spans="58:60" x14ac:dyDescent="0.2">
      <c r="BF242" t="s">
        <v>43</v>
      </c>
      <c r="BG242" t="s">
        <v>20</v>
      </c>
      <c r="BH242">
        <v>17</v>
      </c>
    </row>
    <row r="243" spans="58:60" x14ac:dyDescent="0.2">
      <c r="BF243" t="s">
        <v>43</v>
      </c>
      <c r="BG243" t="s">
        <v>20</v>
      </c>
      <c r="BH243">
        <v>17</v>
      </c>
    </row>
    <row r="244" spans="58:60" x14ac:dyDescent="0.2">
      <c r="BF244" t="s">
        <v>43</v>
      </c>
      <c r="BG244" t="s">
        <v>20</v>
      </c>
      <c r="BH244">
        <v>17</v>
      </c>
    </row>
    <row r="245" spans="58:60" x14ac:dyDescent="0.2">
      <c r="BF245" t="s">
        <v>43</v>
      </c>
      <c r="BG245" t="s">
        <v>20</v>
      </c>
      <c r="BH245">
        <v>17</v>
      </c>
    </row>
    <row r="246" spans="58:60" x14ac:dyDescent="0.2">
      <c r="BF246" t="s">
        <v>43</v>
      </c>
      <c r="BG246" t="s">
        <v>20</v>
      </c>
      <c r="BH246">
        <v>17</v>
      </c>
    </row>
    <row r="247" spans="58:60" x14ac:dyDescent="0.2">
      <c r="BF247" t="s">
        <v>43</v>
      </c>
      <c r="BG247" t="s">
        <v>20</v>
      </c>
      <c r="BH247">
        <v>17</v>
      </c>
    </row>
    <row r="248" spans="58:60" x14ac:dyDescent="0.2">
      <c r="BF248" t="s">
        <v>43</v>
      </c>
      <c r="BG248" t="s">
        <v>20</v>
      </c>
      <c r="BH248">
        <v>17</v>
      </c>
    </row>
    <row r="249" spans="58:60" x14ac:dyDescent="0.2">
      <c r="BF249" t="s">
        <v>43</v>
      </c>
      <c r="BG249" t="s">
        <v>20</v>
      </c>
      <c r="BH249">
        <v>17</v>
      </c>
    </row>
    <row r="250" spans="58:60" x14ac:dyDescent="0.2">
      <c r="BF250" t="s">
        <v>43</v>
      </c>
      <c r="BG250" t="s">
        <v>20</v>
      </c>
      <c r="BH250">
        <v>17</v>
      </c>
    </row>
    <row r="251" spans="58:60" x14ac:dyDescent="0.2">
      <c r="BF251" t="s">
        <v>43</v>
      </c>
      <c r="BG251" t="s">
        <v>20</v>
      </c>
      <c r="BH251">
        <v>17</v>
      </c>
    </row>
    <row r="252" spans="58:60" x14ac:dyDescent="0.2">
      <c r="BF252" t="s">
        <v>46</v>
      </c>
      <c r="BG252" t="s">
        <v>20</v>
      </c>
      <c r="BH252">
        <v>3</v>
      </c>
    </row>
    <row r="253" spans="58:60" x14ac:dyDescent="0.2">
      <c r="BF253" t="s">
        <v>46</v>
      </c>
      <c r="BG253" t="s">
        <v>20</v>
      </c>
      <c r="BH253">
        <v>3</v>
      </c>
    </row>
    <row r="254" spans="58:60" x14ac:dyDescent="0.2">
      <c r="BF254" t="s">
        <v>46</v>
      </c>
      <c r="BG254" t="s">
        <v>20</v>
      </c>
      <c r="BH254">
        <v>3</v>
      </c>
    </row>
    <row r="255" spans="58:60" x14ac:dyDescent="0.2">
      <c r="BF255" t="s">
        <v>46</v>
      </c>
      <c r="BG255" t="s">
        <v>20</v>
      </c>
      <c r="BH255">
        <v>3</v>
      </c>
    </row>
    <row r="256" spans="58:60" x14ac:dyDescent="0.2">
      <c r="BF256" t="s">
        <v>46</v>
      </c>
      <c r="BG256" t="s">
        <v>20</v>
      </c>
      <c r="BH256">
        <v>3</v>
      </c>
    </row>
    <row r="257" spans="58:60" x14ac:dyDescent="0.2">
      <c r="BF257" t="s">
        <v>46</v>
      </c>
      <c r="BG257" t="s">
        <v>20</v>
      </c>
      <c r="BH257">
        <v>3</v>
      </c>
    </row>
    <row r="258" spans="58:60" x14ac:dyDescent="0.2">
      <c r="BF258" t="s">
        <v>46</v>
      </c>
      <c r="BG258" t="s">
        <v>20</v>
      </c>
      <c r="BH258">
        <v>3</v>
      </c>
    </row>
    <row r="259" spans="58:60" x14ac:dyDescent="0.2">
      <c r="BF259" t="s">
        <v>46</v>
      </c>
      <c r="BG259" t="s">
        <v>20</v>
      </c>
      <c r="BH259">
        <v>3</v>
      </c>
    </row>
    <row r="260" spans="58:60" x14ac:dyDescent="0.2">
      <c r="BF260" t="s">
        <v>46</v>
      </c>
      <c r="BG260" t="s">
        <v>20</v>
      </c>
      <c r="BH260">
        <v>3</v>
      </c>
    </row>
    <row r="261" spans="58:60" x14ac:dyDescent="0.2">
      <c r="BF261" t="s">
        <v>46</v>
      </c>
      <c r="BG261" t="s">
        <v>20</v>
      </c>
      <c r="BH261">
        <v>3</v>
      </c>
    </row>
    <row r="262" spans="58:60" x14ac:dyDescent="0.2">
      <c r="BF262" t="s">
        <v>45</v>
      </c>
      <c r="BG262" t="s">
        <v>20</v>
      </c>
      <c r="BH262">
        <v>2</v>
      </c>
    </row>
    <row r="263" spans="58:60" x14ac:dyDescent="0.2">
      <c r="BF263" t="s">
        <v>45</v>
      </c>
      <c r="BG263" t="s">
        <v>20</v>
      </c>
      <c r="BH263">
        <v>2</v>
      </c>
    </row>
    <row r="264" spans="58:60" x14ac:dyDescent="0.2">
      <c r="BF264" t="s">
        <v>45</v>
      </c>
      <c r="BG264" t="s">
        <v>20</v>
      </c>
      <c r="BH264">
        <v>2</v>
      </c>
    </row>
    <row r="265" spans="58:60" x14ac:dyDescent="0.2">
      <c r="BF265" t="s">
        <v>45</v>
      </c>
      <c r="BG265" t="s">
        <v>20</v>
      </c>
      <c r="BH265">
        <v>2</v>
      </c>
    </row>
    <row r="266" spans="58:60" x14ac:dyDescent="0.2">
      <c r="BF266" t="s">
        <v>45</v>
      </c>
      <c r="BG266" t="s">
        <v>20</v>
      </c>
      <c r="BH266">
        <v>2</v>
      </c>
    </row>
    <row r="267" spans="58:60" x14ac:dyDescent="0.2">
      <c r="BF267" t="s">
        <v>45</v>
      </c>
      <c r="BG267" t="s">
        <v>20</v>
      </c>
      <c r="BH267">
        <v>2</v>
      </c>
    </row>
    <row r="268" spans="58:60" x14ac:dyDescent="0.2">
      <c r="BF268" t="s">
        <v>45</v>
      </c>
      <c r="BG268" t="s">
        <v>20</v>
      </c>
      <c r="BH268">
        <v>2</v>
      </c>
    </row>
    <row r="269" spans="58:60" x14ac:dyDescent="0.2">
      <c r="BF269" t="s">
        <v>45</v>
      </c>
      <c r="BG269" t="s">
        <v>20</v>
      </c>
      <c r="BH269">
        <v>2</v>
      </c>
    </row>
    <row r="270" spans="58:60" x14ac:dyDescent="0.2">
      <c r="BF270" t="s">
        <v>45</v>
      </c>
      <c r="BG270" t="s">
        <v>20</v>
      </c>
      <c r="BH270">
        <v>2</v>
      </c>
    </row>
    <row r="271" spans="58:60" x14ac:dyDescent="0.2">
      <c r="BF271" t="s">
        <v>45</v>
      </c>
      <c r="BG271" t="s">
        <v>20</v>
      </c>
      <c r="BH271">
        <v>2</v>
      </c>
    </row>
    <row r="272" spans="58:60" x14ac:dyDescent="0.2">
      <c r="BF272" t="s">
        <v>48</v>
      </c>
      <c r="BG272" t="s">
        <v>20</v>
      </c>
      <c r="BH272">
        <v>5</v>
      </c>
    </row>
    <row r="273" spans="58:60" x14ac:dyDescent="0.2">
      <c r="BF273" t="s">
        <v>48</v>
      </c>
      <c r="BG273" t="s">
        <v>20</v>
      </c>
      <c r="BH273">
        <v>5</v>
      </c>
    </row>
    <row r="274" spans="58:60" x14ac:dyDescent="0.2">
      <c r="BF274" t="s">
        <v>48</v>
      </c>
      <c r="BG274" t="s">
        <v>20</v>
      </c>
      <c r="BH274">
        <v>5</v>
      </c>
    </row>
    <row r="275" spans="58:60" x14ac:dyDescent="0.2">
      <c r="BF275" t="s">
        <v>48</v>
      </c>
      <c r="BG275" t="s">
        <v>20</v>
      </c>
      <c r="BH275">
        <v>5</v>
      </c>
    </row>
    <row r="276" spans="58:60" x14ac:dyDescent="0.2">
      <c r="BF276" t="s">
        <v>48</v>
      </c>
      <c r="BG276" t="s">
        <v>20</v>
      </c>
      <c r="BH276">
        <v>5</v>
      </c>
    </row>
    <row r="277" spans="58:60" x14ac:dyDescent="0.2">
      <c r="BF277" t="s">
        <v>48</v>
      </c>
      <c r="BG277" t="s">
        <v>20</v>
      </c>
      <c r="BH277">
        <v>5</v>
      </c>
    </row>
    <row r="278" spans="58:60" x14ac:dyDescent="0.2">
      <c r="BF278" t="s">
        <v>48</v>
      </c>
      <c r="BG278" t="s">
        <v>20</v>
      </c>
      <c r="BH278">
        <v>5</v>
      </c>
    </row>
    <row r="279" spans="58:60" x14ac:dyDescent="0.2">
      <c r="BF279" t="s">
        <v>48</v>
      </c>
      <c r="BG279" t="s">
        <v>20</v>
      </c>
      <c r="BH279">
        <v>5</v>
      </c>
    </row>
    <row r="280" spans="58:60" x14ac:dyDescent="0.2">
      <c r="BF280" t="s">
        <v>48</v>
      </c>
      <c r="BG280" t="s">
        <v>20</v>
      </c>
      <c r="BH280">
        <v>5</v>
      </c>
    </row>
    <row r="281" spans="58:60" x14ac:dyDescent="0.2">
      <c r="BF281" t="s">
        <v>48</v>
      </c>
      <c r="BG281" t="s">
        <v>20</v>
      </c>
      <c r="BH281">
        <v>5</v>
      </c>
    </row>
    <row r="282" spans="58:60" x14ac:dyDescent="0.2">
      <c r="BF282" t="s">
        <v>51</v>
      </c>
      <c r="BG282" t="s">
        <v>20</v>
      </c>
      <c r="BH282">
        <v>3</v>
      </c>
    </row>
    <row r="283" spans="58:60" x14ac:dyDescent="0.2">
      <c r="BF283" t="s">
        <v>51</v>
      </c>
      <c r="BG283" t="s">
        <v>20</v>
      </c>
      <c r="BH283">
        <v>3</v>
      </c>
    </row>
    <row r="284" spans="58:60" x14ac:dyDescent="0.2">
      <c r="BF284" t="s">
        <v>51</v>
      </c>
      <c r="BG284" t="s">
        <v>20</v>
      </c>
      <c r="BH284">
        <v>3</v>
      </c>
    </row>
    <row r="285" spans="58:60" x14ac:dyDescent="0.2">
      <c r="BF285" t="s">
        <v>51</v>
      </c>
      <c r="BG285" t="s">
        <v>20</v>
      </c>
      <c r="BH285">
        <v>3</v>
      </c>
    </row>
    <row r="286" spans="58:60" x14ac:dyDescent="0.2">
      <c r="BF286" t="s">
        <v>51</v>
      </c>
      <c r="BG286" t="s">
        <v>20</v>
      </c>
      <c r="BH286">
        <v>3</v>
      </c>
    </row>
    <row r="287" spans="58:60" x14ac:dyDescent="0.2">
      <c r="BF287" t="s">
        <v>51</v>
      </c>
      <c r="BG287" t="s">
        <v>20</v>
      </c>
      <c r="BH287">
        <v>3</v>
      </c>
    </row>
    <row r="288" spans="58:60" x14ac:dyDescent="0.2">
      <c r="BF288" t="s">
        <v>51</v>
      </c>
      <c r="BG288" t="s">
        <v>20</v>
      </c>
      <c r="BH288">
        <v>3</v>
      </c>
    </row>
    <row r="289" spans="58:60" x14ac:dyDescent="0.2">
      <c r="BF289" t="s">
        <v>51</v>
      </c>
      <c r="BG289" t="s">
        <v>20</v>
      </c>
      <c r="BH289">
        <v>3</v>
      </c>
    </row>
    <row r="290" spans="58:60" x14ac:dyDescent="0.2">
      <c r="BF290" t="s">
        <v>51</v>
      </c>
      <c r="BG290" t="s">
        <v>20</v>
      </c>
      <c r="BH290">
        <v>3</v>
      </c>
    </row>
    <row r="291" spans="58:60" x14ac:dyDescent="0.2">
      <c r="BF291" t="s">
        <v>51</v>
      </c>
      <c r="BG291" t="s">
        <v>20</v>
      </c>
      <c r="BH291">
        <v>3</v>
      </c>
    </row>
    <row r="292" spans="58:60" x14ac:dyDescent="0.2">
      <c r="BF292" t="s">
        <v>26</v>
      </c>
      <c r="BG292" t="s">
        <v>20</v>
      </c>
      <c r="BH292">
        <v>5</v>
      </c>
    </row>
    <row r="293" spans="58:60" x14ac:dyDescent="0.2">
      <c r="BF293" t="s">
        <v>26</v>
      </c>
      <c r="BG293" t="s">
        <v>20</v>
      </c>
      <c r="BH293">
        <v>5</v>
      </c>
    </row>
    <row r="294" spans="58:60" x14ac:dyDescent="0.2">
      <c r="BF294" t="s">
        <v>26</v>
      </c>
      <c r="BG294" t="s">
        <v>20</v>
      </c>
      <c r="BH294">
        <v>5</v>
      </c>
    </row>
    <row r="295" spans="58:60" x14ac:dyDescent="0.2">
      <c r="BF295" t="s">
        <v>26</v>
      </c>
      <c r="BG295" t="s">
        <v>20</v>
      </c>
      <c r="BH295">
        <v>5</v>
      </c>
    </row>
    <row r="296" spans="58:60" x14ac:dyDescent="0.2">
      <c r="BF296" t="s">
        <v>26</v>
      </c>
      <c r="BG296" t="s">
        <v>20</v>
      </c>
      <c r="BH296">
        <v>5</v>
      </c>
    </row>
    <row r="297" spans="58:60" x14ac:dyDescent="0.2">
      <c r="BF297" t="s">
        <v>26</v>
      </c>
      <c r="BG297" t="s">
        <v>20</v>
      </c>
      <c r="BH297">
        <v>5</v>
      </c>
    </row>
    <row r="298" spans="58:60" x14ac:dyDescent="0.2">
      <c r="BF298" t="s">
        <v>26</v>
      </c>
      <c r="BG298" t="s">
        <v>20</v>
      </c>
      <c r="BH298">
        <v>5</v>
      </c>
    </row>
    <row r="299" spans="58:60" x14ac:dyDescent="0.2">
      <c r="BF299" t="s">
        <v>26</v>
      </c>
      <c r="BG299" t="s">
        <v>20</v>
      </c>
      <c r="BH299">
        <v>5</v>
      </c>
    </row>
    <row r="300" spans="58:60" x14ac:dyDescent="0.2">
      <c r="BF300" t="s">
        <v>26</v>
      </c>
      <c r="BG300" t="s">
        <v>20</v>
      </c>
      <c r="BH300">
        <v>5</v>
      </c>
    </row>
    <row r="301" spans="58:60" x14ac:dyDescent="0.2">
      <c r="BF301" t="s">
        <v>26</v>
      </c>
      <c r="BG301" t="s">
        <v>20</v>
      </c>
      <c r="BH301">
        <v>5</v>
      </c>
    </row>
    <row r="302" spans="58:60" x14ac:dyDescent="0.2">
      <c r="BF302" t="s">
        <v>30</v>
      </c>
      <c r="BG302" t="s">
        <v>20</v>
      </c>
      <c r="BH302">
        <v>2</v>
      </c>
    </row>
    <row r="303" spans="58:60" x14ac:dyDescent="0.2">
      <c r="BF303" t="s">
        <v>30</v>
      </c>
      <c r="BG303" t="s">
        <v>20</v>
      </c>
      <c r="BH303">
        <v>2</v>
      </c>
    </row>
    <row r="304" spans="58:60" x14ac:dyDescent="0.2">
      <c r="BF304" t="s">
        <v>30</v>
      </c>
      <c r="BG304" t="s">
        <v>20</v>
      </c>
      <c r="BH304">
        <v>2</v>
      </c>
    </row>
    <row r="305" spans="58:60" x14ac:dyDescent="0.2">
      <c r="BF305" t="s">
        <v>30</v>
      </c>
      <c r="BG305" t="s">
        <v>20</v>
      </c>
      <c r="BH305">
        <v>2</v>
      </c>
    </row>
    <row r="306" spans="58:60" x14ac:dyDescent="0.2">
      <c r="BF306" t="s">
        <v>30</v>
      </c>
      <c r="BG306" t="s">
        <v>20</v>
      </c>
      <c r="BH306">
        <v>2</v>
      </c>
    </row>
    <row r="307" spans="58:60" x14ac:dyDescent="0.2">
      <c r="BF307" t="s">
        <v>30</v>
      </c>
      <c r="BG307" t="s">
        <v>20</v>
      </c>
      <c r="BH307">
        <v>2</v>
      </c>
    </row>
    <row r="308" spans="58:60" x14ac:dyDescent="0.2">
      <c r="BF308" t="s">
        <v>30</v>
      </c>
      <c r="BG308" t="s">
        <v>20</v>
      </c>
      <c r="BH308">
        <v>2</v>
      </c>
    </row>
    <row r="309" spans="58:60" x14ac:dyDescent="0.2">
      <c r="BF309" t="s">
        <v>30</v>
      </c>
      <c r="BG309" t="s">
        <v>20</v>
      </c>
      <c r="BH309">
        <v>2</v>
      </c>
    </row>
    <row r="310" spans="58:60" x14ac:dyDescent="0.2">
      <c r="BF310" t="s">
        <v>30</v>
      </c>
      <c r="BG310" t="s">
        <v>20</v>
      </c>
      <c r="BH310">
        <v>2</v>
      </c>
    </row>
    <row r="311" spans="58:60" x14ac:dyDescent="0.2">
      <c r="BF311" t="s">
        <v>30</v>
      </c>
      <c r="BG311" t="s">
        <v>20</v>
      </c>
      <c r="BH311">
        <v>2</v>
      </c>
    </row>
    <row r="312" spans="58:60" x14ac:dyDescent="0.2">
      <c r="BF312" t="s">
        <v>53</v>
      </c>
      <c r="BG312" t="s">
        <v>20</v>
      </c>
      <c r="BH312">
        <v>7</v>
      </c>
    </row>
    <row r="313" spans="58:60" x14ac:dyDescent="0.2">
      <c r="BF313" t="s">
        <v>53</v>
      </c>
      <c r="BG313" t="s">
        <v>20</v>
      </c>
      <c r="BH313">
        <v>7</v>
      </c>
    </row>
    <row r="314" spans="58:60" x14ac:dyDescent="0.2">
      <c r="BF314" t="s">
        <v>53</v>
      </c>
      <c r="BG314" t="s">
        <v>20</v>
      </c>
      <c r="BH314">
        <v>7</v>
      </c>
    </row>
    <row r="315" spans="58:60" x14ac:dyDescent="0.2">
      <c r="BF315" t="s">
        <v>53</v>
      </c>
      <c r="BG315" t="s">
        <v>20</v>
      </c>
      <c r="BH315">
        <v>7</v>
      </c>
    </row>
    <row r="316" spans="58:60" x14ac:dyDescent="0.2">
      <c r="BF316" t="s">
        <v>53</v>
      </c>
      <c r="BG316" t="s">
        <v>20</v>
      </c>
      <c r="BH316">
        <v>7</v>
      </c>
    </row>
    <row r="317" spans="58:60" x14ac:dyDescent="0.2">
      <c r="BF317" t="s">
        <v>53</v>
      </c>
      <c r="BG317" t="s">
        <v>20</v>
      </c>
      <c r="BH317">
        <v>7</v>
      </c>
    </row>
    <row r="318" spans="58:60" x14ac:dyDescent="0.2">
      <c r="BF318" t="s">
        <v>53</v>
      </c>
      <c r="BG318" t="s">
        <v>20</v>
      </c>
      <c r="BH318">
        <v>7</v>
      </c>
    </row>
    <row r="319" spans="58:60" x14ac:dyDescent="0.2">
      <c r="BF319" t="s">
        <v>53</v>
      </c>
      <c r="BG319" t="s">
        <v>20</v>
      </c>
      <c r="BH319">
        <v>7</v>
      </c>
    </row>
    <row r="320" spans="58:60" x14ac:dyDescent="0.2">
      <c r="BF320" t="s">
        <v>53</v>
      </c>
      <c r="BG320" t="s">
        <v>20</v>
      </c>
      <c r="BH320">
        <v>7</v>
      </c>
    </row>
    <row r="321" spans="58:60" x14ac:dyDescent="0.2">
      <c r="BF321" t="s">
        <v>53</v>
      </c>
      <c r="BG321" t="s">
        <v>20</v>
      </c>
      <c r="BH321">
        <v>7</v>
      </c>
    </row>
  </sheetData>
  <conditionalFormatting sqref="M3:O18">
    <cfRule type="containsErrors" dxfId="26" priority="7">
      <formula>ISERROR(M3)</formula>
    </cfRule>
  </conditionalFormatting>
  <conditionalFormatting sqref="P26:V41">
    <cfRule type="containsErrors" dxfId="25" priority="6">
      <formula>ISERROR(P26)</formula>
    </cfRule>
  </conditionalFormatting>
  <conditionalFormatting sqref="Q3:Q18">
    <cfRule type="expression" dxfId="24" priority="8">
      <formula>NOT($T$26:$T$41)</formula>
    </cfRule>
  </conditionalFormatting>
  <conditionalFormatting sqref="T26:V41">
    <cfRule type="cellIs" dxfId="23" priority="4" operator="equal">
      <formula>FALSE</formula>
    </cfRule>
  </conditionalFormatting>
  <conditionalFormatting sqref="V3 U3:U18 U4:V18">
    <cfRule type="expression" dxfId="22" priority="3">
      <formula>NOT($T$26:$T$41)</formula>
    </cfRule>
  </conditionalFormatting>
  <conditionalFormatting sqref="X26:Z41">
    <cfRule type="cellIs" dxfId="21" priority="1" operator="equal">
      <formula>FALSE</formula>
    </cfRule>
    <cfRule type="containsErrors" dxfId="20" priority="2">
      <formula>ISERROR(X26)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11DA-AED9-4149-AEDF-76FDCC174B7F}">
  <dimension ref="A1:BD231"/>
  <sheetViews>
    <sheetView topLeftCell="K1" zoomScale="67" workbookViewId="0">
      <selection activeCell="Q53" sqref="Q53"/>
    </sheetView>
  </sheetViews>
  <sheetFormatPr baseColWidth="10" defaultRowHeight="16" x14ac:dyDescent="0.2"/>
  <cols>
    <col min="1" max="1" width="10.5" bestFit="1" customWidth="1"/>
    <col min="2" max="2" width="12.5" bestFit="1" customWidth="1"/>
    <col min="3" max="3" width="7.5" bestFit="1" customWidth="1"/>
    <col min="4" max="4" width="8" bestFit="1" customWidth="1"/>
    <col min="5" max="5" width="5.83203125" bestFit="1" customWidth="1"/>
    <col min="6" max="6" width="17" bestFit="1" customWidth="1"/>
    <col min="7" max="7" width="11.1640625" bestFit="1" customWidth="1"/>
    <col min="8" max="8" width="4.6640625" bestFit="1" customWidth="1"/>
    <col min="11" max="11" width="40" bestFit="1" customWidth="1"/>
    <col min="12" max="12" width="14.83203125" customWidth="1"/>
    <col min="13" max="13" width="10.1640625" customWidth="1"/>
    <col min="14" max="15" width="32" bestFit="1" customWidth="1"/>
    <col min="16" max="16" width="32" customWidth="1"/>
    <col min="17" max="17" width="21.1640625" customWidth="1"/>
    <col min="18" max="18" width="16.83203125" customWidth="1"/>
    <col min="19" max="19" width="24.83203125" customWidth="1"/>
    <col min="20" max="20" width="30.6640625" customWidth="1"/>
    <col min="21" max="21" width="14.33203125" bestFit="1" customWidth="1"/>
    <col min="22" max="22" width="17.1640625" bestFit="1" customWidth="1"/>
    <col min="23" max="23" width="8.1640625" bestFit="1" customWidth="1"/>
    <col min="24" max="24" width="12.33203125" bestFit="1" customWidth="1"/>
    <col min="26" max="26" width="10" customWidth="1"/>
    <col min="27" max="27" width="10.83203125" customWidth="1"/>
    <col min="28" max="28" width="4.6640625" bestFit="1" customWidth="1"/>
    <col min="29" max="29" width="10.5" bestFit="1" customWidth="1"/>
    <col min="30" max="30" width="15" bestFit="1" customWidth="1"/>
    <col min="31" max="31" width="7.5" bestFit="1" customWidth="1"/>
    <col min="32" max="32" width="8.1640625" bestFit="1" customWidth="1"/>
    <col min="33" max="33" width="5.83203125" bestFit="1" customWidth="1"/>
    <col min="34" max="34" width="15.33203125" customWidth="1"/>
    <col min="35" max="35" width="9.33203125" hidden="1" customWidth="1"/>
    <col min="36" max="36" width="5" hidden="1" customWidth="1"/>
    <col min="37" max="37" width="4.83203125" hidden="1" customWidth="1"/>
    <col min="38" max="38" width="10.33203125" hidden="1" customWidth="1"/>
    <col min="39" max="39" width="0.1640625" hidden="1" customWidth="1"/>
    <col min="40" max="40" width="19.1640625" customWidth="1"/>
    <col min="41" max="41" width="11.33203125" bestFit="1" customWidth="1"/>
    <col min="42" max="42" width="17.5" bestFit="1" customWidth="1"/>
    <col min="43" max="43" width="16" bestFit="1" customWidth="1"/>
    <col min="44" max="44" width="8.1640625" bestFit="1" customWidth="1"/>
    <col min="45" max="45" width="12.5" bestFit="1" customWidth="1"/>
    <col min="46" max="46" width="12.33203125" bestFit="1" customWidth="1"/>
    <col min="47" max="47" width="14" bestFit="1" customWidth="1"/>
    <col min="48" max="48" width="12.33203125" bestFit="1" customWidth="1"/>
    <col min="49" max="49" width="10.5" bestFit="1" customWidth="1"/>
    <col min="50" max="50" width="17.83203125" bestFit="1" customWidth="1"/>
    <col min="51" max="51" width="7.5" bestFit="1" customWidth="1"/>
    <col min="52" max="52" width="8.1640625" bestFit="1" customWidth="1"/>
    <col min="53" max="53" width="5.83203125" bestFit="1" customWidth="1"/>
    <col min="54" max="54" width="12.5" bestFit="1" customWidth="1"/>
    <col min="55" max="55" width="10.1640625" bestFit="1" customWidth="1"/>
    <col min="56" max="56" width="3.1640625" bestFit="1" customWidth="1"/>
    <col min="57" max="57" width="9" bestFit="1" customWidth="1"/>
    <col min="58" max="61" width="12.33203125" bestFit="1" customWidth="1"/>
  </cols>
  <sheetData>
    <row r="1" spans="1:56" x14ac:dyDescent="0.2">
      <c r="Q1" s="25" t="s">
        <v>116</v>
      </c>
      <c r="T1" s="25" t="s">
        <v>117</v>
      </c>
      <c r="AC1" s="17"/>
      <c r="AD1" t="s">
        <v>59</v>
      </c>
      <c r="AE1" t="s">
        <v>1</v>
      </c>
      <c r="AG1" s="17"/>
      <c r="AH1" s="20" t="s">
        <v>106</v>
      </c>
      <c r="AI1" s="20" t="s">
        <v>1</v>
      </c>
      <c r="AK1" s="17"/>
      <c r="AL1" s="17"/>
      <c r="AM1" s="17"/>
      <c r="AN1" s="17"/>
      <c r="BB1" t="s">
        <v>4</v>
      </c>
      <c r="BC1" t="s">
        <v>5</v>
      </c>
      <c r="BD1" t="s">
        <v>63</v>
      </c>
    </row>
    <row r="2" spans="1:56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107</v>
      </c>
      <c r="Q2" s="1" t="s">
        <v>17</v>
      </c>
      <c r="R2" s="1" t="s">
        <v>18</v>
      </c>
      <c r="S2" s="1" t="s">
        <v>109</v>
      </c>
      <c r="U2" s="1" t="s">
        <v>17</v>
      </c>
      <c r="V2" s="1" t="s">
        <v>18</v>
      </c>
      <c r="W2" s="1" t="s">
        <v>115</v>
      </c>
      <c r="AC2" s="17"/>
      <c r="AD2" t="s">
        <v>19</v>
      </c>
      <c r="AE2" t="s">
        <v>3</v>
      </c>
      <c r="AF2" t="s">
        <v>20</v>
      </c>
      <c r="AG2" s="17"/>
      <c r="AH2" s="20" t="s">
        <v>19</v>
      </c>
      <c r="AI2" t="s">
        <v>3</v>
      </c>
      <c r="AJ2" t="s">
        <v>20</v>
      </c>
      <c r="AK2" s="17"/>
      <c r="AL2" s="17"/>
      <c r="AM2" s="17"/>
      <c r="AN2" s="17"/>
      <c r="BB2" t="s">
        <v>24</v>
      </c>
      <c r="BC2" t="s">
        <v>3</v>
      </c>
      <c r="BD2">
        <v>15</v>
      </c>
    </row>
    <row r="3" spans="1:56" x14ac:dyDescent="0.2">
      <c r="A3" t="s">
        <v>16</v>
      </c>
      <c r="B3" t="s">
        <v>24</v>
      </c>
      <c r="C3" t="s">
        <v>21</v>
      </c>
      <c r="D3">
        <v>1</v>
      </c>
      <c r="E3">
        <v>5</v>
      </c>
      <c r="F3">
        <v>3.7118329999999999</v>
      </c>
      <c r="G3">
        <v>0.24960199999999999</v>
      </c>
      <c r="H3" t="s">
        <v>22</v>
      </c>
      <c r="J3" s="3" t="s">
        <v>23</v>
      </c>
      <c r="K3" s="3" t="s">
        <v>24</v>
      </c>
      <c r="L3" s="3" t="s">
        <v>25</v>
      </c>
      <c r="M3" s="4" cm="1">
        <f t="array" ref="M3">INDEX($F$1:$F$100, MATCH(1, (A$1:A$100=M$2)*(B$1:B$100=$K3), 0))</f>
        <v>0.20930399999999999</v>
      </c>
      <c r="N3" s="4" cm="1">
        <f t="array" ref="N3">INDEX($F$1:$F$100, MATCH(1, (A$1:A$100=N$2)*(B$1:B$100=$K3), 0))</f>
        <v>0.42259600000000003</v>
      </c>
      <c r="O3" s="4" cm="1">
        <f t="array" ref="O3">INDEX($F$1:$F$100, MATCH(1, (A$1:A$100=O$2)*(B$1:B$100=$K3), 0))</f>
        <v>3.7118329999999999</v>
      </c>
      <c r="P3" s="4" cm="1">
        <f t="array" ref="P3">INDEX($F$1:$F$100, MATCH(1, (A$1:A$100=P$2)*(B$1:B$100=$K3), 0))</f>
        <v>0.213615</v>
      </c>
      <c r="Q3" s="4">
        <f>IF(ISNA($N3), "DNF", $N3/$M3)</f>
        <v>2.0190536253487754</v>
      </c>
      <c r="R3" s="4">
        <f>IF(ISNA(O3), "DNF", O3/$M3)</f>
        <v>17.734171348851433</v>
      </c>
      <c r="S3">
        <f>IF(ISNA($P3), "DNF", $P3/$M3)</f>
        <v>1.0205968352253183</v>
      </c>
      <c r="U3" s="4">
        <f>IF(ISNA($N3), "DNF", $N3/$P3)</f>
        <v>1.9783067668468977</v>
      </c>
      <c r="V3" s="4">
        <f>IF(ISNA($O3), "DNF", $O3/$P3)</f>
        <v>17.376275074315942</v>
      </c>
      <c r="W3">
        <f>IF(ISNA($M3), "DNF", $M3/$P3)</f>
        <v>0.97981883294712446</v>
      </c>
      <c r="AC3" s="17"/>
      <c r="AD3" s="5" t="s">
        <v>24</v>
      </c>
      <c r="AE3">
        <v>15</v>
      </c>
      <c r="AF3">
        <v>15</v>
      </c>
      <c r="AG3" s="17"/>
      <c r="AH3" s="5" t="s">
        <v>24</v>
      </c>
      <c r="AI3">
        <v>0</v>
      </c>
      <c r="AJ3">
        <v>0</v>
      </c>
      <c r="AK3" s="17"/>
      <c r="AL3" s="17"/>
      <c r="AM3" s="17"/>
      <c r="AN3" s="17"/>
      <c r="BB3" t="s">
        <v>24</v>
      </c>
      <c r="BC3" t="s">
        <v>3</v>
      </c>
      <c r="BD3">
        <v>15</v>
      </c>
    </row>
    <row r="4" spans="1:56" x14ac:dyDescent="0.2">
      <c r="A4" t="s">
        <v>16</v>
      </c>
      <c r="B4" t="s">
        <v>28</v>
      </c>
      <c r="C4" t="s">
        <v>21</v>
      </c>
      <c r="D4">
        <v>1</v>
      </c>
      <c r="E4">
        <v>5</v>
      </c>
      <c r="F4">
        <v>4.8585609999999999</v>
      </c>
      <c r="G4">
        <v>0.110946</v>
      </c>
      <c r="H4" t="s">
        <v>22</v>
      </c>
      <c r="J4" s="3" t="s">
        <v>27</v>
      </c>
      <c r="K4" s="3" t="s">
        <v>28</v>
      </c>
      <c r="L4" s="3" t="s">
        <v>29</v>
      </c>
      <c r="M4" s="4" cm="1">
        <f t="array" ref="M4">INDEX($F$1:$F$100, MATCH(1, (A$1:A$100=M$2)*(B$1:B$100=$K4), 0))</f>
        <v>2.0128E-2</v>
      </c>
      <c r="N4" s="4" cm="1">
        <f t="array" ref="N4">INDEX($F$1:$F$100, MATCH(1, (A$1:A$100=N$2)*(B$1:B$100=$K4), 0))</f>
        <v>8.6501999999999996E-2</v>
      </c>
      <c r="O4" s="4" cm="1">
        <f t="array" ref="O4">INDEX($F$1:$F$100, MATCH(1, (A$1:A$100=O$2)*(B$1:B$100=$K4), 0))</f>
        <v>4.8585609999999999</v>
      </c>
      <c r="P4" s="4" cm="1">
        <f t="array" ref="P4">INDEX($F$1:$F$100, MATCH(1, (A$1:A$100=P$2)*(B$1:B$100=$K4), 0))</f>
        <v>1.6421000000000002E-2</v>
      </c>
      <c r="Q4" s="4">
        <f t="shared" ref="Q4:Q18" si="0">IF(ISNA($N4), "DNF", $N4/$M4)</f>
        <v>4.2975953895071539</v>
      </c>
      <c r="R4" s="4">
        <f>IF(ISNA(O4), "DNF", O4/$M4)</f>
        <v>241.38319753577105</v>
      </c>
      <c r="S4">
        <f t="shared" ref="S4:S18" si="1">IF(ISNA($P4), "DNF", $P4/$M4)</f>
        <v>0.81582869634340227</v>
      </c>
      <c r="U4" s="4">
        <f t="shared" ref="U4:U17" si="2">IF(ISNA($N4), "DNF", $N4/$P4)</f>
        <v>5.2677668838682168</v>
      </c>
      <c r="V4" s="4">
        <f t="shared" ref="V4:V18" si="3">IF(ISNA($O4), "DNF", $O4/$P4)</f>
        <v>295.87485536812613</v>
      </c>
      <c r="W4">
        <f t="shared" ref="W4:W16" si="4">IF(ISNA($M4), "DNF", $M4/$P4)</f>
        <v>1.2257475184215334</v>
      </c>
      <c r="AC4" s="17"/>
      <c r="AD4" s="5" t="s">
        <v>28</v>
      </c>
      <c r="AE4">
        <v>9</v>
      </c>
      <c r="AF4">
        <v>9</v>
      </c>
      <c r="AG4" s="17"/>
      <c r="AH4" s="5" t="s">
        <v>28</v>
      </c>
      <c r="AI4">
        <v>0</v>
      </c>
      <c r="AJ4">
        <v>0</v>
      </c>
      <c r="AK4" s="17"/>
      <c r="AL4" s="17"/>
      <c r="AM4" s="17"/>
      <c r="AN4" s="17"/>
      <c r="BB4" t="s">
        <v>24</v>
      </c>
      <c r="BC4" t="s">
        <v>3</v>
      </c>
      <c r="BD4">
        <v>15</v>
      </c>
    </row>
    <row r="5" spans="1:56" x14ac:dyDescent="0.2">
      <c r="A5" t="s">
        <v>16</v>
      </c>
      <c r="B5" t="s">
        <v>32</v>
      </c>
      <c r="C5" t="s">
        <v>21</v>
      </c>
      <c r="D5">
        <v>1</v>
      </c>
      <c r="E5">
        <v>5</v>
      </c>
      <c r="F5">
        <v>33.197488999999997</v>
      </c>
      <c r="G5">
        <v>2.1538149999999998</v>
      </c>
      <c r="H5" t="s">
        <v>22</v>
      </c>
      <c r="J5" s="3" t="s">
        <v>31</v>
      </c>
      <c r="K5" s="3" t="s">
        <v>32</v>
      </c>
      <c r="L5" s="3" t="s">
        <v>33</v>
      </c>
      <c r="M5" s="4" cm="1">
        <f t="array" ref="M5">INDEX($F$1:$F$100, MATCH(1, (A$1:A$100=M$2)*(B$1:B$100=$K5), 0))</f>
        <v>4.7767999999999998E-2</v>
      </c>
      <c r="N5" s="4" cm="1">
        <f t="array" ref="N5">INDEX($F$1:$F$100, MATCH(1, (A$1:A$100=N$2)*(B$1:B$100=$K5), 0))</f>
        <v>0.187528</v>
      </c>
      <c r="O5" s="4" cm="1">
        <f t="array" ref="O5">INDEX($F$1:$F$100, MATCH(1, (A$1:A$100=O$2)*(B$1:B$100=$K5), 0))</f>
        <v>33.197488999999997</v>
      </c>
      <c r="P5" s="4" cm="1">
        <f t="array" ref="P5">INDEX($F$1:$F$100, MATCH(1, (A$1:A$100=P$2)*(B$1:B$100=$K5), 0))</f>
        <v>4.5340999999999999E-2</v>
      </c>
      <c r="Q5" s="4">
        <f t="shared" si="0"/>
        <v>3.9258080723496902</v>
      </c>
      <c r="R5" s="4">
        <f t="shared" ref="R5:R18" si="5">IF(ISNA(O5), "DNF", O5/$M5)</f>
        <v>694.97339222910728</v>
      </c>
      <c r="S5">
        <f t="shared" si="1"/>
        <v>0.94919192765030991</v>
      </c>
      <c r="U5" s="4">
        <f t="shared" si="2"/>
        <v>4.1359475970975499</v>
      </c>
      <c r="V5" s="4">
        <f t="shared" si="3"/>
        <v>732.17372797247515</v>
      </c>
      <c r="W5">
        <f t="shared" si="4"/>
        <v>1.0535277122251383</v>
      </c>
      <c r="AC5" s="17"/>
      <c r="AD5" s="5" t="s">
        <v>32</v>
      </c>
      <c r="AE5">
        <v>3</v>
      </c>
      <c r="AF5">
        <v>3</v>
      </c>
      <c r="AG5" s="17"/>
      <c r="AH5" s="5" t="s">
        <v>32</v>
      </c>
      <c r="AI5">
        <v>0</v>
      </c>
      <c r="AJ5">
        <v>0</v>
      </c>
      <c r="AK5" s="17"/>
      <c r="AL5" s="17"/>
      <c r="AM5" s="17"/>
      <c r="AN5" s="17"/>
      <c r="BB5" t="s">
        <v>24</v>
      </c>
      <c r="BC5" t="s">
        <v>3</v>
      </c>
      <c r="BD5">
        <v>15</v>
      </c>
    </row>
    <row r="6" spans="1:56" x14ac:dyDescent="0.2">
      <c r="A6" t="s">
        <v>16</v>
      </c>
      <c r="B6" t="s">
        <v>34</v>
      </c>
      <c r="C6" t="s">
        <v>21</v>
      </c>
      <c r="D6">
        <v>1</v>
      </c>
      <c r="E6">
        <v>5</v>
      </c>
      <c r="F6">
        <v>139.447811</v>
      </c>
      <c r="G6">
        <v>2.9983979999999999</v>
      </c>
      <c r="H6" t="s">
        <v>22</v>
      </c>
      <c r="J6" s="3" t="s">
        <v>31</v>
      </c>
      <c r="K6" s="3" t="s">
        <v>34</v>
      </c>
      <c r="L6" s="3" t="s">
        <v>35</v>
      </c>
      <c r="M6" s="4" cm="1">
        <f t="array" ref="M6">INDEX($F$1:$F$100, MATCH(1, (A$1:A$100=M$2)*(B$1:B$100=$K6), 0))</f>
        <v>8.3239999999999995E-2</v>
      </c>
      <c r="N6" s="4" cm="1">
        <f t="array" ref="N6">INDEX($F$1:$F$100, MATCH(1, (A$1:A$100=N$2)*(B$1:B$100=$K6), 0))</f>
        <v>0.56497600000000003</v>
      </c>
      <c r="O6" s="4" cm="1">
        <f t="array" ref="O6">INDEX($F$1:$F$100, MATCH(1, (A$1:A$100=O$2)*(B$1:B$100=$K6), 0))</f>
        <v>139.447811</v>
      </c>
      <c r="P6" s="4" cm="1">
        <f t="array" ref="P6">INDEX($F$1:$F$100, MATCH(1, (A$1:A$100=P$2)*(B$1:B$100=$K6), 0))</f>
        <v>7.5221999999999997E-2</v>
      </c>
      <c r="Q6" s="4">
        <f t="shared" si="0"/>
        <v>6.7873137914464206</v>
      </c>
      <c r="R6" s="4">
        <f t="shared" si="5"/>
        <v>1675.2500120134553</v>
      </c>
      <c r="S6">
        <f t="shared" si="1"/>
        <v>0.90367611725132146</v>
      </c>
      <c r="U6" s="4">
        <f t="shared" si="2"/>
        <v>7.5107814203291596</v>
      </c>
      <c r="V6" s="4">
        <f t="shared" si="3"/>
        <v>1853.8168487942357</v>
      </c>
      <c r="W6">
        <f t="shared" si="4"/>
        <v>1.1065911568424132</v>
      </c>
      <c r="AC6" s="17"/>
      <c r="AD6" s="5" t="s">
        <v>34</v>
      </c>
      <c r="AE6">
        <v>5</v>
      </c>
      <c r="AF6">
        <v>5</v>
      </c>
      <c r="AG6" s="17"/>
      <c r="AH6" s="5" t="s">
        <v>34</v>
      </c>
      <c r="AI6">
        <v>0</v>
      </c>
      <c r="AJ6">
        <v>0</v>
      </c>
      <c r="AK6" s="17"/>
      <c r="AL6" s="17"/>
      <c r="AM6" s="17"/>
      <c r="AN6" s="17"/>
      <c r="BB6" t="s">
        <v>24</v>
      </c>
      <c r="BC6" t="s">
        <v>3</v>
      </c>
      <c r="BD6">
        <v>15</v>
      </c>
    </row>
    <row r="7" spans="1:56" x14ac:dyDescent="0.2">
      <c r="A7" t="s">
        <v>16</v>
      </c>
      <c r="B7" t="s">
        <v>2</v>
      </c>
      <c r="C7" t="s">
        <v>21</v>
      </c>
      <c r="D7">
        <v>1</v>
      </c>
      <c r="E7">
        <v>5</v>
      </c>
      <c r="F7">
        <v>13.838817000000001</v>
      </c>
      <c r="G7">
        <v>6.1946510000000004</v>
      </c>
      <c r="H7" t="s">
        <v>22</v>
      </c>
      <c r="J7" s="3" t="s">
        <v>27</v>
      </c>
      <c r="K7" s="3" t="s">
        <v>36</v>
      </c>
      <c r="L7" s="3" t="s">
        <v>37</v>
      </c>
      <c r="M7" s="4" cm="1">
        <f t="array" ref="M7">INDEX($F$1:$F$100, MATCH(1, (A$1:A$100=M$2)*(B$1:B$100=$K7), 0))</f>
        <v>1.9879999999999998E-2</v>
      </c>
      <c r="N7" s="4" cm="1">
        <f t="array" ref="N7">INDEX($F$1:$F$100, MATCH(1, (A$1:A$100=N$2)*(B$1:B$100=$K7), 0))</f>
        <v>5.4288999999999997E-2</v>
      </c>
      <c r="O7" s="4" t="e" cm="1">
        <f t="array" ref="O7">INDEX($F$1:$F$100, MATCH(1, (A$1:A$100=O$2)*(B$1:B$100=$K7), 0))</f>
        <v>#N/A</v>
      </c>
      <c r="P7" s="4" cm="1">
        <f t="array" ref="P7">INDEX($F$1:$F$100, MATCH(1, (A$1:A$100=P$2)*(B$1:B$100=$K7), 0))</f>
        <v>1.6522999999999999E-2</v>
      </c>
      <c r="Q7" s="4">
        <f t="shared" si="0"/>
        <v>2.7308350100603622</v>
      </c>
      <c r="R7" s="4" t="str">
        <f>IF(ISNA(O7), "DNF", O7/$M7)</f>
        <v>DNF</v>
      </c>
      <c r="S7">
        <f t="shared" si="1"/>
        <v>0.83113682092555341</v>
      </c>
      <c r="U7" s="4">
        <f t="shared" si="2"/>
        <v>3.2856624099739755</v>
      </c>
      <c r="V7" s="4" t="str">
        <f t="shared" si="3"/>
        <v>DNF</v>
      </c>
      <c r="W7">
        <f t="shared" si="4"/>
        <v>1.2031713369242873</v>
      </c>
      <c r="AC7" s="17"/>
      <c r="AD7" s="5" t="s">
        <v>36</v>
      </c>
      <c r="AF7">
        <v>1</v>
      </c>
      <c r="AG7" s="17"/>
      <c r="AH7" s="5" t="s">
        <v>36</v>
      </c>
      <c r="AJ7">
        <v>0</v>
      </c>
      <c r="AK7" s="17"/>
      <c r="AL7" s="17"/>
      <c r="AM7" s="17"/>
      <c r="AN7" s="17"/>
      <c r="BB7" t="s">
        <v>24</v>
      </c>
      <c r="BC7" t="s">
        <v>3</v>
      </c>
      <c r="BD7">
        <v>15</v>
      </c>
    </row>
    <row r="8" spans="1:56" x14ac:dyDescent="0.2">
      <c r="A8" t="s">
        <v>16</v>
      </c>
      <c r="B8" t="s">
        <v>41</v>
      </c>
      <c r="C8" t="s">
        <v>21</v>
      </c>
      <c r="D8">
        <v>1</v>
      </c>
      <c r="E8">
        <v>5</v>
      </c>
      <c r="F8">
        <v>17.674676000000002</v>
      </c>
      <c r="G8">
        <v>0.23539399999999999</v>
      </c>
      <c r="H8" t="s">
        <v>22</v>
      </c>
      <c r="J8" s="3" t="s">
        <v>31</v>
      </c>
      <c r="K8" s="3" t="s">
        <v>2</v>
      </c>
      <c r="L8" s="3" t="s">
        <v>38</v>
      </c>
      <c r="M8" s="4" cm="1">
        <f t="array" ref="M8">INDEX($F$1:$F$100, MATCH(1, (A$1:A$100=M$2)*(B$1:B$100=$K8), 0))</f>
        <v>0.29500500000000002</v>
      </c>
      <c r="N8" s="4" cm="1">
        <f t="array" ref="N8">INDEX($F$1:$F$100, MATCH(1, (A$1:A$100=N$2)*(B$1:B$100=$K8), 0))</f>
        <v>0.76590000000000003</v>
      </c>
      <c r="O8" s="4" cm="1">
        <f t="array" ref="O8">INDEX($F$1:$F$100, MATCH(1, (A$1:A$100=O$2)*(B$1:B$100=$K8), 0))</f>
        <v>13.838817000000001</v>
      </c>
      <c r="P8" s="4" cm="1">
        <f t="array" ref="P8">INDEX($F$1:$F$100, MATCH(1, (A$1:A$100=P$2)*(B$1:B$100=$K8), 0))</f>
        <v>0.29999700000000001</v>
      </c>
      <c r="Q8" s="4">
        <f t="shared" si="0"/>
        <v>2.5962271825901255</v>
      </c>
      <c r="R8" s="4">
        <f t="shared" si="5"/>
        <v>46.910448975441092</v>
      </c>
      <c r="S8">
        <f t="shared" si="1"/>
        <v>1.0169217470890324</v>
      </c>
      <c r="U8" s="4">
        <f t="shared" si="2"/>
        <v>2.5530255302553027</v>
      </c>
      <c r="V8" s="4">
        <f t="shared" si="3"/>
        <v>46.129851298512982</v>
      </c>
      <c r="W8">
        <f t="shared" si="4"/>
        <v>0.98335983359833601</v>
      </c>
      <c r="AC8" s="17"/>
      <c r="AD8" s="5" t="s">
        <v>2</v>
      </c>
      <c r="AE8">
        <v>3</v>
      </c>
      <c r="AF8">
        <v>3</v>
      </c>
      <c r="AG8" s="17"/>
      <c r="AH8" s="5" t="s">
        <v>2</v>
      </c>
      <c r="AI8">
        <v>0</v>
      </c>
      <c r="AJ8">
        <v>0</v>
      </c>
      <c r="AK8" s="17"/>
      <c r="AL8" s="17"/>
      <c r="AM8" s="17"/>
      <c r="AN8" s="17"/>
      <c r="BB8" t="s">
        <v>24</v>
      </c>
      <c r="BC8" t="s">
        <v>3</v>
      </c>
      <c r="BD8">
        <v>15</v>
      </c>
    </row>
    <row r="9" spans="1:56" x14ac:dyDescent="0.2">
      <c r="A9" t="s">
        <v>16</v>
      </c>
      <c r="B9" t="s">
        <v>26</v>
      </c>
      <c r="C9" t="s">
        <v>21</v>
      </c>
      <c r="D9">
        <v>1</v>
      </c>
      <c r="E9">
        <v>5</v>
      </c>
      <c r="F9">
        <v>0.57808099999999996</v>
      </c>
      <c r="G9">
        <v>0.101012</v>
      </c>
      <c r="H9" t="s">
        <v>22</v>
      </c>
      <c r="J9" s="3" t="s">
        <v>31</v>
      </c>
      <c r="K9" s="3" t="s">
        <v>39</v>
      </c>
      <c r="L9" s="3" t="s">
        <v>40</v>
      </c>
      <c r="M9" s="4" cm="1">
        <f t="array" ref="M9">INDEX($F$1:$F$100, MATCH(1, (A$1:A$100=M$2)*(B$1:B$100=$K9), 0))</f>
        <v>1.06881</v>
      </c>
      <c r="N9" s="4" cm="1">
        <f t="array" ref="N9">INDEX($F$1:$F$100, MATCH(1, (A$1:A$100=N$2)*(B$1:B$100=$K9), 0))</f>
        <v>5.7115309999999999</v>
      </c>
      <c r="O9" s="4" t="e" cm="1">
        <f t="array" ref="O9">INDEX($F$1:$F$100, MATCH(1, (A$1:A$100=O$2)*(B$1:B$100=$K9), 0))</f>
        <v>#N/A</v>
      </c>
      <c r="P9" s="4" cm="1">
        <f t="array" ref="P9">INDEX($F$1:$F$100, MATCH(1, (A$1:A$100=P$2)*(B$1:B$100=$K9), 0))</f>
        <v>1.109318</v>
      </c>
      <c r="Q9" s="4">
        <f t="shared" si="0"/>
        <v>5.343822569025364</v>
      </c>
      <c r="R9" s="4" t="str">
        <f t="shared" si="5"/>
        <v>DNF</v>
      </c>
      <c r="S9">
        <f t="shared" si="1"/>
        <v>1.0379000944976189</v>
      </c>
      <c r="U9" s="4">
        <f t="shared" si="2"/>
        <v>5.1486868508398853</v>
      </c>
      <c r="V9" s="4" t="str">
        <f t="shared" si="3"/>
        <v>DNF</v>
      </c>
      <c r="W9">
        <f t="shared" si="4"/>
        <v>0.9634838702698415</v>
      </c>
      <c r="AC9" s="17"/>
      <c r="AD9" s="5" t="s">
        <v>39</v>
      </c>
      <c r="AF9">
        <v>11</v>
      </c>
      <c r="AG9" s="17"/>
      <c r="AH9" s="5" t="s">
        <v>39</v>
      </c>
      <c r="AJ9">
        <v>0</v>
      </c>
      <c r="AK9" s="17"/>
      <c r="AL9" s="17"/>
      <c r="AM9" s="17"/>
      <c r="AN9" s="17"/>
      <c r="BB9" t="s">
        <v>24</v>
      </c>
      <c r="BC9" t="s">
        <v>3</v>
      </c>
      <c r="BD9">
        <v>15</v>
      </c>
    </row>
    <row r="10" spans="1:56" x14ac:dyDescent="0.2">
      <c r="A10" t="s">
        <v>16</v>
      </c>
      <c r="B10" t="s">
        <v>30</v>
      </c>
      <c r="C10" t="s">
        <v>21</v>
      </c>
      <c r="D10">
        <v>1</v>
      </c>
      <c r="E10">
        <v>5</v>
      </c>
      <c r="F10">
        <v>0.332675</v>
      </c>
      <c r="G10">
        <v>1.4732E-2</v>
      </c>
      <c r="H10" t="s">
        <v>22</v>
      </c>
      <c r="J10" s="3" t="s">
        <v>27</v>
      </c>
      <c r="K10" s="3" t="s">
        <v>41</v>
      </c>
      <c r="L10" s="3" t="s">
        <v>42</v>
      </c>
      <c r="M10" s="4" cm="1">
        <f t="array" ref="M10">INDEX($F$1:$F$100, MATCH(1, (A$1:A$100=M$2)*(B$1:B$100=$K10), 0))</f>
        <v>9.9919999999999991E-3</v>
      </c>
      <c r="N10" s="4" cm="1">
        <f t="array" ref="N10">INDEX($F$1:$F$100, MATCH(1, (A$1:A$100=N$2)*(B$1:B$100=$K10), 0))</f>
        <v>5.8332000000000002E-2</v>
      </c>
      <c r="O10" s="4" cm="1">
        <f t="array" ref="O10">INDEX($F$1:$F$100, MATCH(1, (A$1:A$100=O$2)*(B$1:B$100=$K10), 0))</f>
        <v>17.674676000000002</v>
      </c>
      <c r="P10" s="4" cm="1">
        <f t="array" ref="P10">INDEX($F$1:$F$100, MATCH(1, (A$1:A$100=P$2)*(B$1:B$100=$K10), 0))</f>
        <v>8.3560000000000006E-3</v>
      </c>
      <c r="Q10" s="4">
        <f t="shared" si="0"/>
        <v>5.8378702962369902</v>
      </c>
      <c r="R10" s="4">
        <f t="shared" si="5"/>
        <v>1768.8827061649322</v>
      </c>
      <c r="S10">
        <f t="shared" si="1"/>
        <v>0.8362690152121699</v>
      </c>
      <c r="U10" s="4">
        <f t="shared" si="2"/>
        <v>6.980852082336046</v>
      </c>
      <c r="V10" s="4">
        <f t="shared" si="3"/>
        <v>2115.2077549066539</v>
      </c>
      <c r="W10">
        <f t="shared" si="4"/>
        <v>1.1957874581139298</v>
      </c>
      <c r="AC10" s="17"/>
      <c r="AD10" s="5" t="s">
        <v>41</v>
      </c>
      <c r="AE10">
        <v>5</v>
      </c>
      <c r="AF10">
        <v>5</v>
      </c>
      <c r="AG10" s="17"/>
      <c r="AH10" s="5" t="s">
        <v>41</v>
      </c>
      <c r="AI10">
        <v>0</v>
      </c>
      <c r="AJ10">
        <v>0</v>
      </c>
      <c r="AK10" s="17"/>
      <c r="AL10" s="17"/>
      <c r="AM10" s="17"/>
      <c r="AN10" s="17"/>
      <c r="BB10" t="s">
        <v>24</v>
      </c>
      <c r="BC10" t="s">
        <v>3</v>
      </c>
      <c r="BD10">
        <v>15</v>
      </c>
    </row>
    <row r="11" spans="1:56" x14ac:dyDescent="0.2">
      <c r="A11" t="s">
        <v>107</v>
      </c>
      <c r="B11" t="s">
        <v>24</v>
      </c>
      <c r="C11" t="s">
        <v>21</v>
      </c>
      <c r="D11">
        <v>1</v>
      </c>
      <c r="E11">
        <v>5</v>
      </c>
      <c r="F11">
        <v>0.213615</v>
      </c>
      <c r="G11">
        <v>3.2332E-2</v>
      </c>
      <c r="H11" t="s">
        <v>22</v>
      </c>
      <c r="J11" s="3" t="s">
        <v>31</v>
      </c>
      <c r="K11" s="3" t="s">
        <v>43</v>
      </c>
      <c r="L11" s="3" t="s">
        <v>44</v>
      </c>
      <c r="M11" s="4" cm="1">
        <f t="array" ref="M11">INDEX($F$1:$F$100, MATCH(1, (A$1:A$100=M$2)*(B$1:B$100=$K11), 0))</f>
        <v>181.487921</v>
      </c>
      <c r="N11" s="4" t="e" cm="1">
        <f t="array" ref="N11">INDEX($F$1:$F$100, MATCH(1, (A$1:A$100=N$2)*(B$1:B$100=$K11), 0))</f>
        <v>#N/A</v>
      </c>
      <c r="O11" s="4" t="e" cm="1">
        <f t="array" ref="O11">INDEX($F$1:$F$100, MATCH(1, (A$1:A$100=O$2)*(B$1:B$100=$K11), 0))</f>
        <v>#N/A</v>
      </c>
      <c r="P11" s="4" cm="1">
        <f t="array" ref="P11">INDEX($F$1:$F$100, MATCH(1, (A$1:A$100=P$2)*(B$1:B$100=$K11), 0))</f>
        <v>178.27417199999999</v>
      </c>
      <c r="Q11" s="4" t="str">
        <f>IF(ISNA($N11), "DNF", $N11/$M11)</f>
        <v>DNF</v>
      </c>
      <c r="R11" s="4" t="str">
        <f t="shared" si="5"/>
        <v>DNF</v>
      </c>
      <c r="S11">
        <f t="shared" si="1"/>
        <v>0.98229221546925971</v>
      </c>
      <c r="U11" s="4" t="str">
        <f t="shared" si="2"/>
        <v>DNF</v>
      </c>
      <c r="V11" s="4" t="str">
        <f t="shared" si="3"/>
        <v>DNF</v>
      </c>
      <c r="W11">
        <f t="shared" si="4"/>
        <v>1.0180270028122751</v>
      </c>
      <c r="AC11" s="17"/>
      <c r="AD11" s="5" t="s">
        <v>46</v>
      </c>
      <c r="AF11">
        <v>16</v>
      </c>
      <c r="AG11" s="17"/>
      <c r="AH11" s="5" t="s">
        <v>46</v>
      </c>
      <c r="AJ11">
        <v>0</v>
      </c>
      <c r="AK11" s="17"/>
      <c r="AL11" s="17"/>
      <c r="AM11" s="17"/>
      <c r="AN11" s="17"/>
      <c r="BB11" t="s">
        <v>24</v>
      </c>
      <c r="BC11" t="s">
        <v>3</v>
      </c>
      <c r="BD11">
        <v>15</v>
      </c>
    </row>
    <row r="12" spans="1:56" x14ac:dyDescent="0.2">
      <c r="A12" t="s">
        <v>107</v>
      </c>
      <c r="B12" t="s">
        <v>28</v>
      </c>
      <c r="C12" t="s">
        <v>21</v>
      </c>
      <c r="D12">
        <v>1</v>
      </c>
      <c r="E12">
        <v>5</v>
      </c>
      <c r="F12">
        <v>1.6421000000000002E-2</v>
      </c>
      <c r="G12">
        <v>7.9810000000000002E-3</v>
      </c>
      <c r="H12" t="s">
        <v>22</v>
      </c>
      <c r="J12" s="3" t="s">
        <v>27</v>
      </c>
      <c r="K12" s="3" t="s">
        <v>46</v>
      </c>
      <c r="L12" s="3" t="s">
        <v>47</v>
      </c>
      <c r="M12" s="4" cm="1">
        <f t="array" ref="M12">INDEX($F$1:$F$100, MATCH(1, (A$1:A$100=M$2)*(B$1:B$100=$K12), 0))</f>
        <v>5.4668000000000001E-2</v>
      </c>
      <c r="N12" s="4" cm="1">
        <f t="array" ref="N12">INDEX($F$1:$F$100, MATCH(1, (A$1:A$100=N$2)*(B$1:B$100=$K12), 0))</f>
        <v>0.83453699999999997</v>
      </c>
      <c r="O12" s="4" t="e" cm="1">
        <f t="array" ref="O12">INDEX($F$1:$F$100, MATCH(1, (A$1:A$100=O$2)*(B$1:B$100=$K12), 0))</f>
        <v>#N/A</v>
      </c>
      <c r="P12" s="4" cm="1">
        <f t="array" ref="P12">INDEX($F$1:$F$100, MATCH(1, (A$1:A$100=P$2)*(B$1:B$100=$K12), 0))</f>
        <v>5.2683000000000001E-2</v>
      </c>
      <c r="Q12" s="4">
        <f t="shared" si="0"/>
        <v>15.265548401258505</v>
      </c>
      <c r="R12" s="4" t="str">
        <f t="shared" si="5"/>
        <v>DNF</v>
      </c>
      <c r="S12">
        <f t="shared" si="1"/>
        <v>0.96368991000219506</v>
      </c>
      <c r="U12" s="4">
        <f t="shared" si="2"/>
        <v>15.84072661010193</v>
      </c>
      <c r="V12" s="4" t="str">
        <f>IF(ISNA($O12), "DNF", $O12/$P12)</f>
        <v>DNF</v>
      </c>
      <c r="W12">
        <f t="shared" si="4"/>
        <v>1.0376781884099235</v>
      </c>
      <c r="AC12" s="17"/>
      <c r="AD12" s="5" t="s">
        <v>45</v>
      </c>
      <c r="AF12">
        <v>2</v>
      </c>
      <c r="AG12" s="17"/>
      <c r="AH12" s="5" t="s">
        <v>45</v>
      </c>
      <c r="AJ12">
        <v>0</v>
      </c>
      <c r="AK12" s="17"/>
      <c r="AL12" s="17"/>
      <c r="AM12" s="17"/>
      <c r="AN12" s="17"/>
      <c r="BB12" t="s">
        <v>28</v>
      </c>
      <c r="BC12" t="s">
        <v>3</v>
      </c>
      <c r="BD12">
        <v>4</v>
      </c>
    </row>
    <row r="13" spans="1:56" x14ac:dyDescent="0.2">
      <c r="A13" t="s">
        <v>107</v>
      </c>
      <c r="B13" t="s">
        <v>32</v>
      </c>
      <c r="C13" t="s">
        <v>21</v>
      </c>
      <c r="D13">
        <v>1</v>
      </c>
      <c r="E13">
        <v>5</v>
      </c>
      <c r="F13">
        <v>4.5340999999999999E-2</v>
      </c>
      <c r="G13">
        <v>1.4982000000000001E-2</v>
      </c>
      <c r="H13" t="s">
        <v>22</v>
      </c>
      <c r="J13" s="3" t="s">
        <v>31</v>
      </c>
      <c r="K13" s="3" t="s">
        <v>45</v>
      </c>
      <c r="L13" s="3" t="s">
        <v>49</v>
      </c>
      <c r="M13" s="4" cm="1">
        <f t="array" ref="M13">INDEX($F$1:$F$100, MATCH(1, (A$1:A$100=M$2)*(B$1:B$100=$K13), 0))</f>
        <v>7.6637999999999998E-2</v>
      </c>
      <c r="N13" s="4" cm="1">
        <f t="array" ref="N13">INDEX($F$1:$F$100, MATCH(1, (A$1:A$100=N$2)*(B$1:B$100=$K13), 0))</f>
        <v>0.39185500000000001</v>
      </c>
      <c r="O13" s="4" t="e" cm="1">
        <f t="array" ref="O13">INDEX($F$1:$F$100, MATCH(1, (A$1:A$100=O$2)*(B$1:B$100=$K13), 0))</f>
        <v>#N/A</v>
      </c>
      <c r="P13" s="4" cm="1">
        <f t="array" ref="P13">INDEX($F$1:$F$100, MATCH(1, (A$1:A$100=P$2)*(B$1:B$100=$K13), 0))</f>
        <v>7.4971999999999997E-2</v>
      </c>
      <c r="Q13" s="4">
        <f t="shared" si="0"/>
        <v>5.1130640152404814</v>
      </c>
      <c r="R13" s="4" t="str">
        <f t="shared" si="5"/>
        <v>DNF</v>
      </c>
      <c r="S13">
        <f t="shared" si="1"/>
        <v>0.97826143688509615</v>
      </c>
      <c r="U13" s="4">
        <f t="shared" si="2"/>
        <v>5.2266846289281332</v>
      </c>
      <c r="V13" s="4" t="str">
        <f t="shared" si="3"/>
        <v>DNF</v>
      </c>
      <c r="W13">
        <f t="shared" si="4"/>
        <v>1.0222216294083124</v>
      </c>
      <c r="AC13" s="17"/>
      <c r="AD13" s="5" t="s">
        <v>48</v>
      </c>
      <c r="AF13">
        <v>5</v>
      </c>
      <c r="AG13" s="17"/>
      <c r="AH13" s="5" t="s">
        <v>48</v>
      </c>
      <c r="AJ13">
        <v>0</v>
      </c>
      <c r="AK13" s="17"/>
      <c r="AL13" s="17"/>
      <c r="AM13" s="17"/>
      <c r="AN13" s="17"/>
      <c r="BB13" t="s">
        <v>28</v>
      </c>
      <c r="BC13" t="s">
        <v>3</v>
      </c>
      <c r="BD13">
        <v>4</v>
      </c>
    </row>
    <row r="14" spans="1:56" x14ac:dyDescent="0.2">
      <c r="A14" t="s">
        <v>107</v>
      </c>
      <c r="B14" t="s">
        <v>34</v>
      </c>
      <c r="C14" t="s">
        <v>21</v>
      </c>
      <c r="D14">
        <v>1</v>
      </c>
      <c r="E14">
        <v>5</v>
      </c>
      <c r="F14">
        <v>7.5221999999999997E-2</v>
      </c>
      <c r="G14">
        <v>2.0247999999999999E-2</v>
      </c>
      <c r="H14" t="s">
        <v>22</v>
      </c>
      <c r="J14" s="3" t="s">
        <v>31</v>
      </c>
      <c r="K14" s="3" t="s">
        <v>48</v>
      </c>
      <c r="L14" s="3" t="s">
        <v>50</v>
      </c>
      <c r="M14" s="4" cm="1">
        <f t="array" ref="M14">INDEX($F$1:$F$100, MATCH(1, (A$1:A$100=M$2)*(B$1:B$100=$K14), 0))</f>
        <v>9.3256000000000006E-2</v>
      </c>
      <c r="N14" s="4" cm="1">
        <f t="array" ref="N14">INDEX($F$1:$F$100, MATCH(1, (A$1:A$100=N$2)*(B$1:B$100=$K14), 0))</f>
        <v>0.953685</v>
      </c>
      <c r="O14" s="4" t="e" cm="1">
        <f t="array" ref="O14">INDEX($F$1:$F$100, MATCH(1, (A$1:A$100=O$2)*(B$1:B$100=$K14), 0))</f>
        <v>#N/A</v>
      </c>
      <c r="P14" s="4" cm="1">
        <f t="array" ref="P14">INDEX($F$1:$F$100, MATCH(1, (A$1:A$100=P$2)*(B$1:B$100=$K14), 0))</f>
        <v>8.8609999999999994E-2</v>
      </c>
      <c r="Q14" s="4">
        <f t="shared" si="0"/>
        <v>10.226526979497297</v>
      </c>
      <c r="R14" s="4" t="str">
        <f t="shared" si="5"/>
        <v>DNF</v>
      </c>
      <c r="S14">
        <f t="shared" si="1"/>
        <v>0.95018014926653505</v>
      </c>
      <c r="U14" s="4">
        <f t="shared" si="2"/>
        <v>10.762724297483354</v>
      </c>
      <c r="V14" s="4" t="str">
        <f t="shared" si="3"/>
        <v>DNF</v>
      </c>
      <c r="W14">
        <f t="shared" si="4"/>
        <v>1.052432005416996</v>
      </c>
      <c r="AC14" s="17"/>
      <c r="AD14" s="5" t="s">
        <v>51</v>
      </c>
      <c r="AF14">
        <v>16</v>
      </c>
      <c r="AG14" s="17"/>
      <c r="AH14" s="5" t="s">
        <v>51</v>
      </c>
      <c r="AJ14">
        <v>0</v>
      </c>
      <c r="AK14" s="17"/>
      <c r="AL14" s="17"/>
      <c r="AM14" s="17"/>
      <c r="AN14" s="17"/>
      <c r="BB14" t="s">
        <v>28</v>
      </c>
      <c r="BC14" t="s">
        <v>3</v>
      </c>
      <c r="BD14">
        <v>4</v>
      </c>
    </row>
    <row r="15" spans="1:56" x14ac:dyDescent="0.2">
      <c r="A15" t="s">
        <v>107</v>
      </c>
      <c r="B15" t="s">
        <v>36</v>
      </c>
      <c r="C15" t="s">
        <v>21</v>
      </c>
      <c r="D15">
        <v>1</v>
      </c>
      <c r="E15">
        <v>5</v>
      </c>
      <c r="F15">
        <v>1.6522999999999999E-2</v>
      </c>
      <c r="G15">
        <v>5.561E-3</v>
      </c>
      <c r="H15" t="s">
        <v>22</v>
      </c>
      <c r="J15" s="3" t="s">
        <v>27</v>
      </c>
      <c r="K15" s="3" t="s">
        <v>51</v>
      </c>
      <c r="L15" s="3" t="s">
        <v>52</v>
      </c>
      <c r="M15" s="4" cm="1">
        <f t="array" ref="M15">INDEX($F$1:$F$100, MATCH(1, (A$1:A$100=M$2)*(B$1:B$100=$K15), 0))</f>
        <v>5.2131999999999998E-2</v>
      </c>
      <c r="N15" s="4" cm="1">
        <f t="array" ref="N15">INDEX($F$1:$F$100, MATCH(1, (A$1:A$100=N$2)*(B$1:B$100=$K15), 0))</f>
        <v>0.84097900000000003</v>
      </c>
      <c r="O15" s="4" t="e" cm="1">
        <f t="array" ref="O15">INDEX($F$1:$F$100, MATCH(1, (A$1:A$100=O$2)*(B$1:B$100=$K15), 0))</f>
        <v>#N/A</v>
      </c>
      <c r="P15" s="4" cm="1">
        <f t="array" ref="P15">INDEX($F$1:$F$100, MATCH(1, (A$1:A$100=P$2)*(B$1:B$100=$K15), 0))</f>
        <v>4.7639000000000001E-2</v>
      </c>
      <c r="Q15" s="4">
        <f t="shared" si="0"/>
        <v>16.131723317731911</v>
      </c>
      <c r="R15" s="4" t="str">
        <f t="shared" si="5"/>
        <v>DNF</v>
      </c>
      <c r="S15">
        <f t="shared" si="1"/>
        <v>0.91381493132816705</v>
      </c>
      <c r="U15" s="4">
        <f t="shared" si="2"/>
        <v>17.653162324985832</v>
      </c>
      <c r="V15" s="4" t="str">
        <f t="shared" si="3"/>
        <v>DNF</v>
      </c>
      <c r="W15">
        <f t="shared" si="4"/>
        <v>1.0943134826507692</v>
      </c>
      <c r="AC15" s="17"/>
      <c r="AD15" s="5" t="s">
        <v>26</v>
      </c>
      <c r="AE15">
        <v>9</v>
      </c>
      <c r="AF15">
        <v>9</v>
      </c>
      <c r="AG15" s="17"/>
      <c r="AH15" s="5" t="s">
        <v>26</v>
      </c>
      <c r="AI15">
        <v>0</v>
      </c>
      <c r="AJ15">
        <v>0</v>
      </c>
      <c r="AK15" s="17"/>
      <c r="AL15" s="17"/>
      <c r="AM15" s="17"/>
      <c r="AN15" s="17"/>
      <c r="BB15" t="s">
        <v>28</v>
      </c>
      <c r="BC15" t="s">
        <v>3</v>
      </c>
      <c r="BD15">
        <v>4</v>
      </c>
    </row>
    <row r="16" spans="1:56" x14ac:dyDescent="0.2">
      <c r="A16" t="s">
        <v>107</v>
      </c>
      <c r="B16" t="s">
        <v>2</v>
      </c>
      <c r="C16" t="s">
        <v>21</v>
      </c>
      <c r="D16">
        <v>1</v>
      </c>
      <c r="E16">
        <v>5</v>
      </c>
      <c r="F16">
        <v>0.29999700000000001</v>
      </c>
      <c r="G16">
        <v>1.5205E-2</v>
      </c>
      <c r="H16" t="s">
        <v>22</v>
      </c>
      <c r="J16" s="3" t="s">
        <v>23</v>
      </c>
      <c r="K16" s="3" t="s">
        <v>26</v>
      </c>
      <c r="L16" s="3" t="s">
        <v>54</v>
      </c>
      <c r="M16" s="4" cm="1">
        <f t="array" ref="M16">INDEX($F$1:$F$100, MATCH(1, (A$1:A$100=M$2)*(B$1:B$100=$K16), 0))</f>
        <v>2.6468999999999999E-2</v>
      </c>
      <c r="N16" s="4" cm="1">
        <f t="array" ref="N16">INDEX($F$1:$F$100, MATCH(1, (A$1:A$100=N$2)*(B$1:B$100=$K16), 0))</f>
        <v>0.152309</v>
      </c>
      <c r="O16" s="4" cm="1">
        <f t="array" ref="O16">INDEX($F$1:$F$100, MATCH(1, (A$1:A$100=O$2)*(B$1:B$100=$K16), 0))</f>
        <v>0.57808099999999996</v>
      </c>
      <c r="P16" s="4" cm="1">
        <f t="array" ref="P16">INDEX($F$1:$F$100, MATCH(1, (A$1:A$100=P$2)*(B$1:B$100=$K16), 0))</f>
        <v>2.5665E-2</v>
      </c>
      <c r="Q16" s="4">
        <f t="shared" si="0"/>
        <v>5.7542408100041555</v>
      </c>
      <c r="R16" s="4">
        <f t="shared" si="5"/>
        <v>21.839925951112622</v>
      </c>
      <c r="S16">
        <f t="shared" si="1"/>
        <v>0.96962484415731609</v>
      </c>
      <c r="U16" s="4">
        <f t="shared" si="2"/>
        <v>5.9345022404052212</v>
      </c>
      <c r="V16" s="4">
        <f t="shared" si="3"/>
        <v>22.524098967465417</v>
      </c>
      <c r="W16">
        <f t="shared" si="4"/>
        <v>1.0313267095265926</v>
      </c>
      <c r="AC16" s="17"/>
      <c r="AD16" s="5" t="s">
        <v>30</v>
      </c>
      <c r="AE16">
        <v>5</v>
      </c>
      <c r="AF16">
        <v>5</v>
      </c>
      <c r="AG16" s="17"/>
      <c r="AH16" s="5" t="s">
        <v>30</v>
      </c>
      <c r="AI16">
        <v>0</v>
      </c>
      <c r="AJ16">
        <v>0</v>
      </c>
      <c r="AK16" s="17"/>
      <c r="AL16" s="17"/>
      <c r="AM16" s="17"/>
      <c r="AN16" s="17"/>
      <c r="BB16" t="s">
        <v>28</v>
      </c>
      <c r="BC16" t="s">
        <v>3</v>
      </c>
      <c r="BD16">
        <v>4</v>
      </c>
    </row>
    <row r="17" spans="1:56" x14ac:dyDescent="0.2">
      <c r="A17" t="s">
        <v>107</v>
      </c>
      <c r="B17" t="s">
        <v>39</v>
      </c>
      <c r="C17" t="s">
        <v>21</v>
      </c>
      <c r="D17">
        <v>1</v>
      </c>
      <c r="E17">
        <v>5</v>
      </c>
      <c r="F17">
        <v>1.109318</v>
      </c>
      <c r="G17">
        <v>0.1164</v>
      </c>
      <c r="H17" t="s">
        <v>22</v>
      </c>
      <c r="J17" s="3" t="s">
        <v>23</v>
      </c>
      <c r="K17" s="3" t="s">
        <v>30</v>
      </c>
      <c r="L17" s="3" t="s">
        <v>55</v>
      </c>
      <c r="M17" s="4" cm="1">
        <f t="array" ref="M17">INDEX($F$1:$F$100, MATCH(1, (A$1:A$100=M$2)*(B$1:B$100=$K17), 0))</f>
        <v>2.0929E-2</v>
      </c>
      <c r="N17" s="4" cm="1">
        <f t="array" ref="N17">INDEX($F$1:$F$100, MATCH(1, (A$1:A$100=N$2)*(B$1:B$100=$K17), 0))</f>
        <v>7.9342999999999997E-2</v>
      </c>
      <c r="O17" s="4" cm="1">
        <f t="array" ref="O17">INDEX($F$1:$F$100, MATCH(1, (A$1:A$100=O$2)*(B$1:B$100=$K17), 0))</f>
        <v>0.332675</v>
      </c>
      <c r="P17" s="4" cm="1">
        <f t="array" ref="P17">INDEX($F$1:$F$100, MATCH(1, (A$1:A$100=P$2)*(B$1:B$100=$K17), 0))</f>
        <v>1.7423999999999999E-2</v>
      </c>
      <c r="Q17" s="4">
        <f t="shared" si="0"/>
        <v>3.7910554732667587</v>
      </c>
      <c r="R17" s="4">
        <f t="shared" si="5"/>
        <v>15.89540828515457</v>
      </c>
      <c r="S17">
        <f t="shared" si="1"/>
        <v>0.83252902670935058</v>
      </c>
      <c r="U17" s="4">
        <f t="shared" si="2"/>
        <v>4.5536616161616168</v>
      </c>
      <c r="V17" s="4">
        <f>IF(ISNA($O17), "DNF", $O17/$P17)</f>
        <v>19.092917814508723</v>
      </c>
      <c r="W17">
        <f>IF(ISNA($M17), "DNF", $M17/$P17)</f>
        <v>1.2011593204775024</v>
      </c>
      <c r="AC17" s="17"/>
      <c r="AD17" s="5" t="s">
        <v>53</v>
      </c>
      <c r="AF17">
        <v>7</v>
      </c>
      <c r="AG17" s="17"/>
      <c r="AH17" s="5" t="s">
        <v>53</v>
      </c>
      <c r="AJ17">
        <v>0</v>
      </c>
      <c r="AK17" s="17"/>
      <c r="AL17" s="17"/>
      <c r="AM17" s="17"/>
      <c r="AN17" s="17"/>
      <c r="BB17" t="s">
        <v>28</v>
      </c>
      <c r="BC17" t="s">
        <v>3</v>
      </c>
      <c r="BD17">
        <v>4</v>
      </c>
    </row>
    <row r="18" spans="1:56" x14ac:dyDescent="0.2">
      <c r="A18" t="s">
        <v>107</v>
      </c>
      <c r="B18" t="s">
        <v>41</v>
      </c>
      <c r="C18" t="s">
        <v>21</v>
      </c>
      <c r="D18">
        <v>1</v>
      </c>
      <c r="E18">
        <v>5</v>
      </c>
      <c r="F18">
        <v>8.3560000000000006E-3</v>
      </c>
      <c r="G18">
        <v>5.0419999999999996E-3</v>
      </c>
      <c r="H18" t="s">
        <v>22</v>
      </c>
      <c r="J18" s="3" t="s">
        <v>31</v>
      </c>
      <c r="K18" s="3" t="s">
        <v>53</v>
      </c>
      <c r="L18" s="3" t="s">
        <v>56</v>
      </c>
      <c r="M18" s="4" cm="1">
        <f t="array" ref="M18">INDEX($F$1:$F$100, MATCH(1, (A$1:A$100=M$2)*(B$1:B$100=$K18), 0))</f>
        <v>0.124113</v>
      </c>
      <c r="N18" s="4" cm="1">
        <f t="array" ref="N18">INDEX($F$1:$F$100, MATCH(1, (A$1:A$100=N$2)*(B$1:B$100=$K18), 0))</f>
        <v>2.6106609999999999</v>
      </c>
      <c r="O18" s="4" t="e" cm="1">
        <f t="array" ref="O18">INDEX($F$1:$F$100, MATCH(1, (A$1:A$100=O$2)*(B$1:B$100=$K18), 0))</f>
        <v>#N/A</v>
      </c>
      <c r="P18" s="4" cm="1">
        <f t="array" ref="P18">INDEX($F$1:$F$100, MATCH(1, (A$1:A$100=P$2)*(B$1:B$100=$K18), 0))</f>
        <v>0.123728</v>
      </c>
      <c r="Q18" s="4">
        <f t="shared" si="0"/>
        <v>21.034549160845359</v>
      </c>
      <c r="R18" s="4" t="str">
        <f t="shared" si="5"/>
        <v>DNF</v>
      </c>
      <c r="S18">
        <f t="shared" si="1"/>
        <v>0.99689798812372599</v>
      </c>
      <c r="U18" s="4">
        <f>IF(ISNA($N18), "DNF", $N18/$P18)</f>
        <v>21.100001616448985</v>
      </c>
      <c r="V18" s="4" t="str">
        <f t="shared" si="3"/>
        <v>DNF</v>
      </c>
      <c r="W18">
        <f>IF(ISNA($M18), "DNF", $M18/$P18)</f>
        <v>1.0031116642958748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BB18" t="s">
        <v>28</v>
      </c>
      <c r="BC18" t="s">
        <v>3</v>
      </c>
      <c r="BD18">
        <v>4</v>
      </c>
    </row>
    <row r="19" spans="1:56" x14ac:dyDescent="0.2">
      <c r="A19" t="s">
        <v>107</v>
      </c>
      <c r="B19" t="s">
        <v>43</v>
      </c>
      <c r="C19" t="s">
        <v>21</v>
      </c>
      <c r="D19">
        <v>1</v>
      </c>
      <c r="E19">
        <v>5</v>
      </c>
      <c r="F19">
        <v>178.27417199999999</v>
      </c>
      <c r="G19">
        <v>7.189667</v>
      </c>
      <c r="H19" t="s">
        <v>22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BB19" t="s">
        <v>28</v>
      </c>
      <c r="BC19" t="s">
        <v>3</v>
      </c>
      <c r="BD19">
        <v>4</v>
      </c>
    </row>
    <row r="20" spans="1:56" x14ac:dyDescent="0.2">
      <c r="A20" t="s">
        <v>107</v>
      </c>
      <c r="B20" t="s">
        <v>46</v>
      </c>
      <c r="C20" t="s">
        <v>21</v>
      </c>
      <c r="D20">
        <v>1</v>
      </c>
      <c r="E20">
        <v>5</v>
      </c>
      <c r="F20">
        <v>5.2683000000000001E-2</v>
      </c>
      <c r="G20">
        <v>9.1809999999999999E-3</v>
      </c>
      <c r="H20" t="s">
        <v>22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BB20" t="s">
        <v>28</v>
      </c>
      <c r="BC20" t="s">
        <v>3</v>
      </c>
      <c r="BD20">
        <v>4</v>
      </c>
    </row>
    <row r="21" spans="1:56" x14ac:dyDescent="0.2">
      <c r="A21" t="s">
        <v>107</v>
      </c>
      <c r="B21" t="s">
        <v>45</v>
      </c>
      <c r="C21" t="s">
        <v>21</v>
      </c>
      <c r="D21">
        <v>1</v>
      </c>
      <c r="E21">
        <v>5</v>
      </c>
      <c r="F21">
        <v>7.4971999999999997E-2</v>
      </c>
      <c r="G21">
        <v>1.4522999999999999E-2</v>
      </c>
      <c r="H21" t="s">
        <v>22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BB21" t="s">
        <v>28</v>
      </c>
      <c r="BC21" t="s">
        <v>3</v>
      </c>
      <c r="BD21">
        <v>4</v>
      </c>
    </row>
    <row r="22" spans="1:56" x14ac:dyDescent="0.2">
      <c r="A22" t="s">
        <v>107</v>
      </c>
      <c r="B22" t="s">
        <v>48</v>
      </c>
      <c r="C22" t="s">
        <v>21</v>
      </c>
      <c r="D22">
        <v>1</v>
      </c>
      <c r="E22">
        <v>5</v>
      </c>
      <c r="F22">
        <v>8.8609999999999994E-2</v>
      </c>
      <c r="G22">
        <v>1.4751E-2</v>
      </c>
      <c r="H22" t="s">
        <v>22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BB22" t="s">
        <v>32</v>
      </c>
      <c r="BC22" t="s">
        <v>3</v>
      </c>
      <c r="BD22">
        <v>3</v>
      </c>
    </row>
    <row r="23" spans="1:56" x14ac:dyDescent="0.2">
      <c r="A23" t="s">
        <v>107</v>
      </c>
      <c r="B23" t="s">
        <v>51</v>
      </c>
      <c r="C23" t="s">
        <v>21</v>
      </c>
      <c r="D23">
        <v>1</v>
      </c>
      <c r="E23">
        <v>5</v>
      </c>
      <c r="F23">
        <v>4.7639000000000001E-2</v>
      </c>
      <c r="G23">
        <v>8.2050000000000005E-3</v>
      </c>
      <c r="H23" t="s">
        <v>22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BB23" t="s">
        <v>32</v>
      </c>
      <c r="BC23" t="s">
        <v>3</v>
      </c>
      <c r="BD23">
        <v>3</v>
      </c>
    </row>
    <row r="24" spans="1:56" x14ac:dyDescent="0.2">
      <c r="A24" t="s">
        <v>107</v>
      </c>
      <c r="B24" t="s">
        <v>26</v>
      </c>
      <c r="C24" t="s">
        <v>21</v>
      </c>
      <c r="D24">
        <v>1</v>
      </c>
      <c r="E24">
        <v>5</v>
      </c>
      <c r="F24">
        <v>2.5665E-2</v>
      </c>
      <c r="G24">
        <v>6.9569999999999996E-3</v>
      </c>
      <c r="H24" t="s">
        <v>22</v>
      </c>
      <c r="J24" t="s">
        <v>57</v>
      </c>
      <c r="K24" s="2"/>
      <c r="L24" s="2"/>
      <c r="P24" t="s">
        <v>111</v>
      </c>
      <c r="T24" s="25" t="s">
        <v>120</v>
      </c>
      <c r="X24" s="25" t="s">
        <v>119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BB24" t="s">
        <v>32</v>
      </c>
      <c r="BC24" t="s">
        <v>3</v>
      </c>
      <c r="BD24">
        <v>3</v>
      </c>
    </row>
    <row r="25" spans="1:56" x14ac:dyDescent="0.2">
      <c r="A25" t="s">
        <v>107</v>
      </c>
      <c r="B25" t="s">
        <v>30</v>
      </c>
      <c r="C25" t="s">
        <v>21</v>
      </c>
      <c r="D25">
        <v>1</v>
      </c>
      <c r="E25">
        <v>5</v>
      </c>
      <c r="F25">
        <v>1.7423999999999999E-2</v>
      </c>
      <c r="G25">
        <v>7.4130000000000003E-3</v>
      </c>
      <c r="H25" t="s">
        <v>22</v>
      </c>
      <c r="J25" t="s">
        <v>12</v>
      </c>
      <c r="K25" s="6" t="s">
        <v>23</v>
      </c>
      <c r="L25" s="6" t="s">
        <v>31</v>
      </c>
      <c r="M25" s="6" t="s">
        <v>27</v>
      </c>
      <c r="O25" s="6" t="s">
        <v>13</v>
      </c>
      <c r="P25" s="1" t="s">
        <v>14</v>
      </c>
      <c r="Q25" s="1" t="s">
        <v>15</v>
      </c>
      <c r="R25" s="1" t="s">
        <v>16</v>
      </c>
      <c r="S25" s="2" t="s">
        <v>107</v>
      </c>
      <c r="T25" s="1" t="s">
        <v>57</v>
      </c>
      <c r="U25" s="1" t="s">
        <v>58</v>
      </c>
      <c r="V25" s="1" t="s">
        <v>107</v>
      </c>
      <c r="X25" s="1" t="s">
        <v>57</v>
      </c>
      <c r="Y25" s="1" t="s">
        <v>58</v>
      </c>
      <c r="Z25" s="1" t="s">
        <v>14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BB25" t="s">
        <v>32</v>
      </c>
      <c r="BC25" t="s">
        <v>3</v>
      </c>
      <c r="BD25">
        <v>3</v>
      </c>
    </row>
    <row r="26" spans="1:56" x14ac:dyDescent="0.2">
      <c r="A26" t="s">
        <v>107</v>
      </c>
      <c r="B26" t="s">
        <v>53</v>
      </c>
      <c r="C26" t="s">
        <v>21</v>
      </c>
      <c r="D26">
        <v>1</v>
      </c>
      <c r="E26">
        <v>5</v>
      </c>
      <c r="F26">
        <v>0.123728</v>
      </c>
      <c r="G26">
        <v>1.1287E-2</v>
      </c>
      <c r="H26" t="s">
        <v>22</v>
      </c>
      <c r="J26" s="7" t="s">
        <v>29</v>
      </c>
      <c r="K26" s="4" t="str" cm="1">
        <f t="array" ref="K26">IFERROR(INDEX($Q$3:$Q$18, MATCH(1, ($J26=$L$3:$L$18) * (K$25=$J$3:$J$18), 0)), "")</f>
        <v/>
      </c>
      <c r="L26" s="4" t="str" cm="1">
        <f t="array" ref="L26">IFERROR(INDEX($Q$3:$Q$18, MATCH(1, ($J26=$L$3:$L$18) * (L$25=$J$3:$J$18), 0)), "")</f>
        <v/>
      </c>
      <c r="M26" s="4" cm="1">
        <f t="array" ref="M26">IFERROR(INDEX($Q$3:$Q$18, MATCH(1, ($J26=$L$3:$L$18) * (M$25=$J$3:$J$18), 0)), "")</f>
        <v>4.2975953895071539</v>
      </c>
      <c r="N26" s="4"/>
      <c r="O26" s="3" t="s">
        <v>25</v>
      </c>
      <c r="P26" s="4" cm="1">
        <f t="array" ref="P26">INDEX($G$1:$G$100, MATCH(1, ($A$1:$A$100=P$25)*($B$1:$B$100=$K3), 0))</f>
        <v>5.9805999999999998E-2</v>
      </c>
      <c r="Q26" s="4" cm="1">
        <f t="array" ref="Q26">INDEX($G$1:$G$100, MATCH(1, ($A$1:$A$100=Q$25)*($B$1:$B$100=$K3), 0))</f>
        <v>3.4178E-2</v>
      </c>
      <c r="R26" s="4" cm="1">
        <f t="array" ref="R26">INDEX($G$1:$G$100, MATCH(1, ($A$1:$A$100=R$25)*($B$1:$B$100=$K3), 0))</f>
        <v>0.24960199999999999</v>
      </c>
      <c r="S26" s="4" cm="1">
        <f t="array" ref="S26">INDEX($G$1:$G$100, MATCH(1, ($A$1:$A$100=S$25)*($B$1:$B$100=$K3), 0))</f>
        <v>3.2332E-2</v>
      </c>
      <c r="T26" s="4" t="b">
        <f>IF(ISNA(N3), TRUE, ABS($M3-N3) &gt; MAX($P26, Q26))</f>
        <v>1</v>
      </c>
      <c r="U26" s="4" t="b">
        <f>IF(ISNA(O3), TRUE, ABS($M3-O3) &gt; MAX($P26, R26))</f>
        <v>1</v>
      </c>
      <c r="V26" s="4" t="b">
        <f>IF(ISNA(P3), TRUE, ABS($M3-P3) &gt; MAX($P26, S26))</f>
        <v>0</v>
      </c>
      <c r="X26" s="4" t="b">
        <f>IF(ISNA(N3), TRUE, ABS($P3-N3) &gt; MAX($S26, Q26))</f>
        <v>1</v>
      </c>
      <c r="Y26" s="4" t="b">
        <f>IF(ISNA(O3), TRUE, ABS($P3-O3) &gt; MAX($S26, R26))</f>
        <v>1</v>
      </c>
      <c r="Z26" s="4" t="b">
        <f>IF(ISNA(M3), TRUE, ABS($P3-M3) &gt; MAX($S26, P26))</f>
        <v>0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BB26" t="s">
        <v>32</v>
      </c>
      <c r="BC26" t="s">
        <v>3</v>
      </c>
      <c r="BD26">
        <v>3</v>
      </c>
    </row>
    <row r="27" spans="1:56" x14ac:dyDescent="0.2">
      <c r="A27" t="s">
        <v>15</v>
      </c>
      <c r="B27" t="s">
        <v>24</v>
      </c>
      <c r="C27" t="s">
        <v>21</v>
      </c>
      <c r="D27">
        <v>1</v>
      </c>
      <c r="E27">
        <v>5</v>
      </c>
      <c r="F27">
        <v>0.42259600000000003</v>
      </c>
      <c r="G27">
        <v>3.4178E-2</v>
      </c>
      <c r="H27" t="s">
        <v>22</v>
      </c>
      <c r="J27" s="6" t="s">
        <v>37</v>
      </c>
      <c r="K27" s="4" t="str" cm="1">
        <f t="array" ref="K27">IFERROR(INDEX($Q$3:$Q$18, MATCH(1, ($J27=$L$3:$L$18) * (K$25=$J$3:$J$18), 0)), "")</f>
        <v/>
      </c>
      <c r="L27" s="4" t="str" cm="1">
        <f t="array" ref="L27">IFERROR(INDEX($Q$3:$Q$18, MATCH(1, ($J27=$L$3:$L$18) * (L$25=$J$3:$J$18), 0)), "")</f>
        <v/>
      </c>
      <c r="M27" s="4" cm="1">
        <f t="array" ref="M27">IFERROR(INDEX($Q$3:$Q$18, MATCH(1, ($J27=$L$3:$L$18) * (M$25=$J$3:$J$18), 0)), "")</f>
        <v>2.7308350100603622</v>
      </c>
      <c r="N27" s="4"/>
      <c r="O27" s="3" t="s">
        <v>29</v>
      </c>
      <c r="P27" s="4" cm="1">
        <f t="array" ref="P27">INDEX($G$1:$G$100, MATCH(1, ($A$1:$A$100=P$25)*($B$1:$B$100=$K4), 0))</f>
        <v>1.0291E-2</v>
      </c>
      <c r="Q27" s="4" cm="1">
        <f t="array" ref="Q27">INDEX($G$1:$G$100, MATCH(1, ($A$1:$A$100=Q$25)*($B$1:$B$100=$K4), 0))</f>
        <v>1.3379E-2</v>
      </c>
      <c r="R27" s="4" cm="1">
        <f t="array" ref="R27">INDEX($G$1:$G$100, MATCH(1, ($A$1:$A$100=R$25)*($B$1:$B$100=$K4), 0))</f>
        <v>0.110946</v>
      </c>
      <c r="S27" s="4" cm="1">
        <f t="array" ref="S27">INDEX($G$1:$G$100, MATCH(1, ($A$1:$A$100=S$25)*($B$1:$B$100=$K4), 0))</f>
        <v>7.9810000000000002E-3</v>
      </c>
      <c r="T27" s="4" t="b">
        <f t="shared" ref="T27:T41" si="6">IF(ISNA(N4), TRUE, ABS($M4-N4) &gt; MAX($P27, Q27))</f>
        <v>1</v>
      </c>
      <c r="U27" s="4" t="b">
        <f t="shared" ref="U27:U41" si="7">IF(ISNA(O4), TRUE, ABS($M4-O4) &gt; MAX($P27, R27))</f>
        <v>1</v>
      </c>
      <c r="V27" s="4" t="b">
        <f t="shared" ref="V27:V41" si="8">IF(ISNA(P4), TRUE, ABS($M4-P4) &gt; MAX($P27, S27))</f>
        <v>0</v>
      </c>
      <c r="X27" s="4" t="b">
        <f t="shared" ref="X27:Y41" si="9">IF(ISNA(N4), TRUE, ABS($P4-N4) &gt; MAX($S27, Q27))</f>
        <v>1</v>
      </c>
      <c r="Y27" s="4" t="b">
        <f t="shared" si="9"/>
        <v>1</v>
      </c>
      <c r="Z27" s="4" t="b">
        <f t="shared" ref="Z27:Z41" si="10">IF(ISNA(M4), TRUE, ABS($P4-M4) &gt; MAX($S27, P27))</f>
        <v>0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BB27" t="s">
        <v>32</v>
      </c>
      <c r="BC27" t="s">
        <v>3</v>
      </c>
      <c r="BD27">
        <v>3</v>
      </c>
    </row>
    <row r="28" spans="1:56" x14ac:dyDescent="0.2">
      <c r="A28" t="s">
        <v>15</v>
      </c>
      <c r="B28" t="s">
        <v>28</v>
      </c>
      <c r="C28" t="s">
        <v>21</v>
      </c>
      <c r="D28">
        <v>1</v>
      </c>
      <c r="E28">
        <v>5</v>
      </c>
      <c r="F28">
        <v>8.6501999999999996E-2</v>
      </c>
      <c r="G28">
        <v>1.3379E-2</v>
      </c>
      <c r="H28" t="s">
        <v>22</v>
      </c>
      <c r="J28" s="6" t="s">
        <v>42</v>
      </c>
      <c r="K28" s="4" t="str" cm="1">
        <f t="array" ref="K28">IFERROR(INDEX($Q$3:$Q$18, MATCH(1, ($J28=$L$3:$L$18) * (K$25=$J$3:$J$18), 0)), "")</f>
        <v/>
      </c>
      <c r="L28" s="4" t="str" cm="1">
        <f t="array" ref="L28">IFERROR(INDEX($Q$3:$Q$18, MATCH(1, ($J28=$L$3:$L$18) * (L$25=$J$3:$J$18), 0)), "")</f>
        <v/>
      </c>
      <c r="M28" s="4" cm="1">
        <f t="array" ref="M28">IFERROR(INDEX($Q$3:$Q$18, MATCH(1, ($J28=$L$3:$L$18) * (M$25=$J$3:$J$18), 0)), "")</f>
        <v>5.8378702962369902</v>
      </c>
      <c r="N28" s="4"/>
      <c r="O28" s="3" t="s">
        <v>33</v>
      </c>
      <c r="P28" s="4" cm="1">
        <f t="array" ref="P28">INDEX($G$1:$G$100, MATCH(1, ($A$1:$A$100=P$25)*($B$1:$B$100=$K5), 0))</f>
        <v>4.0740000000000004E-3</v>
      </c>
      <c r="Q28" s="4" cm="1">
        <f t="array" ref="Q28">INDEX($G$1:$G$100, MATCH(1, ($A$1:$A$100=Q$25)*($B$1:$B$100=$K5), 0))</f>
        <v>1.4536E-2</v>
      </c>
      <c r="R28" s="4" cm="1">
        <f t="array" ref="R28">INDEX($G$1:$G$100, MATCH(1, ($A$1:$A$100=R$25)*($B$1:$B$100=$K5), 0))</f>
        <v>2.1538149999999998</v>
      </c>
      <c r="S28" s="4" cm="1">
        <f t="array" ref="S28">INDEX($G$1:$G$100, MATCH(1, ($A$1:$A$100=S$25)*($B$1:$B$100=$K5), 0))</f>
        <v>1.4982000000000001E-2</v>
      </c>
      <c r="T28" s="4" t="b">
        <f t="shared" si="6"/>
        <v>1</v>
      </c>
      <c r="U28" s="4" t="b">
        <f t="shared" si="7"/>
        <v>1</v>
      </c>
      <c r="V28" s="4" t="b">
        <f t="shared" si="8"/>
        <v>0</v>
      </c>
      <c r="X28" s="4" t="b">
        <f t="shared" si="9"/>
        <v>1</v>
      </c>
      <c r="Y28" s="4" t="b">
        <f t="shared" si="9"/>
        <v>1</v>
      </c>
      <c r="Z28" s="4" t="b">
        <f t="shared" si="10"/>
        <v>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BB28" t="s">
        <v>32</v>
      </c>
      <c r="BC28" t="s">
        <v>3</v>
      </c>
      <c r="BD28">
        <v>3</v>
      </c>
    </row>
    <row r="29" spans="1:56" x14ac:dyDescent="0.2">
      <c r="A29" t="s">
        <v>15</v>
      </c>
      <c r="B29" t="s">
        <v>32</v>
      </c>
      <c r="C29" t="s">
        <v>21</v>
      </c>
      <c r="D29">
        <v>1</v>
      </c>
      <c r="E29">
        <v>5</v>
      </c>
      <c r="F29">
        <v>0.187528</v>
      </c>
      <c r="G29">
        <v>1.4536E-2</v>
      </c>
      <c r="H29" t="s">
        <v>22</v>
      </c>
      <c r="J29" s="6" t="s">
        <v>47</v>
      </c>
      <c r="K29" s="4" t="str" cm="1">
        <f t="array" ref="K29">IFERROR(INDEX($Q$3:$Q$18, MATCH(1, ($J29=$L$3:$L$18) * (K$25=$J$3:$J$18), 0)), "")</f>
        <v/>
      </c>
      <c r="L29" s="4" t="str" cm="1">
        <f t="array" ref="L29">IFERROR(INDEX($Q$3:$Q$18, MATCH(1, ($J29=$L$3:$L$18) * (L$25=$J$3:$J$18), 0)), "")</f>
        <v/>
      </c>
      <c r="M29" s="4" cm="1">
        <f t="array" ref="M29">IFERROR(INDEX($Q$3:$Q$18, MATCH(1, ($J29=$L$3:$L$18) * (M$25=$J$3:$J$18), 0)), "")</f>
        <v>15.265548401258505</v>
      </c>
      <c r="N29" s="4"/>
      <c r="O29" s="3" t="s">
        <v>35</v>
      </c>
      <c r="P29" s="4" cm="1">
        <f t="array" ref="P29">INDEX($G$1:$G$100, MATCH(1, ($A$1:$A$100=P$25)*($B$1:$B$100=$K6), 0))</f>
        <v>2.8546999999999999E-2</v>
      </c>
      <c r="Q29" s="4" cm="1">
        <f t="array" ref="Q29">INDEX($G$1:$G$100, MATCH(1, ($A$1:$A$100=Q$25)*($B$1:$B$100=$K6), 0))</f>
        <v>1.7454999999999998E-2</v>
      </c>
      <c r="R29" s="4" cm="1">
        <f t="array" ref="R29">INDEX($G$1:$G$100, MATCH(1, ($A$1:$A$100=R$25)*($B$1:$B$100=$K6), 0))</f>
        <v>2.9983979999999999</v>
      </c>
      <c r="S29" s="4" cm="1">
        <f t="array" ref="S29">INDEX($G$1:$G$100, MATCH(1, ($A$1:$A$100=S$25)*($B$1:$B$100=$K6), 0))</f>
        <v>2.0247999999999999E-2</v>
      </c>
      <c r="T29" s="4" t="b">
        <f t="shared" si="6"/>
        <v>1</v>
      </c>
      <c r="U29" s="4" t="b">
        <f t="shared" si="7"/>
        <v>1</v>
      </c>
      <c r="V29" s="4" t="b">
        <f t="shared" si="8"/>
        <v>0</v>
      </c>
      <c r="X29" s="4" t="b">
        <f t="shared" si="9"/>
        <v>1</v>
      </c>
      <c r="Y29" s="4" t="b">
        <f t="shared" si="9"/>
        <v>1</v>
      </c>
      <c r="Z29" s="4" t="b">
        <f t="shared" si="10"/>
        <v>0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BB29" t="s">
        <v>32</v>
      </c>
      <c r="BC29" t="s">
        <v>3</v>
      </c>
      <c r="BD29">
        <v>3</v>
      </c>
    </row>
    <row r="30" spans="1:56" x14ac:dyDescent="0.2">
      <c r="A30" t="s">
        <v>15</v>
      </c>
      <c r="B30" t="s">
        <v>34</v>
      </c>
      <c r="C30" t="s">
        <v>21</v>
      </c>
      <c r="D30">
        <v>1</v>
      </c>
      <c r="E30">
        <v>5</v>
      </c>
      <c r="F30">
        <v>0.56497600000000003</v>
      </c>
      <c r="G30">
        <v>1.7454999999999998E-2</v>
      </c>
      <c r="H30" t="s">
        <v>22</v>
      </c>
      <c r="J30" s="6" t="s">
        <v>52</v>
      </c>
      <c r="K30" s="4" t="str" cm="1">
        <f t="array" ref="K30">IFERROR(INDEX($Q$3:$Q$18, MATCH(1, ($J30=$L$3:$L$18) * (K$25=$J$3:$J$18), 0)), "")</f>
        <v/>
      </c>
      <c r="L30" s="4" t="str" cm="1">
        <f t="array" ref="L30">IFERROR(INDEX($Q$3:$Q$18, MATCH(1, ($J30=$L$3:$L$18) * (L$25=$J$3:$J$18), 0)), "")</f>
        <v/>
      </c>
      <c r="M30" s="4" cm="1">
        <f t="array" ref="M30">IFERROR(INDEX($Q$3:$Q$18, MATCH(1, ($J30=$L$3:$L$18) * (M$25=$J$3:$J$18), 0)), "")</f>
        <v>16.131723317731911</v>
      </c>
      <c r="N30" s="4"/>
      <c r="O30" s="3" t="s">
        <v>37</v>
      </c>
      <c r="P30" s="4" cm="1">
        <f t="array" ref="P30">INDEX($G$1:$G$100, MATCH(1, ($A$1:$A$100=P$25)*($B$1:$B$100=$K7), 0))</f>
        <v>1.3756000000000001E-2</v>
      </c>
      <c r="Q30" s="4" cm="1">
        <f t="array" ref="Q30">INDEX($G$1:$G$100, MATCH(1, ($A$1:$A$100=Q$25)*($B$1:$B$100=$K7), 0))</f>
        <v>5.3010000000000002E-3</v>
      </c>
      <c r="R30" s="4" t="e" cm="1">
        <f t="array" ref="R30">INDEX($G$1:$G$100, MATCH(1, ($A$1:$A$100=R$25)*($B$1:$B$100=$K7), 0))</f>
        <v>#N/A</v>
      </c>
      <c r="S30" s="4" cm="1">
        <f t="array" ref="S30">INDEX($G$1:$G$100, MATCH(1, ($A$1:$A$100=S$25)*($B$1:$B$100=$K7), 0))</f>
        <v>5.561E-3</v>
      </c>
      <c r="T30" s="4" t="b">
        <f t="shared" si="6"/>
        <v>1</v>
      </c>
      <c r="U30" s="4" t="b">
        <f t="shared" si="7"/>
        <v>1</v>
      </c>
      <c r="V30" s="4" t="b">
        <f t="shared" si="8"/>
        <v>0</v>
      </c>
      <c r="X30" s="4" t="b">
        <f t="shared" si="9"/>
        <v>1</v>
      </c>
      <c r="Y30" s="4" t="b">
        <f t="shared" si="9"/>
        <v>1</v>
      </c>
      <c r="Z30" s="4" t="b">
        <f t="shared" si="10"/>
        <v>0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BB30" t="s">
        <v>32</v>
      </c>
      <c r="BC30" t="s">
        <v>3</v>
      </c>
      <c r="BD30">
        <v>3</v>
      </c>
    </row>
    <row r="31" spans="1:56" x14ac:dyDescent="0.2">
      <c r="A31" t="s">
        <v>15</v>
      </c>
      <c r="B31" t="s">
        <v>36</v>
      </c>
      <c r="C31" t="s">
        <v>21</v>
      </c>
      <c r="D31">
        <v>1</v>
      </c>
      <c r="E31">
        <v>5</v>
      </c>
      <c r="F31">
        <v>5.4288999999999997E-2</v>
      </c>
      <c r="G31">
        <v>5.3010000000000002E-3</v>
      </c>
      <c r="H31" t="s">
        <v>22</v>
      </c>
      <c r="J31" s="7" t="s">
        <v>33</v>
      </c>
      <c r="K31" s="4" t="str" cm="1">
        <f t="array" ref="K31">IFERROR(INDEX($Q$3:$Q$18, MATCH(1, ($J31=$L$3:$L$18) * (K$25=$J$3:$J$18), 0)), "")</f>
        <v/>
      </c>
      <c r="L31" s="4" cm="1">
        <f t="array" ref="L31">IFERROR(INDEX($Q$3:$Q$18, MATCH(1, ($J31=$L$3:$L$18) * (L$25=$J$3:$J$18), 0)), "")</f>
        <v>3.9258080723496902</v>
      </c>
      <c r="M31" s="4" t="str" cm="1">
        <f t="array" ref="M31">IFERROR(INDEX($Q$3:$Q$18, MATCH(1, ($J31=$L$3:$L$18) * (M$25=$J$3:$J$18), 0)), "")</f>
        <v/>
      </c>
      <c r="N31" s="4"/>
      <c r="O31" s="3" t="s">
        <v>38</v>
      </c>
      <c r="P31" s="4" cm="1">
        <f t="array" ref="P31">INDEX($G$1:$G$100, MATCH(1, ($A$1:$A$100=P$25)*($B$1:$B$100=$K8), 0))</f>
        <v>3.0957999999999999E-2</v>
      </c>
      <c r="Q31" s="4" cm="1">
        <f t="array" ref="Q31">INDEX($G$1:$G$100, MATCH(1, ($A$1:$A$100=Q$25)*($B$1:$B$100=$K8), 0))</f>
        <v>4.6831999999999999E-2</v>
      </c>
      <c r="R31" s="4" cm="1">
        <f t="array" ref="R31">INDEX($G$1:$G$100, MATCH(1, ($A$1:$A$100=R$25)*($B$1:$B$100=$K8), 0))</f>
        <v>6.1946510000000004</v>
      </c>
      <c r="S31" s="4" cm="1">
        <f t="array" ref="S31">INDEX($G$1:$G$100, MATCH(1, ($A$1:$A$100=S$25)*($B$1:$B$100=$K8), 0))</f>
        <v>1.5205E-2</v>
      </c>
      <c r="T31" s="4" t="b">
        <f t="shared" si="6"/>
        <v>1</v>
      </c>
      <c r="U31" s="4" t="b">
        <f t="shared" si="7"/>
        <v>1</v>
      </c>
      <c r="V31" s="4" t="b">
        <f t="shared" si="8"/>
        <v>0</v>
      </c>
      <c r="X31" s="4" t="b">
        <f t="shared" si="9"/>
        <v>1</v>
      </c>
      <c r="Y31" s="4" t="b">
        <f>IF(ISNA(O8), TRUE, ABS($P8-O8) &gt; MAX($S31, R31))</f>
        <v>1</v>
      </c>
      <c r="Z31" s="4" t="b">
        <f t="shared" si="10"/>
        <v>0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BB31" t="s">
        <v>32</v>
      </c>
      <c r="BC31" t="s">
        <v>3</v>
      </c>
      <c r="BD31">
        <v>3</v>
      </c>
    </row>
    <row r="32" spans="1:56" x14ac:dyDescent="0.2">
      <c r="A32" t="s">
        <v>15</v>
      </c>
      <c r="B32" t="s">
        <v>2</v>
      </c>
      <c r="C32" t="s">
        <v>21</v>
      </c>
      <c r="D32">
        <v>1</v>
      </c>
      <c r="E32">
        <v>5</v>
      </c>
      <c r="F32">
        <v>0.76590000000000003</v>
      </c>
      <c r="G32">
        <v>4.6831999999999999E-2</v>
      </c>
      <c r="H32" t="s">
        <v>22</v>
      </c>
      <c r="J32" s="7" t="s">
        <v>35</v>
      </c>
      <c r="K32" s="4" t="str" cm="1">
        <f t="array" ref="K32">IFERROR(INDEX($Q$3:$Q$18, MATCH(1, ($J32=$L$3:$L$18) * (K$25=$J$3:$J$18), 0)), "")</f>
        <v/>
      </c>
      <c r="L32" s="4" cm="1">
        <f t="array" ref="L32">IFERROR(INDEX($Q$3:$Q$18, MATCH(1, ($J32=$L$3:$L$18) * (L$25=$J$3:$J$18), 0)), "")</f>
        <v>6.7873137914464206</v>
      </c>
      <c r="M32" s="4" t="str" cm="1">
        <f t="array" ref="M32">IFERROR(INDEX($Q$3:$Q$18, MATCH(1, ($J32=$L$3:$L$18) * (M$25=$J$3:$J$18), 0)), "")</f>
        <v/>
      </c>
      <c r="N32" s="4"/>
      <c r="O32" s="3" t="s">
        <v>40</v>
      </c>
      <c r="P32" s="4" cm="1">
        <f t="array" ref="P32">INDEX($G$1:$G$100, MATCH(1, ($A$1:$A$100=P$25)*($B$1:$B$100=$K9), 0))</f>
        <v>0.105325</v>
      </c>
      <c r="Q32" s="4" cm="1">
        <f t="array" ref="Q32">INDEX($G$1:$G$100, MATCH(1, ($A$1:$A$100=Q$25)*($B$1:$B$100=$K9), 0))</f>
        <v>0.33422800000000003</v>
      </c>
      <c r="R32" s="4" t="e" cm="1">
        <f t="array" ref="R32">INDEX($G$1:$G$100, MATCH(1, ($A$1:$A$100=R$25)*($B$1:$B$100=$K9), 0))</f>
        <v>#N/A</v>
      </c>
      <c r="S32" s="4" cm="1">
        <f t="array" ref="S32">INDEX($G$1:$G$100, MATCH(1, ($A$1:$A$100=S$25)*($B$1:$B$100=$K9), 0))</f>
        <v>0.1164</v>
      </c>
      <c r="T32" s="4" t="b">
        <f t="shared" si="6"/>
        <v>1</v>
      </c>
      <c r="U32" s="4" t="b">
        <f t="shared" si="7"/>
        <v>1</v>
      </c>
      <c r="V32" s="4" t="b">
        <f t="shared" si="8"/>
        <v>0</v>
      </c>
      <c r="X32" s="4" t="b">
        <f t="shared" si="9"/>
        <v>1</v>
      </c>
      <c r="Y32" s="4" t="b">
        <f t="shared" si="9"/>
        <v>1</v>
      </c>
      <c r="Z32" s="4" t="b">
        <f t="shared" si="10"/>
        <v>0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BB32" t="s">
        <v>34</v>
      </c>
      <c r="BC32" t="s">
        <v>3</v>
      </c>
      <c r="BD32">
        <v>5</v>
      </c>
    </row>
    <row r="33" spans="1:56" x14ac:dyDescent="0.2">
      <c r="A33" t="s">
        <v>15</v>
      </c>
      <c r="B33" t="s">
        <v>39</v>
      </c>
      <c r="C33" t="s">
        <v>21</v>
      </c>
      <c r="D33">
        <v>1</v>
      </c>
      <c r="E33">
        <v>5</v>
      </c>
      <c r="F33">
        <v>5.7115309999999999</v>
      </c>
      <c r="G33">
        <v>0.33422800000000003</v>
      </c>
      <c r="H33" t="s">
        <v>22</v>
      </c>
      <c r="J33" s="6" t="s">
        <v>38</v>
      </c>
      <c r="K33" s="4" t="str" cm="1">
        <f t="array" ref="K33">IFERROR(INDEX($Q$3:$Q$18, MATCH(1, ($J33=$L$3:$L$18) * (K$25=$J$3:$J$18), 0)), "")</f>
        <v/>
      </c>
      <c r="L33" s="4" cm="1">
        <f t="array" ref="L33">IFERROR(INDEX($Q$3:$Q$18, MATCH(1, ($J33=$L$3:$L$18) * (L$25=$J$3:$J$18), 0)), "")</f>
        <v>2.5962271825901255</v>
      </c>
      <c r="M33" s="4" t="str" cm="1">
        <f t="array" ref="M33">IFERROR(INDEX($Q$3:$Q$18, MATCH(1, ($J33=$L$3:$L$18) * (M$25=$J$3:$J$18), 0)), "")</f>
        <v/>
      </c>
      <c r="N33" s="4"/>
      <c r="O33" s="3" t="s">
        <v>42</v>
      </c>
      <c r="P33" s="4" cm="1">
        <f t="array" ref="P33">INDEX($G$1:$G$100, MATCH(1, ($A$1:$A$100=P$25)*($B$1:$B$100=$K10), 0))</f>
        <v>7.3080000000000003E-3</v>
      </c>
      <c r="Q33" s="4" cm="1">
        <f t="array" ref="Q33">INDEX($G$1:$G$100, MATCH(1, ($A$1:$A$100=Q$25)*($B$1:$B$100=$K10), 0))</f>
        <v>1.5427E-2</v>
      </c>
      <c r="R33" s="4" cm="1">
        <f t="array" ref="R33">INDEX($G$1:$G$100, MATCH(1, ($A$1:$A$100=R$25)*($B$1:$B$100=$K10), 0))</f>
        <v>0.23539399999999999</v>
      </c>
      <c r="S33" s="4" cm="1">
        <f t="array" ref="S33">INDEX($G$1:$G$100, MATCH(1, ($A$1:$A$100=S$25)*($B$1:$B$100=$K10), 0))</f>
        <v>5.0419999999999996E-3</v>
      </c>
      <c r="T33" s="4" t="b">
        <f t="shared" si="6"/>
        <v>1</v>
      </c>
      <c r="U33" s="4" t="b">
        <f t="shared" si="7"/>
        <v>1</v>
      </c>
      <c r="V33" s="4" t="b">
        <f t="shared" si="8"/>
        <v>0</v>
      </c>
      <c r="X33" s="4" t="b">
        <f t="shared" si="9"/>
        <v>1</v>
      </c>
      <c r="Y33" s="4" t="b">
        <f t="shared" si="9"/>
        <v>1</v>
      </c>
      <c r="Z33" s="4" t="b">
        <f t="shared" si="10"/>
        <v>0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BB33" t="s">
        <v>34</v>
      </c>
      <c r="BC33" t="s">
        <v>3</v>
      </c>
      <c r="BD33">
        <v>5</v>
      </c>
    </row>
    <row r="34" spans="1:56" x14ac:dyDescent="0.2">
      <c r="A34" t="s">
        <v>15</v>
      </c>
      <c r="B34" t="s">
        <v>41</v>
      </c>
      <c r="C34" t="s">
        <v>21</v>
      </c>
      <c r="D34">
        <v>1</v>
      </c>
      <c r="E34">
        <v>5</v>
      </c>
      <c r="F34">
        <v>5.8332000000000002E-2</v>
      </c>
      <c r="G34">
        <v>1.5427E-2</v>
      </c>
      <c r="H34" t="s">
        <v>22</v>
      </c>
      <c r="J34" s="6" t="s">
        <v>56</v>
      </c>
      <c r="K34" s="4" t="str" cm="1">
        <f t="array" ref="K34">IFERROR(INDEX($Q$3:$Q$18, MATCH(1, ($J34=$L$3:$L$18) * (K$25=$J$3:$J$18), 0)), "")</f>
        <v/>
      </c>
      <c r="L34" s="4" cm="1">
        <f t="array" ref="L34">IFERROR(INDEX($Q$3:$Q$18, MATCH(1, ($J34=$L$3:$L$18) * (L$25=$J$3:$J$18), 0)), "")</f>
        <v>21.034549160845359</v>
      </c>
      <c r="M34" s="4" t="str" cm="1">
        <f t="array" ref="M34">IFERROR(INDEX($Q$3:$Q$18, MATCH(1, ($J34=$L$3:$L$18) * (M$25=$J$3:$J$18), 0)), "")</f>
        <v/>
      </c>
      <c r="N34" s="4"/>
      <c r="O34" s="3" t="s">
        <v>44</v>
      </c>
      <c r="P34" s="4" cm="1">
        <f t="array" ref="P34">INDEX($G$1:$G$100, MATCH(1, ($A$1:$A$100=P$25)*($B$1:$B$100=$K11), 0))</f>
        <v>18.844328999999998</v>
      </c>
      <c r="Q34" s="4" t="e" cm="1">
        <f t="array" ref="Q34">INDEX($G$1:$G$100, MATCH(1, ($A$1:$A$100=Q$25)*($B$1:$B$100=$K11), 0))</f>
        <v>#N/A</v>
      </c>
      <c r="R34" s="4" t="e" cm="1">
        <f t="array" ref="R34">INDEX($G$1:$G$100, MATCH(1, ($A$1:$A$100=R$25)*($B$1:$B$100=$K11), 0))</f>
        <v>#N/A</v>
      </c>
      <c r="S34" s="4" cm="1">
        <f t="array" ref="S34">INDEX($G$1:$G$100, MATCH(1, ($A$1:$A$100=S$25)*($B$1:$B$100=$K11), 0))</f>
        <v>7.189667</v>
      </c>
      <c r="T34" s="4" t="b">
        <f t="shared" si="6"/>
        <v>1</v>
      </c>
      <c r="U34" s="4" t="b">
        <f t="shared" si="7"/>
        <v>1</v>
      </c>
      <c r="V34" s="4" t="b">
        <f t="shared" si="8"/>
        <v>0</v>
      </c>
      <c r="X34" s="4" t="b">
        <f t="shared" si="9"/>
        <v>1</v>
      </c>
      <c r="Y34" s="4" t="b">
        <f t="shared" si="9"/>
        <v>1</v>
      </c>
      <c r="Z34" s="4" t="b">
        <f t="shared" si="10"/>
        <v>0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BB34" t="s">
        <v>34</v>
      </c>
      <c r="BC34" t="s">
        <v>3</v>
      </c>
      <c r="BD34">
        <v>5</v>
      </c>
    </row>
    <row r="35" spans="1:56" x14ac:dyDescent="0.2">
      <c r="A35" t="s">
        <v>15</v>
      </c>
      <c r="B35" t="s">
        <v>46</v>
      </c>
      <c r="C35" t="s">
        <v>21</v>
      </c>
      <c r="D35">
        <v>1</v>
      </c>
      <c r="E35">
        <v>5</v>
      </c>
      <c r="F35">
        <v>0.83453699999999997</v>
      </c>
      <c r="G35">
        <v>0.104989</v>
      </c>
      <c r="H35" t="s">
        <v>22</v>
      </c>
      <c r="J35" s="6" t="s">
        <v>40</v>
      </c>
      <c r="K35" s="4" t="str" cm="1">
        <f t="array" ref="K35">IFERROR(INDEX($Q$3:$Q$18, MATCH(1, ($J35=$L$3:$L$18) * (K$25=$J$3:$J$18), 0)), "")</f>
        <v/>
      </c>
      <c r="L35" s="4" cm="1">
        <f t="array" ref="L35">IFERROR(INDEX($Q$3:$Q$18, MATCH(1, ($J35=$L$3:$L$18) * (L$25=$J$3:$J$18), 0)), "")</f>
        <v>5.343822569025364</v>
      </c>
      <c r="M35" s="4" t="str" cm="1">
        <f t="array" ref="M35">IFERROR(INDEX($Q$3:$Q$18, MATCH(1, ($J35=$L$3:$L$18) * (M$25=$J$3:$J$18), 0)), "")</f>
        <v/>
      </c>
      <c r="N35" s="4"/>
      <c r="O35" s="3" t="s">
        <v>47</v>
      </c>
      <c r="P35" s="4" cm="1">
        <f t="array" ref="P35">INDEX($G$1:$G$100, MATCH(1, ($A$1:$A$100=P$25)*($B$1:$B$100=$K12), 0))</f>
        <v>1.1276E-2</v>
      </c>
      <c r="Q35" s="4" cm="1">
        <f t="array" ref="Q35">INDEX($G$1:$G$100, MATCH(1, ($A$1:$A$100=Q$25)*($B$1:$B$100=$K12), 0))</f>
        <v>0.104989</v>
      </c>
      <c r="R35" s="4" t="e" cm="1">
        <f t="array" ref="R35">INDEX($G$1:$G$100, MATCH(1, ($A$1:$A$100=R$25)*($B$1:$B$100=$K12), 0))</f>
        <v>#N/A</v>
      </c>
      <c r="S35" s="4" cm="1">
        <f t="array" ref="S35">INDEX($G$1:$G$100, MATCH(1, ($A$1:$A$100=S$25)*($B$1:$B$100=$K12), 0))</f>
        <v>9.1809999999999999E-3</v>
      </c>
      <c r="T35" s="4" t="b">
        <f t="shared" si="6"/>
        <v>1</v>
      </c>
      <c r="U35" s="4" t="b">
        <f t="shared" si="7"/>
        <v>1</v>
      </c>
      <c r="V35" s="4" t="b">
        <f t="shared" si="8"/>
        <v>0</v>
      </c>
      <c r="X35" s="4" t="b">
        <f t="shared" si="9"/>
        <v>1</v>
      </c>
      <c r="Y35" s="4" t="b">
        <f t="shared" si="9"/>
        <v>1</v>
      </c>
      <c r="Z35" s="4" t="b">
        <f t="shared" si="10"/>
        <v>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BB35" t="s">
        <v>34</v>
      </c>
      <c r="BC35" t="s">
        <v>3</v>
      </c>
      <c r="BD35">
        <v>5</v>
      </c>
    </row>
    <row r="36" spans="1:56" x14ac:dyDescent="0.2">
      <c r="A36" t="s">
        <v>15</v>
      </c>
      <c r="B36" t="s">
        <v>45</v>
      </c>
      <c r="C36" t="s">
        <v>21</v>
      </c>
      <c r="D36">
        <v>1</v>
      </c>
      <c r="E36">
        <v>5</v>
      </c>
      <c r="F36">
        <v>0.39185500000000001</v>
      </c>
      <c r="G36">
        <v>6.9461999999999996E-2</v>
      </c>
      <c r="H36" t="s">
        <v>22</v>
      </c>
      <c r="J36" s="6" t="s">
        <v>44</v>
      </c>
      <c r="K36" s="4" t="str" cm="1">
        <f t="array" ref="K36">IFERROR(INDEX($Q$3:$Q$18, MATCH(1, ($J36=$L$3:$L$18) * (K$25=$J$3:$J$18), 0)), "")</f>
        <v/>
      </c>
      <c r="L36" s="4" t="str" cm="1">
        <f t="array" ref="L36">IFERROR(INDEX($Q$3:$Q$18, MATCH(1, ($J36=$L$3:$L$18) * (L$25=$J$3:$J$18), 0)), "")</f>
        <v>DNF</v>
      </c>
      <c r="M36" s="4" t="str" cm="1">
        <f t="array" ref="M36">IFERROR(INDEX($Q$3:$Q$18, MATCH(1, ($J36=$L$3:$L$18) * (M$25=$J$3:$J$18), 0)), "")</f>
        <v/>
      </c>
      <c r="N36" s="4"/>
      <c r="O36" s="3" t="s">
        <v>49</v>
      </c>
      <c r="P36" s="4" cm="1">
        <f t="array" ref="P36">INDEX($G$1:$G$100, MATCH(1, ($A$1:$A$100=P$25)*($B$1:$B$100=$K13), 0))</f>
        <v>1.0397E-2</v>
      </c>
      <c r="Q36" s="4" cm="1">
        <f t="array" ref="Q36">INDEX($G$1:$G$100, MATCH(1, ($A$1:$A$100=Q$25)*($B$1:$B$100=$K13), 0))</f>
        <v>6.9461999999999996E-2</v>
      </c>
      <c r="R36" s="4" t="e" cm="1">
        <f t="array" ref="R36">INDEX($G$1:$G$100, MATCH(1, ($A$1:$A$100=R$25)*($B$1:$B$100=$K13), 0))</f>
        <v>#N/A</v>
      </c>
      <c r="S36" s="4" cm="1">
        <f t="array" ref="S36">INDEX($G$1:$G$100, MATCH(1, ($A$1:$A$100=S$25)*($B$1:$B$100=$K13), 0))</f>
        <v>1.4522999999999999E-2</v>
      </c>
      <c r="T36" s="4" t="b">
        <f t="shared" si="6"/>
        <v>1</v>
      </c>
      <c r="U36" s="4" t="b">
        <f t="shared" si="7"/>
        <v>1</v>
      </c>
      <c r="V36" s="4" t="b">
        <f t="shared" si="8"/>
        <v>0</v>
      </c>
      <c r="X36" s="4" t="b">
        <f t="shared" si="9"/>
        <v>1</v>
      </c>
      <c r="Y36" s="4" t="b">
        <f t="shared" si="9"/>
        <v>1</v>
      </c>
      <c r="Z36" s="4" t="b">
        <f t="shared" si="10"/>
        <v>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BB36" t="s">
        <v>34</v>
      </c>
      <c r="BC36" t="s">
        <v>3</v>
      </c>
      <c r="BD36">
        <v>5</v>
      </c>
    </row>
    <row r="37" spans="1:56" x14ac:dyDescent="0.2">
      <c r="A37" t="s">
        <v>15</v>
      </c>
      <c r="B37" t="s">
        <v>48</v>
      </c>
      <c r="C37" t="s">
        <v>21</v>
      </c>
      <c r="D37">
        <v>1</v>
      </c>
      <c r="E37">
        <v>5</v>
      </c>
      <c r="F37">
        <v>0.953685</v>
      </c>
      <c r="G37">
        <v>6.2190000000000002E-2</v>
      </c>
      <c r="H37" t="s">
        <v>22</v>
      </c>
      <c r="J37" s="6" t="s">
        <v>49</v>
      </c>
      <c r="K37" s="4" t="str" cm="1">
        <f t="array" ref="K37">IFERROR(INDEX($Q$3:$Q$18, MATCH(1, ($J37=$L$3:$L$18) * (K$25=$J$3:$J$18), 0)), "")</f>
        <v/>
      </c>
      <c r="L37" s="4" cm="1">
        <f t="array" ref="L37">IFERROR(INDEX($Q$3:$Q$18, MATCH(1, ($J37=$L$3:$L$18) * (L$25=$J$3:$J$18), 0)), "")</f>
        <v>5.1130640152404814</v>
      </c>
      <c r="M37" s="4" t="str" cm="1">
        <f t="array" ref="M37">IFERROR(INDEX($Q$3:$Q$18, MATCH(1, ($J37=$L$3:$L$18) * (M$25=$J$3:$J$18), 0)), "")</f>
        <v/>
      </c>
      <c r="N37" s="4"/>
      <c r="O37" s="3" t="s">
        <v>50</v>
      </c>
      <c r="P37" s="4" cm="1">
        <f t="array" ref="P37">INDEX($G$1:$G$100, MATCH(1, ($A$1:$A$100=P$25)*($B$1:$B$100=$K14), 0))</f>
        <v>5.5929999999999999E-3</v>
      </c>
      <c r="Q37" s="4" cm="1">
        <f t="array" ref="Q37">INDEX($G$1:$G$100, MATCH(1, ($A$1:$A$100=Q$25)*($B$1:$B$100=$K14), 0))</f>
        <v>6.2190000000000002E-2</v>
      </c>
      <c r="R37" s="4" t="e" cm="1">
        <f t="array" ref="R37">INDEX($G$1:$G$100, MATCH(1, ($A$1:$A$100=R$25)*($B$1:$B$100=$K14), 0))</f>
        <v>#N/A</v>
      </c>
      <c r="S37" s="4" cm="1">
        <f t="array" ref="S37">INDEX($G$1:$G$100, MATCH(1, ($A$1:$A$100=S$25)*($B$1:$B$100=$K14), 0))</f>
        <v>1.4751E-2</v>
      </c>
      <c r="T37" s="4" t="b">
        <f t="shared" si="6"/>
        <v>1</v>
      </c>
      <c r="U37" s="4" t="b">
        <f t="shared" si="7"/>
        <v>1</v>
      </c>
      <c r="V37" s="4" t="b">
        <f t="shared" si="8"/>
        <v>0</v>
      </c>
      <c r="X37" s="4" t="b">
        <f t="shared" si="9"/>
        <v>1</v>
      </c>
      <c r="Y37" s="4" t="b">
        <f t="shared" si="9"/>
        <v>1</v>
      </c>
      <c r="Z37" s="4" t="b">
        <f t="shared" si="10"/>
        <v>0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BB37" t="s">
        <v>34</v>
      </c>
      <c r="BC37" t="s">
        <v>3</v>
      </c>
      <c r="BD37">
        <v>5</v>
      </c>
    </row>
    <row r="38" spans="1:56" x14ac:dyDescent="0.2">
      <c r="A38" t="s">
        <v>15</v>
      </c>
      <c r="B38" t="s">
        <v>51</v>
      </c>
      <c r="C38" t="s">
        <v>21</v>
      </c>
      <c r="D38">
        <v>1</v>
      </c>
      <c r="E38">
        <v>5</v>
      </c>
      <c r="F38">
        <v>0.84097900000000003</v>
      </c>
      <c r="G38">
        <v>7.0915000000000006E-2</v>
      </c>
      <c r="H38" t="s">
        <v>22</v>
      </c>
      <c r="J38" s="6" t="s">
        <v>50</v>
      </c>
      <c r="K38" s="4" t="str" cm="1">
        <f t="array" ref="K38">IFERROR(INDEX($Q$3:$Q$18, MATCH(1, ($J38=$L$3:$L$18) * (K$25=$J$3:$J$18), 0)), "")</f>
        <v/>
      </c>
      <c r="L38" s="4" cm="1">
        <f t="array" ref="L38">IFERROR(INDEX($Q$3:$Q$18, MATCH(1, ($J38=$L$3:$L$18) * (L$25=$J$3:$J$18), 0)), "")</f>
        <v>10.226526979497297</v>
      </c>
      <c r="M38" s="4" t="str" cm="1">
        <f t="array" ref="M38">IFERROR(INDEX($Q$3:$Q$18, MATCH(1, ($J38=$L$3:$L$18) * (M$25=$J$3:$J$18), 0)), "")</f>
        <v/>
      </c>
      <c r="N38" s="4"/>
      <c r="O38" s="3" t="s">
        <v>52</v>
      </c>
      <c r="P38" s="4" cm="1">
        <f t="array" ref="P38">INDEX($G$1:$G$100, MATCH(1, ($A$1:$A$100=P$25)*($B$1:$B$100=$K15), 0))</f>
        <v>9.7160000000000007E-3</v>
      </c>
      <c r="Q38" s="4" cm="1">
        <f t="array" ref="Q38">INDEX($G$1:$G$100, MATCH(1, ($A$1:$A$100=Q$25)*($B$1:$B$100=$K15), 0))</f>
        <v>7.0915000000000006E-2</v>
      </c>
      <c r="R38" s="4" t="e" cm="1">
        <f t="array" ref="R38">INDEX($G$1:$G$100, MATCH(1, ($A$1:$A$100=R$25)*($B$1:$B$100=$K15), 0))</f>
        <v>#N/A</v>
      </c>
      <c r="S38" s="4" cm="1">
        <f t="array" ref="S38">INDEX($G$1:$G$100, MATCH(1, ($A$1:$A$100=S$25)*($B$1:$B$100=$K15), 0))</f>
        <v>8.2050000000000005E-3</v>
      </c>
      <c r="T38" s="4" t="b">
        <f t="shared" si="6"/>
        <v>1</v>
      </c>
      <c r="U38" s="4" t="b">
        <f t="shared" si="7"/>
        <v>1</v>
      </c>
      <c r="V38" s="4" t="b">
        <f t="shared" si="8"/>
        <v>0</v>
      </c>
      <c r="X38" s="4" t="b">
        <f t="shared" si="9"/>
        <v>1</v>
      </c>
      <c r="Y38" s="4" t="b">
        <f t="shared" si="9"/>
        <v>1</v>
      </c>
      <c r="Z38" s="4" t="b">
        <f t="shared" si="10"/>
        <v>0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BB38" t="s">
        <v>34</v>
      </c>
      <c r="BC38" t="s">
        <v>3</v>
      </c>
      <c r="BD38">
        <v>5</v>
      </c>
    </row>
    <row r="39" spans="1:56" x14ac:dyDescent="0.2">
      <c r="A39" t="s">
        <v>15</v>
      </c>
      <c r="B39" t="s">
        <v>26</v>
      </c>
      <c r="C39" t="s">
        <v>21</v>
      </c>
      <c r="D39">
        <v>1</v>
      </c>
      <c r="E39">
        <v>5</v>
      </c>
      <c r="F39">
        <v>0.152309</v>
      </c>
      <c r="G39">
        <v>9.2919999999999999E-3</v>
      </c>
      <c r="H39" t="s">
        <v>22</v>
      </c>
      <c r="J39" s="7" t="s">
        <v>25</v>
      </c>
      <c r="K39" s="4" cm="1">
        <f t="array" ref="K39">IFERROR(INDEX($Q$3:$Q$18, MATCH(1, ($J39=$L$3:$L$18) * (K$25=$J$3:$J$18), 0)), "")</f>
        <v>2.0190536253487754</v>
      </c>
      <c r="L39" s="4" t="str" cm="1">
        <f t="array" ref="L39">IFERROR(INDEX($Q$3:$Q$18, MATCH(1, ($J39=$L$3:$L$18) * (L$25=$J$3:$J$18), 0)), "")</f>
        <v/>
      </c>
      <c r="M39" s="4" t="str" cm="1">
        <f t="array" ref="M39">IFERROR(INDEX($Q$3:$Q$18, MATCH(1, ($J39=$L$3:$L$18) * (M$25=$J$3:$J$18), 0)), "")</f>
        <v/>
      </c>
      <c r="N39" s="4"/>
      <c r="O39" s="3" t="s">
        <v>54</v>
      </c>
      <c r="P39" s="4" cm="1">
        <f t="array" ref="P39">INDEX($G$1:$G$100, MATCH(1, ($A$1:$A$100=P$25)*($B$1:$B$100=$K16), 0))</f>
        <v>1.235E-3</v>
      </c>
      <c r="Q39" s="4" cm="1">
        <f t="array" ref="Q39">INDEX($G$1:$G$100, MATCH(1, ($A$1:$A$100=Q$25)*($B$1:$B$100=$K16), 0))</f>
        <v>9.2919999999999999E-3</v>
      </c>
      <c r="R39" s="4" cm="1">
        <f t="array" ref="R39">INDEX($G$1:$G$100, MATCH(1, ($A$1:$A$100=R$25)*($B$1:$B$100=$K16), 0))</f>
        <v>0.101012</v>
      </c>
      <c r="S39" s="4" cm="1">
        <f t="array" ref="S39">INDEX($G$1:$G$100, MATCH(1, ($A$1:$A$100=S$25)*($B$1:$B$100=$K16), 0))</f>
        <v>6.9569999999999996E-3</v>
      </c>
      <c r="T39" s="4" t="b">
        <f t="shared" si="6"/>
        <v>1</v>
      </c>
      <c r="U39" s="4" t="b">
        <f t="shared" si="7"/>
        <v>1</v>
      </c>
      <c r="V39" s="4" t="b">
        <f t="shared" si="8"/>
        <v>0</v>
      </c>
      <c r="X39" s="4" t="b">
        <f t="shared" si="9"/>
        <v>1</v>
      </c>
      <c r="Y39" s="4" t="b">
        <f t="shared" si="9"/>
        <v>1</v>
      </c>
      <c r="Z39" s="4" t="b">
        <f t="shared" si="10"/>
        <v>0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BB39" t="s">
        <v>34</v>
      </c>
      <c r="BC39" t="s">
        <v>3</v>
      </c>
      <c r="BD39">
        <v>5</v>
      </c>
    </row>
    <row r="40" spans="1:56" x14ac:dyDescent="0.2">
      <c r="A40" t="s">
        <v>15</v>
      </c>
      <c r="B40" t="s">
        <v>30</v>
      </c>
      <c r="C40" t="s">
        <v>21</v>
      </c>
      <c r="D40">
        <v>1</v>
      </c>
      <c r="E40">
        <v>5</v>
      </c>
      <c r="F40">
        <v>7.9342999999999997E-2</v>
      </c>
      <c r="G40">
        <v>1.7704000000000001E-2</v>
      </c>
      <c r="H40" t="s">
        <v>22</v>
      </c>
      <c r="J40" s="7" t="s">
        <v>54</v>
      </c>
      <c r="K40" s="4" cm="1">
        <f t="array" ref="K40">IFERROR(INDEX($Q$3:$Q$18, MATCH(1, ($J40=$L$3:$L$18) * (K$25=$J$3:$J$18), 0)), "")</f>
        <v>5.7542408100041555</v>
      </c>
      <c r="L40" s="4" t="str" cm="1">
        <f t="array" ref="L40">IFERROR(INDEX($Q$3:$Q$18, MATCH(1, ($J40=$L$3:$L$18) * (L$25=$J$3:$J$18), 0)), "")</f>
        <v/>
      </c>
      <c r="M40" s="4" t="str" cm="1">
        <f t="array" ref="M40">IFERROR(INDEX($Q$3:$Q$18, MATCH(1, ($J40=$L$3:$L$18) * (M$25=$J$3:$J$18), 0)), "")</f>
        <v/>
      </c>
      <c r="N40" s="4"/>
      <c r="O40" s="3" t="s">
        <v>55</v>
      </c>
      <c r="P40" s="4" cm="1">
        <f t="array" ref="P40">INDEX($G$1:$G$100, MATCH(1, ($A$1:$A$100=P$25)*($B$1:$B$100=$K17), 0))</f>
        <v>8.2719999999999998E-3</v>
      </c>
      <c r="Q40" s="4" cm="1">
        <f t="array" ref="Q40">INDEX($G$1:$G$100, MATCH(1, ($A$1:$A$100=Q$25)*($B$1:$B$100=$K17), 0))</f>
        <v>1.7704000000000001E-2</v>
      </c>
      <c r="R40" s="4" cm="1">
        <f t="array" ref="R40">INDEX($G$1:$G$100, MATCH(1, ($A$1:$A$100=R$25)*($B$1:$B$100=$K17), 0))</f>
        <v>1.4732E-2</v>
      </c>
      <c r="S40" s="4" cm="1">
        <f t="array" ref="S40">INDEX($G$1:$G$100, MATCH(1, ($A$1:$A$100=S$25)*($B$1:$B$100=$K17), 0))</f>
        <v>7.4130000000000003E-3</v>
      </c>
      <c r="T40" s="4" t="b">
        <f t="shared" si="6"/>
        <v>1</v>
      </c>
      <c r="U40" s="4" t="b">
        <f t="shared" si="7"/>
        <v>1</v>
      </c>
      <c r="V40" s="4" t="b">
        <f t="shared" si="8"/>
        <v>0</v>
      </c>
      <c r="X40" s="4" t="b">
        <f t="shared" si="9"/>
        <v>1</v>
      </c>
      <c r="Y40" s="4" t="b">
        <f t="shared" si="9"/>
        <v>1</v>
      </c>
      <c r="Z40" s="4" t="b">
        <f t="shared" si="10"/>
        <v>0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BB40" t="s">
        <v>34</v>
      </c>
      <c r="BC40" t="s">
        <v>3</v>
      </c>
      <c r="BD40">
        <v>5</v>
      </c>
    </row>
    <row r="41" spans="1:56" x14ac:dyDescent="0.2">
      <c r="A41" t="s">
        <v>15</v>
      </c>
      <c r="B41" t="s">
        <v>53</v>
      </c>
      <c r="C41" t="s">
        <v>21</v>
      </c>
      <c r="D41">
        <v>1</v>
      </c>
      <c r="E41">
        <v>5</v>
      </c>
      <c r="F41">
        <v>2.6106609999999999</v>
      </c>
      <c r="G41">
        <v>0.29087299999999999</v>
      </c>
      <c r="H41" t="s">
        <v>22</v>
      </c>
      <c r="J41" s="7" t="s">
        <v>55</v>
      </c>
      <c r="K41" s="4" cm="1">
        <f t="array" ref="K41">IFERROR(INDEX($Q$3:$Q$18, MATCH(1, ($J41=$L$3:$L$18) * (K$25=$J$3:$J$18), 0)), "")</f>
        <v>3.7910554732667587</v>
      </c>
      <c r="L41" s="4" t="str" cm="1">
        <f t="array" ref="L41">IFERROR(INDEX($Q$3:$Q$18, MATCH(1, ($J41=$L$3:$L$18) * (L$25=$J$3:$J$18), 0)), "")</f>
        <v/>
      </c>
      <c r="M41" s="4" t="str" cm="1">
        <f t="array" ref="M41">IFERROR(INDEX($Q$3:$Q$18, MATCH(1, ($J41=$L$3:$L$18) * (M$25=$J$3:$J$18), 0)), "")</f>
        <v/>
      </c>
      <c r="N41" s="4"/>
      <c r="O41" s="3" t="s">
        <v>56</v>
      </c>
      <c r="P41" s="4" cm="1">
        <f t="array" ref="P41">INDEX($G$1:$G$100, MATCH(1, ($A$1:$A$100=P$25)*($B$1:$B$100=$K18), 0))</f>
        <v>3.0519000000000001E-2</v>
      </c>
      <c r="Q41" s="4" cm="1">
        <f t="array" ref="Q41">INDEX($G$1:$G$100, MATCH(1, ($A$1:$A$100=Q$25)*($B$1:$B$100=$K18), 0))</f>
        <v>0.29087299999999999</v>
      </c>
      <c r="R41" s="4" t="e" cm="1">
        <f t="array" ref="R41">INDEX($G$1:$G$100, MATCH(1, ($A$1:$A$100=R$25)*($B$1:$B$100=$K18), 0))</f>
        <v>#N/A</v>
      </c>
      <c r="S41" s="4" cm="1">
        <f t="array" ref="S41">INDEX($G$1:$G$100, MATCH(1, ($A$1:$A$100=S$25)*($B$1:$B$100=$K18), 0))</f>
        <v>1.1287E-2</v>
      </c>
      <c r="T41" s="4" t="b">
        <f t="shared" si="6"/>
        <v>1</v>
      </c>
      <c r="U41" s="4" t="b">
        <f t="shared" si="7"/>
        <v>1</v>
      </c>
      <c r="V41" s="4" t="b">
        <f t="shared" si="8"/>
        <v>0</v>
      </c>
      <c r="X41" s="4" t="b">
        <f t="shared" si="9"/>
        <v>1</v>
      </c>
      <c r="Y41" s="4" t="b">
        <f t="shared" si="9"/>
        <v>1</v>
      </c>
      <c r="Z41" s="4" t="b">
        <f t="shared" si="10"/>
        <v>0</v>
      </c>
      <c r="BB41" t="s">
        <v>34</v>
      </c>
      <c r="BC41" t="s">
        <v>3</v>
      </c>
      <c r="BD41">
        <v>5</v>
      </c>
    </row>
    <row r="42" spans="1:56" x14ac:dyDescent="0.2">
      <c r="A42" t="s">
        <v>14</v>
      </c>
      <c r="B42" t="s">
        <v>24</v>
      </c>
      <c r="C42" t="s">
        <v>21</v>
      </c>
      <c r="D42">
        <v>1</v>
      </c>
      <c r="E42">
        <v>5</v>
      </c>
      <c r="F42">
        <v>0.20930399999999999</v>
      </c>
      <c r="G42">
        <v>5.9805999999999998E-2</v>
      </c>
      <c r="H42" t="s">
        <v>22</v>
      </c>
      <c r="T42" s="2"/>
      <c r="BB42" t="s">
        <v>2</v>
      </c>
      <c r="BC42" t="s">
        <v>3</v>
      </c>
      <c r="BD42">
        <v>3</v>
      </c>
    </row>
    <row r="43" spans="1:56" x14ac:dyDescent="0.2">
      <c r="A43" t="s">
        <v>14</v>
      </c>
      <c r="B43" t="s">
        <v>28</v>
      </c>
      <c r="C43" t="s">
        <v>21</v>
      </c>
      <c r="D43">
        <v>1</v>
      </c>
      <c r="E43">
        <v>5</v>
      </c>
      <c r="F43">
        <v>2.0128E-2</v>
      </c>
      <c r="G43">
        <v>1.0291E-2</v>
      </c>
      <c r="H43" t="s">
        <v>22</v>
      </c>
      <c r="J43" s="7" t="s">
        <v>58</v>
      </c>
      <c r="T43" s="3"/>
      <c r="BB43" t="s">
        <v>2</v>
      </c>
      <c r="BC43" t="s">
        <v>3</v>
      </c>
      <c r="BD43">
        <v>3</v>
      </c>
    </row>
    <row r="44" spans="1:56" x14ac:dyDescent="0.2">
      <c r="A44" t="s">
        <v>14</v>
      </c>
      <c r="B44" t="s">
        <v>32</v>
      </c>
      <c r="C44" t="s">
        <v>21</v>
      </c>
      <c r="D44">
        <v>1</v>
      </c>
      <c r="E44">
        <v>5</v>
      </c>
      <c r="F44">
        <v>4.7767999999999998E-2</v>
      </c>
      <c r="G44">
        <v>4.0740000000000004E-3</v>
      </c>
      <c r="H44" t="s">
        <v>22</v>
      </c>
      <c r="J44" t="s">
        <v>12</v>
      </c>
      <c r="K44" s="6" t="s">
        <v>23</v>
      </c>
      <c r="L44" s="6" t="s">
        <v>31</v>
      </c>
      <c r="M44" s="6" t="s">
        <v>27</v>
      </c>
      <c r="T44" s="3"/>
      <c r="BB44" t="s">
        <v>2</v>
      </c>
      <c r="BC44" t="s">
        <v>3</v>
      </c>
      <c r="BD44">
        <v>3</v>
      </c>
    </row>
    <row r="45" spans="1:56" x14ac:dyDescent="0.2">
      <c r="A45" t="s">
        <v>14</v>
      </c>
      <c r="B45" t="s">
        <v>34</v>
      </c>
      <c r="C45" t="s">
        <v>21</v>
      </c>
      <c r="D45">
        <v>1</v>
      </c>
      <c r="E45">
        <v>5</v>
      </c>
      <c r="F45">
        <v>8.3239999999999995E-2</v>
      </c>
      <c r="G45">
        <v>2.8546999999999999E-2</v>
      </c>
      <c r="H45" t="s">
        <v>22</v>
      </c>
      <c r="J45" s="7" t="s">
        <v>29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241.38319753577105</v>
      </c>
      <c r="T45" s="3"/>
      <c r="BB45" t="s">
        <v>2</v>
      </c>
      <c r="BC45" t="s">
        <v>3</v>
      </c>
      <c r="BD45">
        <v>3</v>
      </c>
    </row>
    <row r="46" spans="1:56" x14ac:dyDescent="0.2">
      <c r="A46" t="s">
        <v>14</v>
      </c>
      <c r="B46" t="s">
        <v>36</v>
      </c>
      <c r="C46" t="s">
        <v>21</v>
      </c>
      <c r="D46">
        <v>1</v>
      </c>
      <c r="E46">
        <v>5</v>
      </c>
      <c r="F46">
        <v>1.9879999999999998E-2</v>
      </c>
      <c r="G46">
        <v>1.3756000000000001E-2</v>
      </c>
      <c r="H46" t="s">
        <v>22</v>
      </c>
      <c r="J46" s="6" t="s">
        <v>37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t="str" cm="1">
        <f t="array" ref="M46">IFERROR(INDEX($R$3:$R$18, MATCH(1, ($J46=$L$3:$L$18) * (M$44=$J$3:$J$18), 0)), "")</f>
        <v>DNF</v>
      </c>
      <c r="T46" s="3"/>
      <c r="BB46" t="s">
        <v>2</v>
      </c>
      <c r="BC46" t="s">
        <v>3</v>
      </c>
      <c r="BD46">
        <v>3</v>
      </c>
    </row>
    <row r="47" spans="1:56" x14ac:dyDescent="0.2">
      <c r="A47" t="s">
        <v>14</v>
      </c>
      <c r="B47" t="s">
        <v>2</v>
      </c>
      <c r="C47" t="s">
        <v>21</v>
      </c>
      <c r="D47">
        <v>1</v>
      </c>
      <c r="E47">
        <v>5</v>
      </c>
      <c r="F47">
        <v>0.29500500000000002</v>
      </c>
      <c r="G47">
        <v>3.0957999999999999E-2</v>
      </c>
      <c r="H47" t="s">
        <v>22</v>
      </c>
      <c r="J47" s="6" t="s">
        <v>42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1768.8827061649322</v>
      </c>
      <c r="T47" s="3"/>
      <c r="BB47" t="s">
        <v>2</v>
      </c>
      <c r="BC47" t="s">
        <v>3</v>
      </c>
      <c r="BD47">
        <v>3</v>
      </c>
    </row>
    <row r="48" spans="1:56" x14ac:dyDescent="0.2">
      <c r="A48" t="s">
        <v>14</v>
      </c>
      <c r="B48" t="s">
        <v>39</v>
      </c>
      <c r="C48" t="s">
        <v>21</v>
      </c>
      <c r="D48">
        <v>1</v>
      </c>
      <c r="E48">
        <v>5</v>
      </c>
      <c r="F48">
        <v>1.06881</v>
      </c>
      <c r="G48">
        <v>0.105325</v>
      </c>
      <c r="H48" t="s">
        <v>22</v>
      </c>
      <c r="J48" s="6" t="s">
        <v>47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t="str" cm="1">
        <f t="array" ref="M48">IFERROR(INDEX($R$3:$R$18, MATCH(1, ($J48=$L$3:$L$18) * (M$44=$J$3:$J$18), 0)), "")</f>
        <v>DNF</v>
      </c>
      <c r="T48" s="3"/>
      <c r="BB48" t="s">
        <v>2</v>
      </c>
      <c r="BC48" t="s">
        <v>3</v>
      </c>
      <c r="BD48">
        <v>3</v>
      </c>
    </row>
    <row r="49" spans="1:56" x14ac:dyDescent="0.2">
      <c r="A49" t="s">
        <v>14</v>
      </c>
      <c r="B49" t="s">
        <v>41</v>
      </c>
      <c r="C49" t="s">
        <v>21</v>
      </c>
      <c r="D49">
        <v>1</v>
      </c>
      <c r="E49">
        <v>5</v>
      </c>
      <c r="F49">
        <v>9.9919999999999991E-3</v>
      </c>
      <c r="G49">
        <v>7.3080000000000003E-3</v>
      </c>
      <c r="H49" t="s">
        <v>22</v>
      </c>
      <c r="J49" s="6" t="s">
        <v>52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t="str" cm="1">
        <f t="array" ref="M49">IFERROR(INDEX($R$3:$R$18, MATCH(1, ($J49=$L$3:$L$18) * (M$44=$J$3:$J$18), 0)), "")</f>
        <v>DNF</v>
      </c>
      <c r="T49" s="3"/>
      <c r="BB49" t="s">
        <v>2</v>
      </c>
      <c r="BC49" t="s">
        <v>3</v>
      </c>
      <c r="BD49">
        <v>3</v>
      </c>
    </row>
    <row r="50" spans="1:56" x14ac:dyDescent="0.2">
      <c r="A50" t="s">
        <v>14</v>
      </c>
      <c r="B50" t="s">
        <v>43</v>
      </c>
      <c r="C50" t="s">
        <v>21</v>
      </c>
      <c r="D50">
        <v>1</v>
      </c>
      <c r="E50">
        <v>5</v>
      </c>
      <c r="F50">
        <v>181.487921</v>
      </c>
      <c r="G50">
        <v>18.844328999999998</v>
      </c>
      <c r="H50" t="s">
        <v>22</v>
      </c>
      <c r="J50" s="7" t="s">
        <v>33</v>
      </c>
      <c r="K50" t="str" cm="1">
        <f t="array" ref="K50">IFERROR(INDEX($R$3:$R$18, MATCH(1, ($J50=$L$3:$L$18) * (K$44=$J$3:$J$18), 0)), "")</f>
        <v/>
      </c>
      <c r="L50" cm="1">
        <f t="array" ref="L50">IFERROR(INDEX($R$3:$R$18, MATCH(1, ($J50=$L$3:$L$18) * (L$44=$J$3:$J$18), 0)), "")</f>
        <v>694.97339222910728</v>
      </c>
      <c r="M50" t="str" cm="1">
        <f t="array" ref="M50">IFERROR(INDEX($R$3:$R$18, MATCH(1, ($J50=$L$3:$L$18) * (M$44=$J$3:$J$18), 0)), "")</f>
        <v/>
      </c>
      <c r="T50" s="3"/>
      <c r="BB50" t="s">
        <v>2</v>
      </c>
      <c r="BC50" t="s">
        <v>3</v>
      </c>
      <c r="BD50">
        <v>3</v>
      </c>
    </row>
    <row r="51" spans="1:56" x14ac:dyDescent="0.2">
      <c r="A51" t="s">
        <v>14</v>
      </c>
      <c r="B51" t="s">
        <v>46</v>
      </c>
      <c r="C51" t="s">
        <v>21</v>
      </c>
      <c r="D51">
        <v>1</v>
      </c>
      <c r="E51">
        <v>5</v>
      </c>
      <c r="F51">
        <v>5.4668000000000001E-2</v>
      </c>
      <c r="G51">
        <v>1.1276E-2</v>
      </c>
      <c r="H51" t="s">
        <v>22</v>
      </c>
      <c r="J51" s="7" t="s">
        <v>35</v>
      </c>
      <c r="K51" t="str" cm="1">
        <f t="array" ref="K51">IFERROR(INDEX($R$3:$R$18, MATCH(1, ($J51=$L$3:$L$18) * (K$44=$J$3:$J$18), 0)), "")</f>
        <v/>
      </c>
      <c r="L51" cm="1">
        <f t="array" ref="L51">IFERROR(INDEX($R$3:$R$18, MATCH(1, ($J51=$L$3:$L$18) * (L$44=$J$3:$J$18), 0)), "")</f>
        <v>1675.2500120134553</v>
      </c>
      <c r="M51" t="str" cm="1">
        <f t="array" ref="M51">IFERROR(INDEX($R$3:$R$18, MATCH(1, ($J51=$L$3:$L$18) * (M$44=$J$3:$J$18), 0)), "")</f>
        <v/>
      </c>
      <c r="T51" s="3"/>
      <c r="AD51" s="5"/>
      <c r="AE51" s="5"/>
      <c r="AF51" s="5"/>
      <c r="BB51" t="s">
        <v>2</v>
      </c>
      <c r="BC51" t="s">
        <v>3</v>
      </c>
      <c r="BD51">
        <v>3</v>
      </c>
    </row>
    <row r="52" spans="1:56" x14ac:dyDescent="0.2">
      <c r="A52" t="s">
        <v>14</v>
      </c>
      <c r="B52" t="s">
        <v>45</v>
      </c>
      <c r="C52" t="s">
        <v>21</v>
      </c>
      <c r="D52">
        <v>1</v>
      </c>
      <c r="E52">
        <v>5</v>
      </c>
      <c r="F52">
        <v>7.6637999999999998E-2</v>
      </c>
      <c r="G52">
        <v>1.0397E-2</v>
      </c>
      <c r="H52" t="s">
        <v>22</v>
      </c>
      <c r="J52" s="6" t="s">
        <v>38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46.910448975441092</v>
      </c>
      <c r="M52" t="str" cm="1">
        <f t="array" ref="M52">IFERROR(INDEX($R$3:$R$18, MATCH(1, ($J52=$L$3:$L$18) * (M$44=$J$3:$J$18), 0)), "")</f>
        <v/>
      </c>
      <c r="T52" s="3"/>
      <c r="AD52" s="5"/>
      <c r="AE52" s="5"/>
      <c r="AF52" s="5"/>
      <c r="BB52" t="s">
        <v>41</v>
      </c>
      <c r="BC52" t="s">
        <v>3</v>
      </c>
      <c r="BD52">
        <v>3</v>
      </c>
    </row>
    <row r="53" spans="1:56" x14ac:dyDescent="0.2">
      <c r="A53" t="s">
        <v>14</v>
      </c>
      <c r="B53" t="s">
        <v>48</v>
      </c>
      <c r="C53" t="s">
        <v>21</v>
      </c>
      <c r="D53">
        <v>1</v>
      </c>
      <c r="E53">
        <v>5</v>
      </c>
      <c r="F53">
        <v>9.3256000000000006E-2</v>
      </c>
      <c r="G53">
        <v>5.5929999999999999E-3</v>
      </c>
      <c r="H53" t="s">
        <v>22</v>
      </c>
      <c r="J53" s="6" t="s">
        <v>56</v>
      </c>
      <c r="K53" t="str" cm="1">
        <f t="array" ref="K53">IFERROR(INDEX($R$3:$R$18, MATCH(1, ($J53=$L$3:$L$18) * (K$44=$J$3:$J$18), 0)), "")</f>
        <v/>
      </c>
      <c r="L53" t="str" cm="1">
        <f t="array" ref="L53">IFERROR(INDEX($R$3:$R$18, MATCH(1, ($J53=$L$3:$L$18) * (L$44=$J$3:$J$18), 0)), "")</f>
        <v>DNF</v>
      </c>
      <c r="M53" t="str" cm="1">
        <f t="array" ref="M53">IFERROR(INDEX($R$3:$R$18, MATCH(1, ($J53=$L$3:$L$18) * (M$44=$J$3:$J$18), 0)), "")</f>
        <v/>
      </c>
      <c r="T53" s="3"/>
      <c r="AD53" s="5"/>
      <c r="AE53" s="5"/>
      <c r="AF53" s="5"/>
      <c r="BB53" t="s">
        <v>41</v>
      </c>
      <c r="BC53" t="s">
        <v>3</v>
      </c>
      <c r="BD53">
        <v>3</v>
      </c>
    </row>
    <row r="54" spans="1:56" x14ac:dyDescent="0.2">
      <c r="A54" t="s">
        <v>14</v>
      </c>
      <c r="B54" t="s">
        <v>51</v>
      </c>
      <c r="C54" t="s">
        <v>21</v>
      </c>
      <c r="D54">
        <v>1</v>
      </c>
      <c r="E54">
        <v>5</v>
      </c>
      <c r="F54">
        <v>5.2131999999999998E-2</v>
      </c>
      <c r="G54">
        <v>9.7160000000000007E-3</v>
      </c>
      <c r="H54" t="s">
        <v>22</v>
      </c>
      <c r="J54" s="6" t="s">
        <v>40</v>
      </c>
      <c r="K54" t="str" cm="1">
        <f t="array" ref="K54">IFERROR(INDEX($R$3:$R$18, MATCH(1, ($J54=$L$3:$L$18) * (K$44=$J$3:$J$18), 0)), "")</f>
        <v/>
      </c>
      <c r="L54" t="str" cm="1">
        <f t="array" ref="L54">IFERROR(INDEX($R$3:$R$18, MATCH(1, ($J54=$L$3:$L$18) * (L$44=$J$3:$J$18), 0)), "")</f>
        <v>DNF</v>
      </c>
      <c r="M54" t="str" cm="1">
        <f t="array" ref="M54">IFERROR(INDEX($R$3:$R$18, MATCH(1, ($J54=$L$3:$L$18) * (M$44=$J$3:$J$18), 0)), "")</f>
        <v/>
      </c>
      <c r="T54" s="3"/>
      <c r="AD54" s="5"/>
      <c r="AE54" s="5"/>
      <c r="AF54" s="5"/>
      <c r="BB54" t="s">
        <v>41</v>
      </c>
      <c r="BC54" t="s">
        <v>3</v>
      </c>
      <c r="BD54">
        <v>3</v>
      </c>
    </row>
    <row r="55" spans="1:56" x14ac:dyDescent="0.2">
      <c r="A55" t="s">
        <v>14</v>
      </c>
      <c r="B55" t="s">
        <v>26</v>
      </c>
      <c r="C55" t="s">
        <v>21</v>
      </c>
      <c r="D55">
        <v>1</v>
      </c>
      <c r="E55">
        <v>5</v>
      </c>
      <c r="F55">
        <v>2.6468999999999999E-2</v>
      </c>
      <c r="G55">
        <v>1.235E-3</v>
      </c>
      <c r="H55" t="s">
        <v>22</v>
      </c>
      <c r="J55" s="6" t="s">
        <v>44</v>
      </c>
      <c r="K55" t="str" cm="1">
        <f t="array" ref="K55">IFERROR(INDEX($R$3:$R$18, MATCH(1, ($J55=$L$3:$L$18) * (K$44=$J$3:$J$18), 0)), "")</f>
        <v/>
      </c>
      <c r="L55" t="str" cm="1">
        <f t="array" ref="L55">IFERROR(INDEX($R$3:$R$18, MATCH(1, ($J55=$L$3:$L$18) * (L$44=$J$3:$J$18), 0)), "")</f>
        <v>DNF</v>
      </c>
      <c r="M55" t="str" cm="1">
        <f t="array" ref="M55">IFERROR(INDEX($R$3:$R$18, MATCH(1, ($J55=$L$3:$L$18) * (M$44=$J$3:$J$18), 0)), "")</f>
        <v/>
      </c>
      <c r="T55" s="3"/>
      <c r="AD55" s="5"/>
      <c r="AE55" s="5"/>
      <c r="AF55" s="5"/>
      <c r="BB55" t="s">
        <v>41</v>
      </c>
      <c r="BC55" t="s">
        <v>3</v>
      </c>
      <c r="BD55">
        <v>3</v>
      </c>
    </row>
    <row r="56" spans="1:56" x14ac:dyDescent="0.2">
      <c r="A56" t="s">
        <v>14</v>
      </c>
      <c r="B56" t="s">
        <v>30</v>
      </c>
      <c r="C56" t="s">
        <v>21</v>
      </c>
      <c r="D56">
        <v>1</v>
      </c>
      <c r="E56">
        <v>5</v>
      </c>
      <c r="F56">
        <v>2.0929E-2</v>
      </c>
      <c r="G56">
        <v>8.2719999999999998E-3</v>
      </c>
      <c r="H56" t="s">
        <v>22</v>
      </c>
      <c r="J56" s="6" t="s">
        <v>49</v>
      </c>
      <c r="K56" t="str" cm="1">
        <f t="array" ref="K56">IFERROR(INDEX($R$3:$R$18, MATCH(1, ($J56=$L$3:$L$18) * (K$44=$J$3:$J$18), 0)), "")</f>
        <v/>
      </c>
      <c r="L56" t="str" cm="1">
        <f t="array" ref="L56">IFERROR(INDEX($R$3:$R$18, MATCH(1, ($J56=$L$3:$L$18) * (L$44=$J$3:$J$18), 0)), "")</f>
        <v>DNF</v>
      </c>
      <c r="M56" t="str" cm="1">
        <f t="array" ref="M56">IFERROR(INDEX($R$3:$R$18, MATCH(1, ($J56=$L$3:$L$18) * (M$44=$J$3:$J$18), 0)), "")</f>
        <v/>
      </c>
      <c r="T56" s="3"/>
      <c r="AD56" s="5"/>
      <c r="AE56" s="5"/>
      <c r="AF56" s="5"/>
      <c r="BB56" t="s">
        <v>41</v>
      </c>
      <c r="BC56" t="s">
        <v>3</v>
      </c>
      <c r="BD56">
        <v>3</v>
      </c>
    </row>
    <row r="57" spans="1:56" x14ac:dyDescent="0.2">
      <c r="A57" t="s">
        <v>14</v>
      </c>
      <c r="B57" t="s">
        <v>53</v>
      </c>
      <c r="C57" t="s">
        <v>21</v>
      </c>
      <c r="D57">
        <v>1</v>
      </c>
      <c r="E57">
        <v>5</v>
      </c>
      <c r="F57">
        <v>0.124113</v>
      </c>
      <c r="G57">
        <v>3.0519000000000001E-2</v>
      </c>
      <c r="H57" t="s">
        <v>22</v>
      </c>
      <c r="J57" s="6" t="s">
        <v>50</v>
      </c>
      <c r="K57" t="str" cm="1">
        <f t="array" ref="K57">IFERROR(INDEX($R$3:$R$18, MATCH(1, ($J57=$L$3:$L$18) * (K$44=$J$3:$J$18), 0)), "")</f>
        <v/>
      </c>
      <c r="L57" t="str" cm="1">
        <f t="array" ref="L57">IFERROR(INDEX($R$3:$R$18, MATCH(1, ($J57=$L$3:$L$18) * (L$44=$J$3:$J$18), 0)), "")</f>
        <v>DNF</v>
      </c>
      <c r="M57" t="str" cm="1">
        <f t="array" ref="M57">IFERROR(INDEX($R$3:$R$18, MATCH(1, ($J57=$L$3:$L$18) * (M$44=$J$3:$J$18), 0)), "")</f>
        <v/>
      </c>
      <c r="T57" s="3"/>
      <c r="AD57" s="5"/>
      <c r="AE57" s="5"/>
      <c r="AF57" s="5"/>
      <c r="BB57" t="s">
        <v>41</v>
      </c>
      <c r="BC57" t="s">
        <v>3</v>
      </c>
      <c r="BD57">
        <v>3</v>
      </c>
    </row>
    <row r="58" spans="1:56" x14ac:dyDescent="0.2">
      <c r="J58" s="7" t="s">
        <v>25</v>
      </c>
      <c r="K58" cm="1">
        <f t="array" ref="K58">IFERROR(INDEX($R$3:$R$18, MATCH(1, ($J58=$L$3:$L$18) * (K$44=$J$3:$J$18), 0)), "")</f>
        <v>17.734171348851433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  <c r="T58" s="3"/>
      <c r="AD58" s="5"/>
      <c r="AE58" s="5"/>
      <c r="AF58" s="5"/>
      <c r="BB58" t="s">
        <v>41</v>
      </c>
      <c r="BC58" t="s">
        <v>3</v>
      </c>
      <c r="BD58">
        <v>3</v>
      </c>
    </row>
    <row r="59" spans="1:56" x14ac:dyDescent="0.2">
      <c r="J59" s="7" t="s">
        <v>54</v>
      </c>
      <c r="K59" cm="1">
        <f t="array" ref="K59">IFERROR(INDEX($R$3:$R$18, MATCH(1, ($J59=$L$3:$L$18) * (K$44=$J$3:$J$18), 0)), "")</f>
        <v>21.839925951112622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  <c r="AD59" s="5"/>
      <c r="AE59" s="5"/>
      <c r="AF59" s="5"/>
      <c r="BB59" t="s">
        <v>41</v>
      </c>
      <c r="BC59" t="s">
        <v>3</v>
      </c>
      <c r="BD59">
        <v>3</v>
      </c>
    </row>
    <row r="60" spans="1:56" x14ac:dyDescent="0.2">
      <c r="J60" s="7" t="s">
        <v>55</v>
      </c>
      <c r="K60" cm="1">
        <f t="array" ref="K60">IFERROR(INDEX($R$3:$R$18, MATCH(1, ($J60=$L$3:$L$18) * (K$44=$J$3:$J$18), 0)), "")</f>
        <v>15.89540828515457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  <c r="AD60" s="5"/>
      <c r="AE60" s="5"/>
      <c r="AF60" s="5"/>
      <c r="BB60" t="s">
        <v>41</v>
      </c>
      <c r="BC60" t="s">
        <v>3</v>
      </c>
      <c r="BD60">
        <v>3</v>
      </c>
    </row>
    <row r="61" spans="1:56" x14ac:dyDescent="0.2">
      <c r="AD61" s="5"/>
      <c r="AE61" s="5"/>
      <c r="AF61" s="5"/>
      <c r="BB61" t="s">
        <v>41</v>
      </c>
      <c r="BC61" t="s">
        <v>3</v>
      </c>
      <c r="BD61">
        <v>3</v>
      </c>
    </row>
    <row r="62" spans="1:56" x14ac:dyDescent="0.2">
      <c r="J62" s="7" t="s">
        <v>107</v>
      </c>
      <c r="AD62" s="5"/>
      <c r="AE62" s="5"/>
      <c r="AF62" s="5"/>
      <c r="BB62" t="s">
        <v>26</v>
      </c>
      <c r="BC62" t="s">
        <v>3</v>
      </c>
      <c r="BD62">
        <v>9</v>
      </c>
    </row>
    <row r="63" spans="1:56" x14ac:dyDescent="0.2">
      <c r="J63" t="s">
        <v>12</v>
      </c>
      <c r="K63" s="6" t="s">
        <v>23</v>
      </c>
      <c r="L63" s="6" t="s">
        <v>31</v>
      </c>
      <c r="M63" s="6" t="s">
        <v>27</v>
      </c>
      <c r="AD63" s="5"/>
      <c r="AE63" s="5"/>
      <c r="AF63" s="5"/>
      <c r="BB63" t="s">
        <v>26</v>
      </c>
      <c r="BC63" t="s">
        <v>3</v>
      </c>
      <c r="BD63">
        <v>9</v>
      </c>
    </row>
    <row r="64" spans="1:56" x14ac:dyDescent="0.2">
      <c r="J64" s="7" t="s">
        <v>29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0.81582869634340227</v>
      </c>
      <c r="AD64" s="5"/>
      <c r="AE64" s="5"/>
      <c r="AF64" s="5"/>
      <c r="BB64" t="s">
        <v>26</v>
      </c>
      <c r="BC64" t="s">
        <v>3</v>
      </c>
      <c r="BD64">
        <v>9</v>
      </c>
    </row>
    <row r="65" spans="1:56" x14ac:dyDescent="0.2">
      <c r="J65" s="6" t="s">
        <v>37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0.83113682092555341</v>
      </c>
      <c r="AD65" s="5"/>
      <c r="AE65" s="5"/>
      <c r="AF65" s="5"/>
      <c r="BB65" t="s">
        <v>26</v>
      </c>
      <c r="BC65" t="s">
        <v>3</v>
      </c>
      <c r="BD65">
        <v>9</v>
      </c>
    </row>
    <row r="66" spans="1:56" x14ac:dyDescent="0.2">
      <c r="J66" s="6" t="s">
        <v>42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0.8362690152121699</v>
      </c>
      <c r="AD66" s="5"/>
      <c r="AE66" s="5"/>
      <c r="AF66" s="5"/>
      <c r="BB66" t="s">
        <v>26</v>
      </c>
      <c r="BC66" t="s">
        <v>3</v>
      </c>
      <c r="BD66">
        <v>9</v>
      </c>
    </row>
    <row r="67" spans="1:56" x14ac:dyDescent="0.2">
      <c r="J67" s="6" t="s">
        <v>47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0.96368991000219506</v>
      </c>
      <c r="BB67" t="s">
        <v>26</v>
      </c>
      <c r="BC67" t="s">
        <v>3</v>
      </c>
      <c r="BD67">
        <v>9</v>
      </c>
    </row>
    <row r="68" spans="1:56" x14ac:dyDescent="0.2">
      <c r="J68" s="6" t="s">
        <v>52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0.91381493132816705</v>
      </c>
      <c r="BB68" t="s">
        <v>26</v>
      </c>
      <c r="BC68" t="s">
        <v>3</v>
      </c>
      <c r="BD68">
        <v>9</v>
      </c>
    </row>
    <row r="69" spans="1:56" x14ac:dyDescent="0.2">
      <c r="J69" s="7" t="s">
        <v>33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0.94919192765030991</v>
      </c>
      <c r="M69" t="str" cm="1">
        <f t="array" ref="M69">IFERROR(INDEX($S$3:$S$18, MATCH(1, ($J50=$L$3:$L$18) * (M$44=$J$3:$J$18), 0)), "")</f>
        <v/>
      </c>
      <c r="BB69" t="s">
        <v>26</v>
      </c>
      <c r="BC69" t="s">
        <v>3</v>
      </c>
      <c r="BD69">
        <v>9</v>
      </c>
    </row>
    <row r="70" spans="1:56" x14ac:dyDescent="0.2">
      <c r="J70" s="7" t="s">
        <v>35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0.90367611725132146</v>
      </c>
      <c r="M70" t="str" cm="1">
        <f t="array" ref="M70">IFERROR(INDEX($S$3:$S$18, MATCH(1, ($J51=$L$3:$L$18) * (M$44=$J$3:$J$18), 0)), "")</f>
        <v/>
      </c>
      <c r="BB70" t="s">
        <v>26</v>
      </c>
      <c r="BC70" t="s">
        <v>3</v>
      </c>
      <c r="BD70">
        <v>9</v>
      </c>
    </row>
    <row r="71" spans="1:56" x14ac:dyDescent="0.2">
      <c r="J71" s="6" t="s">
        <v>38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1.0169217470890324</v>
      </c>
      <c r="M71" t="str" cm="1">
        <f t="array" ref="M71">IFERROR(INDEX($S$3:$S$18, MATCH(1, ($J52=$L$3:$L$18) * (M$44=$J$3:$J$18), 0)), "")</f>
        <v/>
      </c>
      <c r="BB71" t="s">
        <v>26</v>
      </c>
      <c r="BC71" t="s">
        <v>3</v>
      </c>
      <c r="BD71">
        <v>9</v>
      </c>
    </row>
    <row r="72" spans="1:56" x14ac:dyDescent="0.2">
      <c r="J72" s="6" t="s">
        <v>56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0.99689798812372599</v>
      </c>
      <c r="M72" t="str" cm="1">
        <f t="array" ref="M72">IFERROR(INDEX($S$3:$S$18, MATCH(1, ($J53=$L$3:$L$18) * (M$44=$J$3:$J$18), 0)), "")</f>
        <v/>
      </c>
      <c r="BB72" t="s">
        <v>30</v>
      </c>
      <c r="BC72" t="s">
        <v>3</v>
      </c>
      <c r="BD72">
        <v>5</v>
      </c>
    </row>
    <row r="73" spans="1:56" x14ac:dyDescent="0.2">
      <c r="J73" s="6" t="s">
        <v>40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1.0379000944976189</v>
      </c>
      <c r="M73" t="str" cm="1">
        <f t="array" ref="M73">IFERROR(INDEX($S$3:$S$18, MATCH(1, ($J54=$L$3:$L$18) * (M$44=$J$3:$J$18), 0)), "")</f>
        <v/>
      </c>
      <c r="BB73" t="s">
        <v>30</v>
      </c>
      <c r="BC73" t="s">
        <v>3</v>
      </c>
      <c r="BD73">
        <v>5</v>
      </c>
    </row>
    <row r="74" spans="1:56" x14ac:dyDescent="0.2">
      <c r="A74" s="22"/>
      <c r="B74" s="22"/>
      <c r="C74" s="22"/>
      <c r="D74" s="22"/>
      <c r="E74" s="22"/>
      <c r="F74" s="22"/>
      <c r="G74" s="22"/>
      <c r="H74" s="22"/>
      <c r="J74" s="6" t="s">
        <v>44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0.98229221546925971</v>
      </c>
      <c r="M74" t="str" cm="1">
        <f t="array" ref="M74">IFERROR(INDEX($S$3:$S$18, MATCH(1, ($J55=$L$3:$L$18) * (M$44=$J$3:$J$18), 0)), "")</f>
        <v/>
      </c>
      <c r="BB74" t="s">
        <v>30</v>
      </c>
      <c r="BC74" t="s">
        <v>3</v>
      </c>
      <c r="BD74">
        <v>5</v>
      </c>
    </row>
    <row r="75" spans="1:56" x14ac:dyDescent="0.2">
      <c r="J75" s="6" t="s">
        <v>49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0.97826143688509615</v>
      </c>
      <c r="M75" t="str" cm="1">
        <f t="array" ref="M75">IFERROR(INDEX($S$3:$S$18, MATCH(1, ($J56=$L$3:$L$18) * (M$44=$J$3:$J$18), 0)), "")</f>
        <v/>
      </c>
      <c r="BB75" t="s">
        <v>30</v>
      </c>
      <c r="BC75" t="s">
        <v>3</v>
      </c>
      <c r="BD75">
        <v>5</v>
      </c>
    </row>
    <row r="76" spans="1:56" x14ac:dyDescent="0.2">
      <c r="J76" s="6" t="s">
        <v>50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0.95018014926653505</v>
      </c>
      <c r="M76" t="str" cm="1">
        <f t="array" ref="M76">IFERROR(INDEX($S$3:$S$18, MATCH(1, ($J57=$L$3:$L$18) * (M$44=$J$3:$J$18), 0)), "")</f>
        <v/>
      </c>
      <c r="BB76" t="s">
        <v>30</v>
      </c>
      <c r="BC76" t="s">
        <v>3</v>
      </c>
      <c r="BD76">
        <v>5</v>
      </c>
    </row>
    <row r="77" spans="1:56" x14ac:dyDescent="0.2">
      <c r="J77" s="7" t="s">
        <v>25</v>
      </c>
      <c r="K77" cm="1">
        <f t="array" ref="K77">IFERROR(INDEX($S$3:$S$18, MATCH(1, ($J58=$L$3:$L$18) * (K$44=$J$3:$J$18), 0)), "")</f>
        <v>1.0205968352253183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  <c r="BB77" t="s">
        <v>30</v>
      </c>
      <c r="BC77" t="s">
        <v>3</v>
      </c>
      <c r="BD77">
        <v>5</v>
      </c>
    </row>
    <row r="78" spans="1:56" x14ac:dyDescent="0.2">
      <c r="J78" s="7" t="s">
        <v>54</v>
      </c>
      <c r="K78" cm="1">
        <f t="array" ref="K78">IFERROR(INDEX($S$3:$S$18, MATCH(1, ($J59=$L$3:$L$18) * (K$44=$J$3:$J$18), 0)), "")</f>
        <v>0.96962484415731609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  <c r="BB78" t="s">
        <v>30</v>
      </c>
      <c r="BC78" t="s">
        <v>3</v>
      </c>
      <c r="BD78">
        <v>5</v>
      </c>
    </row>
    <row r="79" spans="1:56" x14ac:dyDescent="0.2">
      <c r="J79" s="7" t="s">
        <v>55</v>
      </c>
      <c r="K79" cm="1">
        <f t="array" ref="K79">IFERROR(INDEX($S$3:$S$18, MATCH(1, ($J60=$L$3:$L$18) * (K$44=$J$3:$J$18), 0)), "")</f>
        <v>0.83252902670935058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  <c r="BB79" t="s">
        <v>30</v>
      </c>
      <c r="BC79" t="s">
        <v>3</v>
      </c>
      <c r="BD79">
        <v>5</v>
      </c>
    </row>
    <row r="80" spans="1:56" x14ac:dyDescent="0.2">
      <c r="BB80" t="s">
        <v>30</v>
      </c>
      <c r="BC80" t="s">
        <v>3</v>
      </c>
      <c r="BD80">
        <v>5</v>
      </c>
    </row>
    <row r="81" spans="54:56" x14ac:dyDescent="0.2">
      <c r="BB81" t="s">
        <v>30</v>
      </c>
      <c r="BC81" t="s">
        <v>3</v>
      </c>
      <c r="BD81">
        <v>5</v>
      </c>
    </row>
    <row r="82" spans="54:56" x14ac:dyDescent="0.2">
      <c r="BB82" t="s">
        <v>24</v>
      </c>
      <c r="BC82" t="s">
        <v>20</v>
      </c>
      <c r="BD82">
        <v>15</v>
      </c>
    </row>
    <row r="83" spans="54:56" x14ac:dyDescent="0.2">
      <c r="BB83" t="s">
        <v>24</v>
      </c>
      <c r="BC83" t="s">
        <v>20</v>
      </c>
      <c r="BD83">
        <v>15</v>
      </c>
    </row>
    <row r="84" spans="54:56" x14ac:dyDescent="0.2">
      <c r="BB84" t="s">
        <v>24</v>
      </c>
      <c r="BC84" t="s">
        <v>20</v>
      </c>
      <c r="BD84">
        <v>15</v>
      </c>
    </row>
    <row r="85" spans="54:56" x14ac:dyDescent="0.2">
      <c r="BB85" t="s">
        <v>24</v>
      </c>
      <c r="BC85" t="s">
        <v>20</v>
      </c>
      <c r="BD85">
        <v>15</v>
      </c>
    </row>
    <row r="86" spans="54:56" x14ac:dyDescent="0.2">
      <c r="BB86" t="s">
        <v>24</v>
      </c>
      <c r="BC86" t="s">
        <v>20</v>
      </c>
      <c r="BD86">
        <v>15</v>
      </c>
    </row>
    <row r="87" spans="54:56" x14ac:dyDescent="0.2">
      <c r="BB87" t="s">
        <v>24</v>
      </c>
      <c r="BC87" t="s">
        <v>20</v>
      </c>
      <c r="BD87">
        <v>15</v>
      </c>
    </row>
    <row r="88" spans="54:56" x14ac:dyDescent="0.2">
      <c r="BB88" t="s">
        <v>24</v>
      </c>
      <c r="BC88" t="s">
        <v>20</v>
      </c>
      <c r="BD88">
        <v>15</v>
      </c>
    </row>
    <row r="89" spans="54:56" x14ac:dyDescent="0.2">
      <c r="BB89" t="s">
        <v>24</v>
      </c>
      <c r="BC89" t="s">
        <v>20</v>
      </c>
      <c r="BD89">
        <v>15</v>
      </c>
    </row>
    <row r="90" spans="54:56" x14ac:dyDescent="0.2">
      <c r="BB90" t="s">
        <v>24</v>
      </c>
      <c r="BC90" t="s">
        <v>20</v>
      </c>
      <c r="BD90">
        <v>15</v>
      </c>
    </row>
    <row r="91" spans="54:56" x14ac:dyDescent="0.2">
      <c r="BB91" t="s">
        <v>24</v>
      </c>
      <c r="BC91" t="s">
        <v>20</v>
      </c>
      <c r="BD91">
        <v>15</v>
      </c>
    </row>
    <row r="92" spans="54:56" x14ac:dyDescent="0.2">
      <c r="BB92" t="s">
        <v>28</v>
      </c>
      <c r="BC92" t="s">
        <v>20</v>
      </c>
      <c r="BD92">
        <v>4</v>
      </c>
    </row>
    <row r="93" spans="54:56" x14ac:dyDescent="0.2">
      <c r="BB93" t="s">
        <v>28</v>
      </c>
      <c r="BC93" t="s">
        <v>20</v>
      </c>
      <c r="BD93">
        <v>4</v>
      </c>
    </row>
    <row r="94" spans="54:56" x14ac:dyDescent="0.2">
      <c r="BB94" t="s">
        <v>28</v>
      </c>
      <c r="BC94" t="s">
        <v>20</v>
      </c>
      <c r="BD94">
        <v>4</v>
      </c>
    </row>
    <row r="95" spans="54:56" x14ac:dyDescent="0.2">
      <c r="BB95" t="s">
        <v>28</v>
      </c>
      <c r="BC95" t="s">
        <v>20</v>
      </c>
      <c r="BD95">
        <v>4</v>
      </c>
    </row>
    <row r="96" spans="54:56" x14ac:dyDescent="0.2">
      <c r="BB96" t="s">
        <v>28</v>
      </c>
      <c r="BC96" t="s">
        <v>20</v>
      </c>
      <c r="BD96">
        <v>4</v>
      </c>
    </row>
    <row r="97" spans="54:56" x14ac:dyDescent="0.2">
      <c r="BB97" t="s">
        <v>28</v>
      </c>
      <c r="BC97" t="s">
        <v>20</v>
      </c>
      <c r="BD97">
        <v>4</v>
      </c>
    </row>
    <row r="98" spans="54:56" x14ac:dyDescent="0.2">
      <c r="BB98" t="s">
        <v>28</v>
      </c>
      <c r="BC98" t="s">
        <v>20</v>
      </c>
      <c r="BD98">
        <v>4</v>
      </c>
    </row>
    <row r="99" spans="54:56" x14ac:dyDescent="0.2">
      <c r="BB99" t="s">
        <v>28</v>
      </c>
      <c r="BC99" t="s">
        <v>20</v>
      </c>
      <c r="BD99">
        <v>4</v>
      </c>
    </row>
    <row r="100" spans="54:56" x14ac:dyDescent="0.2">
      <c r="BB100" t="s">
        <v>28</v>
      </c>
      <c r="BC100" t="s">
        <v>20</v>
      </c>
      <c r="BD100">
        <v>4</v>
      </c>
    </row>
    <row r="101" spans="54:56" x14ac:dyDescent="0.2">
      <c r="BB101" t="s">
        <v>28</v>
      </c>
      <c r="BC101" t="s">
        <v>20</v>
      </c>
      <c r="BD101">
        <v>4</v>
      </c>
    </row>
    <row r="102" spans="54:56" x14ac:dyDescent="0.2">
      <c r="BB102" t="s">
        <v>32</v>
      </c>
      <c r="BC102" t="s">
        <v>20</v>
      </c>
      <c r="BD102">
        <v>3</v>
      </c>
    </row>
    <row r="103" spans="54:56" x14ac:dyDescent="0.2">
      <c r="BB103" t="s">
        <v>32</v>
      </c>
      <c r="BC103" t="s">
        <v>20</v>
      </c>
      <c r="BD103">
        <v>3</v>
      </c>
    </row>
    <row r="104" spans="54:56" x14ac:dyDescent="0.2">
      <c r="BB104" t="s">
        <v>32</v>
      </c>
      <c r="BC104" t="s">
        <v>20</v>
      </c>
      <c r="BD104">
        <v>3</v>
      </c>
    </row>
    <row r="105" spans="54:56" x14ac:dyDescent="0.2">
      <c r="BB105" t="s">
        <v>32</v>
      </c>
      <c r="BC105" t="s">
        <v>20</v>
      </c>
      <c r="BD105">
        <v>3</v>
      </c>
    </row>
    <row r="106" spans="54:56" x14ac:dyDescent="0.2">
      <c r="BB106" t="s">
        <v>32</v>
      </c>
      <c r="BC106" t="s">
        <v>20</v>
      </c>
      <c r="BD106">
        <v>3</v>
      </c>
    </row>
    <row r="107" spans="54:56" x14ac:dyDescent="0.2">
      <c r="BB107" t="s">
        <v>32</v>
      </c>
      <c r="BC107" t="s">
        <v>20</v>
      </c>
      <c r="BD107">
        <v>3</v>
      </c>
    </row>
    <row r="108" spans="54:56" x14ac:dyDescent="0.2">
      <c r="BB108" t="s">
        <v>32</v>
      </c>
      <c r="BC108" t="s">
        <v>20</v>
      </c>
      <c r="BD108">
        <v>3</v>
      </c>
    </row>
    <row r="109" spans="54:56" x14ac:dyDescent="0.2">
      <c r="BB109" t="s">
        <v>32</v>
      </c>
      <c r="BC109" t="s">
        <v>20</v>
      </c>
      <c r="BD109">
        <v>3</v>
      </c>
    </row>
    <row r="110" spans="54:56" x14ac:dyDescent="0.2">
      <c r="BB110" t="s">
        <v>32</v>
      </c>
      <c r="BC110" t="s">
        <v>20</v>
      </c>
      <c r="BD110">
        <v>3</v>
      </c>
    </row>
    <row r="111" spans="54:56" x14ac:dyDescent="0.2">
      <c r="BB111" t="s">
        <v>32</v>
      </c>
      <c r="BC111" t="s">
        <v>20</v>
      </c>
      <c r="BD111">
        <v>3</v>
      </c>
    </row>
    <row r="112" spans="54:56" x14ac:dyDescent="0.2">
      <c r="BB112" t="s">
        <v>34</v>
      </c>
      <c r="BC112" t="s">
        <v>20</v>
      </c>
      <c r="BD112">
        <v>5</v>
      </c>
    </row>
    <row r="113" spans="54:56" x14ac:dyDescent="0.2">
      <c r="BB113" t="s">
        <v>34</v>
      </c>
      <c r="BC113" t="s">
        <v>20</v>
      </c>
      <c r="BD113">
        <v>5</v>
      </c>
    </row>
    <row r="114" spans="54:56" x14ac:dyDescent="0.2">
      <c r="BB114" t="s">
        <v>34</v>
      </c>
      <c r="BC114" t="s">
        <v>20</v>
      </c>
      <c r="BD114">
        <v>5</v>
      </c>
    </row>
    <row r="115" spans="54:56" x14ac:dyDescent="0.2">
      <c r="BB115" t="s">
        <v>34</v>
      </c>
      <c r="BC115" t="s">
        <v>20</v>
      </c>
      <c r="BD115">
        <v>5</v>
      </c>
    </row>
    <row r="116" spans="54:56" x14ac:dyDescent="0.2">
      <c r="BB116" t="s">
        <v>34</v>
      </c>
      <c r="BC116" t="s">
        <v>20</v>
      </c>
      <c r="BD116">
        <v>5</v>
      </c>
    </row>
    <row r="117" spans="54:56" x14ac:dyDescent="0.2">
      <c r="BB117" t="s">
        <v>34</v>
      </c>
      <c r="BC117" t="s">
        <v>20</v>
      </c>
      <c r="BD117">
        <v>5</v>
      </c>
    </row>
    <row r="118" spans="54:56" x14ac:dyDescent="0.2">
      <c r="BB118" t="s">
        <v>34</v>
      </c>
      <c r="BC118" t="s">
        <v>20</v>
      </c>
      <c r="BD118">
        <v>5</v>
      </c>
    </row>
    <row r="119" spans="54:56" x14ac:dyDescent="0.2">
      <c r="BB119" t="s">
        <v>34</v>
      </c>
      <c r="BC119" t="s">
        <v>20</v>
      </c>
      <c r="BD119">
        <v>5</v>
      </c>
    </row>
    <row r="120" spans="54:56" x14ac:dyDescent="0.2">
      <c r="BB120" t="s">
        <v>34</v>
      </c>
      <c r="BC120" t="s">
        <v>20</v>
      </c>
      <c r="BD120">
        <v>5</v>
      </c>
    </row>
    <row r="121" spans="54:56" x14ac:dyDescent="0.2">
      <c r="BB121" t="s">
        <v>34</v>
      </c>
      <c r="BC121" t="s">
        <v>20</v>
      </c>
      <c r="BD121">
        <v>5</v>
      </c>
    </row>
    <row r="122" spans="54:56" x14ac:dyDescent="0.2">
      <c r="BB122" t="s">
        <v>36</v>
      </c>
      <c r="BC122" t="s">
        <v>20</v>
      </c>
      <c r="BD122">
        <v>1</v>
      </c>
    </row>
    <row r="123" spans="54:56" x14ac:dyDescent="0.2">
      <c r="BB123" t="s">
        <v>36</v>
      </c>
      <c r="BC123" t="s">
        <v>20</v>
      </c>
      <c r="BD123">
        <v>1</v>
      </c>
    </row>
    <row r="124" spans="54:56" x14ac:dyDescent="0.2">
      <c r="BB124" t="s">
        <v>36</v>
      </c>
      <c r="BC124" t="s">
        <v>20</v>
      </c>
      <c r="BD124">
        <v>1</v>
      </c>
    </row>
    <row r="125" spans="54:56" x14ac:dyDescent="0.2">
      <c r="BB125" t="s">
        <v>36</v>
      </c>
      <c r="BC125" t="s">
        <v>20</v>
      </c>
      <c r="BD125">
        <v>1</v>
      </c>
    </row>
    <row r="126" spans="54:56" x14ac:dyDescent="0.2">
      <c r="BB126" t="s">
        <v>36</v>
      </c>
      <c r="BC126" t="s">
        <v>20</v>
      </c>
      <c r="BD126">
        <v>1</v>
      </c>
    </row>
    <row r="127" spans="54:56" x14ac:dyDescent="0.2">
      <c r="BB127" t="s">
        <v>36</v>
      </c>
      <c r="BC127" t="s">
        <v>20</v>
      </c>
      <c r="BD127">
        <v>1</v>
      </c>
    </row>
    <row r="128" spans="54:56" x14ac:dyDescent="0.2">
      <c r="BB128" t="s">
        <v>36</v>
      </c>
      <c r="BC128" t="s">
        <v>20</v>
      </c>
      <c r="BD128">
        <v>1</v>
      </c>
    </row>
    <row r="129" spans="54:56" x14ac:dyDescent="0.2">
      <c r="BB129" t="s">
        <v>36</v>
      </c>
      <c r="BC129" t="s">
        <v>20</v>
      </c>
      <c r="BD129">
        <v>1</v>
      </c>
    </row>
    <row r="130" spans="54:56" x14ac:dyDescent="0.2">
      <c r="BB130" t="s">
        <v>36</v>
      </c>
      <c r="BC130" t="s">
        <v>20</v>
      </c>
      <c r="BD130">
        <v>1</v>
      </c>
    </row>
    <row r="131" spans="54:56" x14ac:dyDescent="0.2">
      <c r="BB131" t="s">
        <v>36</v>
      </c>
      <c r="BC131" t="s">
        <v>20</v>
      </c>
      <c r="BD131">
        <v>1</v>
      </c>
    </row>
    <row r="132" spans="54:56" x14ac:dyDescent="0.2">
      <c r="BB132" t="s">
        <v>2</v>
      </c>
      <c r="BC132" t="s">
        <v>20</v>
      </c>
      <c r="BD132">
        <v>3</v>
      </c>
    </row>
    <row r="133" spans="54:56" x14ac:dyDescent="0.2">
      <c r="BB133" t="s">
        <v>2</v>
      </c>
      <c r="BC133" t="s">
        <v>20</v>
      </c>
      <c r="BD133">
        <v>3</v>
      </c>
    </row>
    <row r="134" spans="54:56" x14ac:dyDescent="0.2">
      <c r="BB134" t="s">
        <v>2</v>
      </c>
      <c r="BC134" t="s">
        <v>20</v>
      </c>
      <c r="BD134">
        <v>3</v>
      </c>
    </row>
    <row r="135" spans="54:56" x14ac:dyDescent="0.2">
      <c r="BB135" t="s">
        <v>2</v>
      </c>
      <c r="BC135" t="s">
        <v>20</v>
      </c>
      <c r="BD135">
        <v>3</v>
      </c>
    </row>
    <row r="136" spans="54:56" x14ac:dyDescent="0.2">
      <c r="BB136" t="s">
        <v>2</v>
      </c>
      <c r="BC136" t="s">
        <v>20</v>
      </c>
      <c r="BD136">
        <v>3</v>
      </c>
    </row>
    <row r="137" spans="54:56" x14ac:dyDescent="0.2">
      <c r="BB137" t="s">
        <v>2</v>
      </c>
      <c r="BC137" t="s">
        <v>20</v>
      </c>
      <c r="BD137">
        <v>3</v>
      </c>
    </row>
    <row r="138" spans="54:56" x14ac:dyDescent="0.2">
      <c r="BB138" t="s">
        <v>2</v>
      </c>
      <c r="BC138" t="s">
        <v>20</v>
      </c>
      <c r="BD138">
        <v>3</v>
      </c>
    </row>
    <row r="139" spans="54:56" x14ac:dyDescent="0.2">
      <c r="BB139" t="s">
        <v>2</v>
      </c>
      <c r="BC139" t="s">
        <v>20</v>
      </c>
      <c r="BD139">
        <v>3</v>
      </c>
    </row>
    <row r="140" spans="54:56" x14ac:dyDescent="0.2">
      <c r="BB140" t="s">
        <v>2</v>
      </c>
      <c r="BC140" t="s">
        <v>20</v>
      </c>
      <c r="BD140">
        <v>3</v>
      </c>
    </row>
    <row r="141" spans="54:56" x14ac:dyDescent="0.2">
      <c r="BB141" t="s">
        <v>2</v>
      </c>
      <c r="BC141" t="s">
        <v>20</v>
      </c>
      <c r="BD141">
        <v>3</v>
      </c>
    </row>
    <row r="142" spans="54:56" x14ac:dyDescent="0.2">
      <c r="BB142" t="s">
        <v>39</v>
      </c>
      <c r="BC142" t="s">
        <v>20</v>
      </c>
      <c r="BD142">
        <v>11</v>
      </c>
    </row>
    <row r="143" spans="54:56" x14ac:dyDescent="0.2">
      <c r="BB143" t="s">
        <v>39</v>
      </c>
      <c r="BC143" t="s">
        <v>20</v>
      </c>
      <c r="BD143">
        <v>11</v>
      </c>
    </row>
    <row r="144" spans="54:56" x14ac:dyDescent="0.2">
      <c r="BB144" t="s">
        <v>39</v>
      </c>
      <c r="BC144" t="s">
        <v>20</v>
      </c>
      <c r="BD144">
        <v>11</v>
      </c>
    </row>
    <row r="145" spans="54:56" x14ac:dyDescent="0.2">
      <c r="BB145" t="s">
        <v>39</v>
      </c>
      <c r="BC145" t="s">
        <v>20</v>
      </c>
      <c r="BD145">
        <v>11</v>
      </c>
    </row>
    <row r="146" spans="54:56" x14ac:dyDescent="0.2">
      <c r="BB146" t="s">
        <v>39</v>
      </c>
      <c r="BC146" t="s">
        <v>20</v>
      </c>
      <c r="BD146">
        <v>11</v>
      </c>
    </row>
    <row r="147" spans="54:56" x14ac:dyDescent="0.2">
      <c r="BB147" t="s">
        <v>39</v>
      </c>
      <c r="BC147" t="s">
        <v>20</v>
      </c>
      <c r="BD147">
        <v>11</v>
      </c>
    </row>
    <row r="148" spans="54:56" x14ac:dyDescent="0.2">
      <c r="BB148" t="s">
        <v>39</v>
      </c>
      <c r="BC148" t="s">
        <v>20</v>
      </c>
      <c r="BD148">
        <v>11</v>
      </c>
    </row>
    <row r="149" spans="54:56" x14ac:dyDescent="0.2">
      <c r="BB149" t="s">
        <v>39</v>
      </c>
      <c r="BC149" t="s">
        <v>20</v>
      </c>
      <c r="BD149">
        <v>11</v>
      </c>
    </row>
    <row r="150" spans="54:56" x14ac:dyDescent="0.2">
      <c r="BB150" t="s">
        <v>39</v>
      </c>
      <c r="BC150" t="s">
        <v>20</v>
      </c>
      <c r="BD150">
        <v>11</v>
      </c>
    </row>
    <row r="151" spans="54:56" x14ac:dyDescent="0.2">
      <c r="BB151" t="s">
        <v>39</v>
      </c>
      <c r="BC151" t="s">
        <v>20</v>
      </c>
      <c r="BD151">
        <v>11</v>
      </c>
    </row>
    <row r="152" spans="54:56" x14ac:dyDescent="0.2">
      <c r="BB152" t="s">
        <v>41</v>
      </c>
      <c r="BC152" t="s">
        <v>20</v>
      </c>
      <c r="BD152">
        <v>3</v>
      </c>
    </row>
    <row r="153" spans="54:56" x14ac:dyDescent="0.2">
      <c r="BB153" t="s">
        <v>41</v>
      </c>
      <c r="BC153" t="s">
        <v>20</v>
      </c>
      <c r="BD153">
        <v>3</v>
      </c>
    </row>
    <row r="154" spans="54:56" x14ac:dyDescent="0.2">
      <c r="BB154" t="s">
        <v>41</v>
      </c>
      <c r="BC154" t="s">
        <v>20</v>
      </c>
      <c r="BD154">
        <v>3</v>
      </c>
    </row>
    <row r="155" spans="54:56" x14ac:dyDescent="0.2">
      <c r="BB155" t="s">
        <v>41</v>
      </c>
      <c r="BC155" t="s">
        <v>20</v>
      </c>
      <c r="BD155">
        <v>3</v>
      </c>
    </row>
    <row r="156" spans="54:56" x14ac:dyDescent="0.2">
      <c r="BB156" t="s">
        <v>41</v>
      </c>
      <c r="BC156" t="s">
        <v>20</v>
      </c>
      <c r="BD156">
        <v>3</v>
      </c>
    </row>
    <row r="157" spans="54:56" x14ac:dyDescent="0.2">
      <c r="BB157" t="s">
        <v>41</v>
      </c>
      <c r="BC157" t="s">
        <v>20</v>
      </c>
      <c r="BD157">
        <v>3</v>
      </c>
    </row>
    <row r="158" spans="54:56" x14ac:dyDescent="0.2">
      <c r="BB158" t="s">
        <v>41</v>
      </c>
      <c r="BC158" t="s">
        <v>20</v>
      </c>
      <c r="BD158">
        <v>3</v>
      </c>
    </row>
    <row r="159" spans="54:56" x14ac:dyDescent="0.2">
      <c r="BB159" t="s">
        <v>41</v>
      </c>
      <c r="BC159" t="s">
        <v>20</v>
      </c>
      <c r="BD159">
        <v>3</v>
      </c>
    </row>
    <row r="160" spans="54:56" x14ac:dyDescent="0.2">
      <c r="BB160" t="s">
        <v>41</v>
      </c>
      <c r="BC160" t="s">
        <v>20</v>
      </c>
      <c r="BD160">
        <v>3</v>
      </c>
    </row>
    <row r="161" spans="54:56" x14ac:dyDescent="0.2">
      <c r="BB161" t="s">
        <v>41</v>
      </c>
      <c r="BC161" t="s">
        <v>20</v>
      </c>
      <c r="BD161">
        <v>3</v>
      </c>
    </row>
    <row r="162" spans="54:56" x14ac:dyDescent="0.2">
      <c r="BB162" t="s">
        <v>46</v>
      </c>
      <c r="BC162" t="s">
        <v>20</v>
      </c>
      <c r="BD162">
        <v>16</v>
      </c>
    </row>
    <row r="163" spans="54:56" x14ac:dyDescent="0.2">
      <c r="BB163" t="s">
        <v>46</v>
      </c>
      <c r="BC163" t="s">
        <v>20</v>
      </c>
      <c r="BD163">
        <v>16</v>
      </c>
    </row>
    <row r="164" spans="54:56" x14ac:dyDescent="0.2">
      <c r="BB164" t="s">
        <v>46</v>
      </c>
      <c r="BC164" t="s">
        <v>20</v>
      </c>
      <c r="BD164">
        <v>16</v>
      </c>
    </row>
    <row r="165" spans="54:56" x14ac:dyDescent="0.2">
      <c r="BB165" t="s">
        <v>46</v>
      </c>
      <c r="BC165" t="s">
        <v>20</v>
      </c>
      <c r="BD165">
        <v>16</v>
      </c>
    </row>
    <row r="166" spans="54:56" x14ac:dyDescent="0.2">
      <c r="BB166" t="s">
        <v>46</v>
      </c>
      <c r="BC166" t="s">
        <v>20</v>
      </c>
      <c r="BD166">
        <v>16</v>
      </c>
    </row>
    <row r="167" spans="54:56" x14ac:dyDescent="0.2">
      <c r="BB167" t="s">
        <v>46</v>
      </c>
      <c r="BC167" t="s">
        <v>20</v>
      </c>
      <c r="BD167">
        <v>16</v>
      </c>
    </row>
    <row r="168" spans="54:56" x14ac:dyDescent="0.2">
      <c r="BB168" t="s">
        <v>46</v>
      </c>
      <c r="BC168" t="s">
        <v>20</v>
      </c>
      <c r="BD168">
        <v>16</v>
      </c>
    </row>
    <row r="169" spans="54:56" x14ac:dyDescent="0.2">
      <c r="BB169" t="s">
        <v>46</v>
      </c>
      <c r="BC169" t="s">
        <v>20</v>
      </c>
      <c r="BD169">
        <v>16</v>
      </c>
    </row>
    <row r="170" spans="54:56" x14ac:dyDescent="0.2">
      <c r="BB170" t="s">
        <v>46</v>
      </c>
      <c r="BC170" t="s">
        <v>20</v>
      </c>
      <c r="BD170">
        <v>16</v>
      </c>
    </row>
    <row r="171" spans="54:56" x14ac:dyDescent="0.2">
      <c r="BB171" t="s">
        <v>46</v>
      </c>
      <c r="BC171" t="s">
        <v>20</v>
      </c>
      <c r="BD171">
        <v>16</v>
      </c>
    </row>
    <row r="172" spans="54:56" x14ac:dyDescent="0.2">
      <c r="BB172" t="s">
        <v>45</v>
      </c>
      <c r="BC172" t="s">
        <v>20</v>
      </c>
      <c r="BD172">
        <v>2</v>
      </c>
    </row>
    <row r="173" spans="54:56" x14ac:dyDescent="0.2">
      <c r="BB173" t="s">
        <v>45</v>
      </c>
      <c r="BC173" t="s">
        <v>20</v>
      </c>
      <c r="BD173">
        <v>2</v>
      </c>
    </row>
    <row r="174" spans="54:56" x14ac:dyDescent="0.2">
      <c r="BB174" t="s">
        <v>45</v>
      </c>
      <c r="BC174" t="s">
        <v>20</v>
      </c>
      <c r="BD174">
        <v>2</v>
      </c>
    </row>
    <row r="175" spans="54:56" x14ac:dyDescent="0.2">
      <c r="BB175" t="s">
        <v>45</v>
      </c>
      <c r="BC175" t="s">
        <v>20</v>
      </c>
      <c r="BD175">
        <v>2</v>
      </c>
    </row>
    <row r="176" spans="54:56" x14ac:dyDescent="0.2">
      <c r="BB176" t="s">
        <v>45</v>
      </c>
      <c r="BC176" t="s">
        <v>20</v>
      </c>
      <c r="BD176">
        <v>2</v>
      </c>
    </row>
    <row r="177" spans="54:56" x14ac:dyDescent="0.2">
      <c r="BB177" t="s">
        <v>45</v>
      </c>
      <c r="BC177" t="s">
        <v>20</v>
      </c>
      <c r="BD177">
        <v>2</v>
      </c>
    </row>
    <row r="178" spans="54:56" x14ac:dyDescent="0.2">
      <c r="BB178" t="s">
        <v>45</v>
      </c>
      <c r="BC178" t="s">
        <v>20</v>
      </c>
      <c r="BD178">
        <v>2</v>
      </c>
    </row>
    <row r="179" spans="54:56" x14ac:dyDescent="0.2">
      <c r="BB179" t="s">
        <v>45</v>
      </c>
      <c r="BC179" t="s">
        <v>20</v>
      </c>
      <c r="BD179">
        <v>2</v>
      </c>
    </row>
    <row r="180" spans="54:56" x14ac:dyDescent="0.2">
      <c r="BB180" t="s">
        <v>45</v>
      </c>
      <c r="BC180" t="s">
        <v>20</v>
      </c>
      <c r="BD180">
        <v>2</v>
      </c>
    </row>
    <row r="181" spans="54:56" x14ac:dyDescent="0.2">
      <c r="BB181" t="s">
        <v>45</v>
      </c>
      <c r="BC181" t="s">
        <v>20</v>
      </c>
      <c r="BD181">
        <v>2</v>
      </c>
    </row>
    <row r="182" spans="54:56" x14ac:dyDescent="0.2">
      <c r="BB182" t="s">
        <v>48</v>
      </c>
      <c r="BC182" t="s">
        <v>20</v>
      </c>
      <c r="BD182">
        <v>5</v>
      </c>
    </row>
    <row r="183" spans="54:56" x14ac:dyDescent="0.2">
      <c r="BB183" t="s">
        <v>48</v>
      </c>
      <c r="BC183" t="s">
        <v>20</v>
      </c>
      <c r="BD183">
        <v>5</v>
      </c>
    </row>
    <row r="184" spans="54:56" x14ac:dyDescent="0.2">
      <c r="BB184" t="s">
        <v>48</v>
      </c>
      <c r="BC184" t="s">
        <v>20</v>
      </c>
      <c r="BD184">
        <v>5</v>
      </c>
    </row>
    <row r="185" spans="54:56" x14ac:dyDescent="0.2">
      <c r="BB185" t="s">
        <v>48</v>
      </c>
      <c r="BC185" t="s">
        <v>20</v>
      </c>
      <c r="BD185">
        <v>5</v>
      </c>
    </row>
    <row r="186" spans="54:56" x14ac:dyDescent="0.2">
      <c r="BB186" t="s">
        <v>48</v>
      </c>
      <c r="BC186" t="s">
        <v>20</v>
      </c>
      <c r="BD186">
        <v>5</v>
      </c>
    </row>
    <row r="187" spans="54:56" x14ac:dyDescent="0.2">
      <c r="BB187" t="s">
        <v>48</v>
      </c>
      <c r="BC187" t="s">
        <v>20</v>
      </c>
      <c r="BD187">
        <v>5</v>
      </c>
    </row>
    <row r="188" spans="54:56" x14ac:dyDescent="0.2">
      <c r="BB188" t="s">
        <v>48</v>
      </c>
      <c r="BC188" t="s">
        <v>20</v>
      </c>
      <c r="BD188">
        <v>5</v>
      </c>
    </row>
    <row r="189" spans="54:56" x14ac:dyDescent="0.2">
      <c r="BB189" t="s">
        <v>48</v>
      </c>
      <c r="BC189" t="s">
        <v>20</v>
      </c>
      <c r="BD189">
        <v>5</v>
      </c>
    </row>
    <row r="190" spans="54:56" x14ac:dyDescent="0.2">
      <c r="BB190" t="s">
        <v>48</v>
      </c>
      <c r="BC190" t="s">
        <v>20</v>
      </c>
      <c r="BD190">
        <v>5</v>
      </c>
    </row>
    <row r="191" spans="54:56" x14ac:dyDescent="0.2">
      <c r="BB191" t="s">
        <v>48</v>
      </c>
      <c r="BC191" t="s">
        <v>20</v>
      </c>
      <c r="BD191">
        <v>5</v>
      </c>
    </row>
    <row r="192" spans="54:56" x14ac:dyDescent="0.2">
      <c r="BB192" t="s">
        <v>51</v>
      </c>
      <c r="BC192" t="s">
        <v>20</v>
      </c>
      <c r="BD192">
        <v>16</v>
      </c>
    </row>
    <row r="193" spans="54:56" x14ac:dyDescent="0.2">
      <c r="BB193" t="s">
        <v>51</v>
      </c>
      <c r="BC193" t="s">
        <v>20</v>
      </c>
      <c r="BD193">
        <v>16</v>
      </c>
    </row>
    <row r="194" spans="54:56" x14ac:dyDescent="0.2">
      <c r="BB194" t="s">
        <v>51</v>
      </c>
      <c r="BC194" t="s">
        <v>20</v>
      </c>
      <c r="BD194">
        <v>16</v>
      </c>
    </row>
    <row r="195" spans="54:56" x14ac:dyDescent="0.2">
      <c r="BB195" t="s">
        <v>51</v>
      </c>
      <c r="BC195" t="s">
        <v>20</v>
      </c>
      <c r="BD195">
        <v>16</v>
      </c>
    </row>
    <row r="196" spans="54:56" x14ac:dyDescent="0.2">
      <c r="BB196" t="s">
        <v>51</v>
      </c>
      <c r="BC196" t="s">
        <v>20</v>
      </c>
      <c r="BD196">
        <v>16</v>
      </c>
    </row>
    <row r="197" spans="54:56" x14ac:dyDescent="0.2">
      <c r="BB197" t="s">
        <v>51</v>
      </c>
      <c r="BC197" t="s">
        <v>20</v>
      </c>
      <c r="BD197">
        <v>16</v>
      </c>
    </row>
    <row r="198" spans="54:56" x14ac:dyDescent="0.2">
      <c r="BB198" t="s">
        <v>51</v>
      </c>
      <c r="BC198" t="s">
        <v>20</v>
      </c>
      <c r="BD198">
        <v>16</v>
      </c>
    </row>
    <row r="199" spans="54:56" x14ac:dyDescent="0.2">
      <c r="BB199" t="s">
        <v>51</v>
      </c>
      <c r="BC199" t="s">
        <v>20</v>
      </c>
      <c r="BD199">
        <v>16</v>
      </c>
    </row>
    <row r="200" spans="54:56" x14ac:dyDescent="0.2">
      <c r="BB200" t="s">
        <v>51</v>
      </c>
      <c r="BC200" t="s">
        <v>20</v>
      </c>
      <c r="BD200">
        <v>16</v>
      </c>
    </row>
    <row r="201" spans="54:56" x14ac:dyDescent="0.2">
      <c r="BB201" t="s">
        <v>51</v>
      </c>
      <c r="BC201" t="s">
        <v>20</v>
      </c>
      <c r="BD201">
        <v>16</v>
      </c>
    </row>
    <row r="202" spans="54:56" x14ac:dyDescent="0.2">
      <c r="BB202" t="s">
        <v>26</v>
      </c>
      <c r="BC202" t="s">
        <v>20</v>
      </c>
      <c r="BD202">
        <v>9</v>
      </c>
    </row>
    <row r="203" spans="54:56" x14ac:dyDescent="0.2">
      <c r="BB203" t="s">
        <v>26</v>
      </c>
      <c r="BC203" t="s">
        <v>20</v>
      </c>
      <c r="BD203">
        <v>9</v>
      </c>
    </row>
    <row r="204" spans="54:56" x14ac:dyDescent="0.2">
      <c r="BB204" t="s">
        <v>26</v>
      </c>
      <c r="BC204" t="s">
        <v>20</v>
      </c>
      <c r="BD204">
        <v>9</v>
      </c>
    </row>
    <row r="205" spans="54:56" x14ac:dyDescent="0.2">
      <c r="BB205" t="s">
        <v>26</v>
      </c>
      <c r="BC205" t="s">
        <v>20</v>
      </c>
      <c r="BD205">
        <v>9</v>
      </c>
    </row>
    <row r="206" spans="54:56" x14ac:dyDescent="0.2">
      <c r="BB206" t="s">
        <v>26</v>
      </c>
      <c r="BC206" t="s">
        <v>20</v>
      </c>
      <c r="BD206">
        <v>9</v>
      </c>
    </row>
    <row r="207" spans="54:56" x14ac:dyDescent="0.2">
      <c r="BB207" t="s">
        <v>26</v>
      </c>
      <c r="BC207" t="s">
        <v>20</v>
      </c>
      <c r="BD207">
        <v>9</v>
      </c>
    </row>
    <row r="208" spans="54:56" x14ac:dyDescent="0.2">
      <c r="BB208" t="s">
        <v>26</v>
      </c>
      <c r="BC208" t="s">
        <v>20</v>
      </c>
      <c r="BD208">
        <v>9</v>
      </c>
    </row>
    <row r="209" spans="54:56" x14ac:dyDescent="0.2">
      <c r="BB209" t="s">
        <v>26</v>
      </c>
      <c r="BC209" t="s">
        <v>20</v>
      </c>
      <c r="BD209">
        <v>9</v>
      </c>
    </row>
    <row r="210" spans="54:56" x14ac:dyDescent="0.2">
      <c r="BB210" t="s">
        <v>26</v>
      </c>
      <c r="BC210" t="s">
        <v>20</v>
      </c>
      <c r="BD210">
        <v>9</v>
      </c>
    </row>
    <row r="211" spans="54:56" x14ac:dyDescent="0.2">
      <c r="BB211" t="s">
        <v>26</v>
      </c>
      <c r="BC211" t="s">
        <v>20</v>
      </c>
      <c r="BD211">
        <v>9</v>
      </c>
    </row>
    <row r="212" spans="54:56" x14ac:dyDescent="0.2">
      <c r="BB212" t="s">
        <v>30</v>
      </c>
      <c r="BC212" t="s">
        <v>20</v>
      </c>
      <c r="BD212">
        <v>5</v>
      </c>
    </row>
    <row r="213" spans="54:56" x14ac:dyDescent="0.2">
      <c r="BB213" t="s">
        <v>30</v>
      </c>
      <c r="BC213" t="s">
        <v>20</v>
      </c>
      <c r="BD213">
        <v>5</v>
      </c>
    </row>
    <row r="214" spans="54:56" x14ac:dyDescent="0.2">
      <c r="BB214" t="s">
        <v>30</v>
      </c>
      <c r="BC214" t="s">
        <v>20</v>
      </c>
      <c r="BD214">
        <v>5</v>
      </c>
    </row>
    <row r="215" spans="54:56" x14ac:dyDescent="0.2">
      <c r="BB215" t="s">
        <v>30</v>
      </c>
      <c r="BC215" t="s">
        <v>20</v>
      </c>
      <c r="BD215">
        <v>5</v>
      </c>
    </row>
    <row r="216" spans="54:56" x14ac:dyDescent="0.2">
      <c r="BB216" t="s">
        <v>30</v>
      </c>
      <c r="BC216" t="s">
        <v>20</v>
      </c>
      <c r="BD216">
        <v>5</v>
      </c>
    </row>
    <row r="217" spans="54:56" x14ac:dyDescent="0.2">
      <c r="BB217" t="s">
        <v>30</v>
      </c>
      <c r="BC217" t="s">
        <v>20</v>
      </c>
      <c r="BD217">
        <v>5</v>
      </c>
    </row>
    <row r="218" spans="54:56" x14ac:dyDescent="0.2">
      <c r="BB218" t="s">
        <v>30</v>
      </c>
      <c r="BC218" t="s">
        <v>20</v>
      </c>
      <c r="BD218">
        <v>5</v>
      </c>
    </row>
    <row r="219" spans="54:56" x14ac:dyDescent="0.2">
      <c r="BB219" t="s">
        <v>30</v>
      </c>
      <c r="BC219" t="s">
        <v>20</v>
      </c>
      <c r="BD219">
        <v>5</v>
      </c>
    </row>
    <row r="220" spans="54:56" x14ac:dyDescent="0.2">
      <c r="BB220" t="s">
        <v>30</v>
      </c>
      <c r="BC220" t="s">
        <v>20</v>
      </c>
      <c r="BD220">
        <v>5</v>
      </c>
    </row>
    <row r="221" spans="54:56" x14ac:dyDescent="0.2">
      <c r="BB221" t="s">
        <v>30</v>
      </c>
      <c r="BC221" t="s">
        <v>20</v>
      </c>
      <c r="BD221">
        <v>5</v>
      </c>
    </row>
    <row r="222" spans="54:56" x14ac:dyDescent="0.2">
      <c r="BB222" t="s">
        <v>53</v>
      </c>
      <c r="BC222" t="s">
        <v>20</v>
      </c>
      <c r="BD222">
        <v>7</v>
      </c>
    </row>
    <row r="223" spans="54:56" x14ac:dyDescent="0.2">
      <c r="BB223" t="s">
        <v>53</v>
      </c>
      <c r="BC223" t="s">
        <v>20</v>
      </c>
      <c r="BD223">
        <v>7</v>
      </c>
    </row>
    <row r="224" spans="54:56" x14ac:dyDescent="0.2">
      <c r="BB224" t="s">
        <v>53</v>
      </c>
      <c r="BC224" t="s">
        <v>20</v>
      </c>
      <c r="BD224">
        <v>7</v>
      </c>
    </row>
    <row r="225" spans="54:56" x14ac:dyDescent="0.2">
      <c r="BB225" t="s">
        <v>53</v>
      </c>
      <c r="BC225" t="s">
        <v>20</v>
      </c>
      <c r="BD225">
        <v>7</v>
      </c>
    </row>
    <row r="226" spans="54:56" x14ac:dyDescent="0.2">
      <c r="BB226" t="s">
        <v>53</v>
      </c>
      <c r="BC226" t="s">
        <v>20</v>
      </c>
      <c r="BD226">
        <v>7</v>
      </c>
    </row>
    <row r="227" spans="54:56" x14ac:dyDescent="0.2">
      <c r="BB227" t="s">
        <v>53</v>
      </c>
      <c r="BC227" t="s">
        <v>20</v>
      </c>
      <c r="BD227">
        <v>7</v>
      </c>
    </row>
    <row r="228" spans="54:56" x14ac:dyDescent="0.2">
      <c r="BB228" t="s">
        <v>53</v>
      </c>
      <c r="BC228" t="s">
        <v>20</v>
      </c>
      <c r="BD228">
        <v>7</v>
      </c>
    </row>
    <row r="229" spans="54:56" x14ac:dyDescent="0.2">
      <c r="BB229" t="s">
        <v>53</v>
      </c>
      <c r="BC229" t="s">
        <v>20</v>
      </c>
      <c r="BD229">
        <v>7</v>
      </c>
    </row>
    <row r="230" spans="54:56" x14ac:dyDescent="0.2">
      <c r="BB230" t="s">
        <v>53</v>
      </c>
      <c r="BC230" t="s">
        <v>20</v>
      </c>
      <c r="BD230">
        <v>7</v>
      </c>
    </row>
    <row r="231" spans="54:56" x14ac:dyDescent="0.2">
      <c r="BB231" t="s">
        <v>53</v>
      </c>
      <c r="BC231" t="s">
        <v>20</v>
      </c>
      <c r="BD231">
        <v>7</v>
      </c>
    </row>
  </sheetData>
  <conditionalFormatting sqref="M3:P18">
    <cfRule type="containsErrors" dxfId="19" priority="6">
      <formula>ISERROR(M3)</formula>
    </cfRule>
  </conditionalFormatting>
  <conditionalFormatting sqref="P26:V41">
    <cfRule type="containsErrors" dxfId="18" priority="5">
      <formula>ISERROR(P26)</formula>
    </cfRule>
  </conditionalFormatting>
  <conditionalFormatting sqref="T26:V41">
    <cfRule type="cellIs" dxfId="17" priority="4" operator="equal">
      <formula>FALSE</formula>
    </cfRule>
  </conditionalFormatting>
  <conditionalFormatting sqref="U3:V18">
    <cfRule type="expression" dxfId="16" priority="3">
      <formula>NOT($T$26:$T$41)</formula>
    </cfRule>
  </conditionalFormatting>
  <conditionalFormatting sqref="X26:Z41">
    <cfRule type="cellIs" dxfId="15" priority="1" operator="equal">
      <formula>FALSE</formula>
    </cfRule>
    <cfRule type="containsErrors" dxfId="14" priority="2">
      <formula>ISERROR(X26)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4774-A2B5-544D-A762-08B7BD663B4D}">
  <dimension ref="A1:BG175"/>
  <sheetViews>
    <sheetView topLeftCell="L1" workbookViewId="0">
      <selection activeCell="AI22" sqref="T22:AI22"/>
    </sheetView>
  </sheetViews>
  <sheetFormatPr baseColWidth="10" defaultRowHeight="16" x14ac:dyDescent="0.2"/>
  <cols>
    <col min="1" max="1" width="10.5" bestFit="1" customWidth="1"/>
    <col min="2" max="2" width="12.5" bestFit="1" customWidth="1"/>
    <col min="3" max="3" width="7.5" bestFit="1" customWidth="1"/>
    <col min="4" max="4" width="8" bestFit="1" customWidth="1"/>
    <col min="5" max="5" width="19" customWidth="1"/>
    <col min="6" max="6" width="17" bestFit="1" customWidth="1"/>
    <col min="7" max="7" width="11.1640625" bestFit="1" customWidth="1"/>
    <col min="8" max="8" width="4.6640625" bestFit="1" customWidth="1"/>
    <col min="12" max="12" width="14.83203125" customWidth="1"/>
    <col min="13" max="13" width="10.1640625" customWidth="1"/>
    <col min="17" max="17" width="21.1640625" customWidth="1"/>
    <col min="18" max="18" width="16.83203125" customWidth="1"/>
    <col min="20" max="20" width="30.6640625" customWidth="1"/>
    <col min="21" max="21" width="16" bestFit="1" customWidth="1"/>
    <col min="22" max="22" width="20.6640625" customWidth="1"/>
    <col min="23" max="23" width="14.33203125" bestFit="1" customWidth="1"/>
    <col min="24" max="24" width="17.1640625" bestFit="1" customWidth="1"/>
    <col min="25" max="25" width="8.1640625" bestFit="1" customWidth="1"/>
    <col min="26" max="26" width="12.33203125" bestFit="1" customWidth="1"/>
    <col min="27" max="27" width="17.5" bestFit="1" customWidth="1"/>
    <col min="28" max="28" width="16" bestFit="1" customWidth="1"/>
    <col min="29" max="29" width="8.1640625" bestFit="1" customWidth="1"/>
    <col min="30" max="31" width="12.1640625" bestFit="1" customWidth="1"/>
    <col min="32" max="32" width="5.83203125" bestFit="1" customWidth="1"/>
    <col min="33" max="33" width="12.1640625" bestFit="1" customWidth="1"/>
    <col min="34" max="35" width="12.33203125" bestFit="1" customWidth="1"/>
    <col min="36" max="36" width="35.1640625" bestFit="1" customWidth="1"/>
    <col min="37" max="37" width="16" bestFit="1" customWidth="1"/>
    <col min="38" max="40" width="12.1640625" bestFit="1" customWidth="1"/>
    <col min="41" max="41" width="11.33203125" bestFit="1" customWidth="1"/>
    <col min="42" max="43" width="12.33203125" bestFit="1" customWidth="1"/>
    <col min="44" max="44" width="7.83203125" bestFit="1" customWidth="1"/>
    <col min="45" max="45" width="10.5" bestFit="1" customWidth="1"/>
    <col min="46" max="46" width="11.33203125" bestFit="1" customWidth="1"/>
    <col min="47" max="47" width="14" bestFit="1" customWidth="1"/>
    <col min="48" max="48" width="12.33203125" bestFit="1" customWidth="1"/>
    <col min="49" max="49" width="13.6640625" bestFit="1" customWidth="1"/>
    <col min="50" max="50" width="6" bestFit="1" customWidth="1"/>
    <col min="51" max="51" width="8.5" bestFit="1" customWidth="1"/>
    <col min="52" max="52" width="8" bestFit="1" customWidth="1"/>
    <col min="54" max="54" width="7.83203125" bestFit="1" customWidth="1"/>
    <col min="55" max="55" width="10" bestFit="1" customWidth="1"/>
    <col min="56" max="56" width="6.33203125" bestFit="1" customWidth="1"/>
    <col min="57" max="57" width="9.83203125" bestFit="1" customWidth="1"/>
    <col min="58" max="58" width="10.33203125" bestFit="1" customWidth="1"/>
    <col min="59" max="59" width="4.1640625" bestFit="1" customWidth="1"/>
    <col min="60" max="60" width="8.1640625" bestFit="1" customWidth="1"/>
    <col min="61" max="61" width="5.83203125" bestFit="1" customWidth="1"/>
    <col min="62" max="62" width="17" bestFit="1" customWidth="1"/>
    <col min="63" max="63" width="10.33203125" bestFit="1" customWidth="1"/>
    <col min="64" max="64" width="5" bestFit="1" customWidth="1"/>
  </cols>
  <sheetData>
    <row r="1" spans="1:59" x14ac:dyDescent="0.2">
      <c r="Q1" s="25" t="s">
        <v>116</v>
      </c>
      <c r="T1" s="25" t="s">
        <v>117</v>
      </c>
      <c r="AE1" t="s">
        <v>0</v>
      </c>
      <c r="AF1" t="s">
        <v>1</v>
      </c>
      <c r="AI1" s="20" t="s">
        <v>106</v>
      </c>
      <c r="AJ1" s="20" t="s">
        <v>1</v>
      </c>
      <c r="BE1" t="s">
        <v>4</v>
      </c>
      <c r="BF1" t="s">
        <v>5</v>
      </c>
      <c r="BG1" t="s">
        <v>63</v>
      </c>
    </row>
    <row r="2" spans="1:59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107</v>
      </c>
      <c r="Q2" s="1" t="s">
        <v>17</v>
      </c>
      <c r="R2" s="1" t="s">
        <v>18</v>
      </c>
      <c r="S2" s="1" t="s">
        <v>109</v>
      </c>
      <c r="U2" s="1" t="s">
        <v>17</v>
      </c>
      <c r="V2" s="1" t="s">
        <v>18</v>
      </c>
      <c r="W2" s="1" t="s">
        <v>115</v>
      </c>
      <c r="AE2" t="s">
        <v>19</v>
      </c>
      <c r="AF2" t="s">
        <v>3</v>
      </c>
      <c r="AG2" t="s">
        <v>20</v>
      </c>
      <c r="AI2" s="20" t="s">
        <v>19</v>
      </c>
      <c r="AJ2" t="s">
        <v>3</v>
      </c>
      <c r="AK2" t="s">
        <v>20</v>
      </c>
      <c r="BE2" t="s">
        <v>28</v>
      </c>
      <c r="BF2" t="s">
        <v>3</v>
      </c>
      <c r="BG2">
        <v>9</v>
      </c>
    </row>
    <row r="3" spans="1:59" x14ac:dyDescent="0.2">
      <c r="A3" t="s">
        <v>16</v>
      </c>
      <c r="B3" t="s">
        <v>28</v>
      </c>
      <c r="C3" t="s">
        <v>21</v>
      </c>
      <c r="D3">
        <v>1</v>
      </c>
      <c r="E3">
        <v>5</v>
      </c>
      <c r="F3">
        <v>58.664898000000001</v>
      </c>
      <c r="G3">
        <v>0.37143700000000002</v>
      </c>
      <c r="H3" t="s">
        <v>22</v>
      </c>
      <c r="J3" s="3" t="s">
        <v>23</v>
      </c>
      <c r="K3" s="3" t="s">
        <v>24</v>
      </c>
      <c r="L3" s="3" t="s">
        <v>25</v>
      </c>
      <c r="M3" s="4" cm="1">
        <f t="array" ref="M3">INDEX($F$1:$F$100, MATCH(1, (A$1:A$100=M$2)*(B$1:B$100=$K3), 0))</f>
        <v>39.469213000000003</v>
      </c>
      <c r="N3" s="4" t="e" cm="1">
        <f t="array" ref="N3">INDEX($F$1:$F$100, MATCH(1, (A$1:A$100=N$2)*(B$1:B$100=$K3), 0))</f>
        <v>#N/A</v>
      </c>
      <c r="O3" s="4" t="e" cm="1">
        <f t="array" ref="O3">INDEX($F$1:$F$100, MATCH(1, (A$1:A$100=O$2)*(B$1:B$100=$K3), 0))</f>
        <v>#N/A</v>
      </c>
      <c r="P3" s="4" cm="1">
        <f t="array" ref="P3">INDEX($F$1:$F$100, MATCH(1, (A$1:A$100=P$2)*(B$1:B$100=$K3), 0))</f>
        <v>39.521869000000002</v>
      </c>
      <c r="Q3" s="4" t="str">
        <f>IF(ISNA($N3), "DNF", $N3/$M3)</f>
        <v>DNF</v>
      </c>
      <c r="R3" s="4" t="str">
        <f>IF(ISNA(O3), "DNF", O3/$M3)</f>
        <v>DNF</v>
      </c>
      <c r="S3">
        <f>IF(ISNA($P3), "DNF", $P3/$M3)</f>
        <v>1.0013341031147491</v>
      </c>
      <c r="U3" s="4" t="str">
        <f>IF(ISNA($N3), "DNF", $N3/$P3)</f>
        <v>DNF</v>
      </c>
      <c r="V3" s="4" t="str">
        <f>IF(ISNA($O3), "DNF", $O3/$P3)</f>
        <v>DNF</v>
      </c>
      <c r="W3">
        <f>IF(ISNA($M3), "DNF", $M3/$P3)</f>
        <v>0.99866767434505699</v>
      </c>
      <c r="AE3" s="5" t="s">
        <v>24</v>
      </c>
      <c r="AG3">
        <v>189</v>
      </c>
      <c r="AI3" s="5" t="s">
        <v>24</v>
      </c>
      <c r="AK3">
        <v>0</v>
      </c>
      <c r="BE3" t="s">
        <v>28</v>
      </c>
      <c r="BF3" t="s">
        <v>3</v>
      </c>
      <c r="BG3">
        <v>9</v>
      </c>
    </row>
    <row r="4" spans="1:59" x14ac:dyDescent="0.2">
      <c r="A4" t="s">
        <v>16</v>
      </c>
      <c r="B4" t="s">
        <v>2</v>
      </c>
      <c r="C4" t="s">
        <v>21</v>
      </c>
      <c r="D4">
        <v>1</v>
      </c>
      <c r="E4">
        <v>5</v>
      </c>
      <c r="F4">
        <v>40.566226999999998</v>
      </c>
      <c r="G4">
        <v>15.468301</v>
      </c>
      <c r="H4" t="s">
        <v>22</v>
      </c>
      <c r="J4" s="3" t="s">
        <v>27</v>
      </c>
      <c r="K4" s="3" t="s">
        <v>28</v>
      </c>
      <c r="L4" s="3" t="s">
        <v>29</v>
      </c>
      <c r="M4" s="4" cm="1">
        <f t="array" ref="M4">INDEX($F$1:$F$100, MATCH(1, (A$1:A$100=M$2)*(B$1:B$100=$K4), 0))</f>
        <v>3.7756999999999999E-2</v>
      </c>
      <c r="N4" s="4" cm="1">
        <f t="array" ref="N4">INDEX($F$1:$F$100, MATCH(1, (A$1:A$100=N$2)*(B$1:B$100=$K4), 0))</f>
        <v>0.22487099999999999</v>
      </c>
      <c r="O4" s="4" cm="1">
        <f t="array" ref="O4">INDEX($F$1:$F$100, MATCH(1, (A$1:A$100=O$2)*(B$1:B$100=$K4), 0))</f>
        <v>58.664898000000001</v>
      </c>
      <c r="P4" s="4" cm="1">
        <f t="array" ref="P4">INDEX($F$1:$F$100, MATCH(1, (A$1:A$100=P$2)*(B$1:B$100=$K4), 0))</f>
        <v>3.5411999999999999E-2</v>
      </c>
      <c r="Q4" s="4">
        <f t="shared" ref="Q4:Q18" si="0">IF(ISNA($N4), "DNF", $N4/$M4)</f>
        <v>5.9557433058770561</v>
      </c>
      <c r="R4" s="4">
        <f>IF(ISNA(O4), "DNF", O4/$M4)</f>
        <v>1553.7489207299309</v>
      </c>
      <c r="S4">
        <f t="shared" ref="S4:S18" si="1">IF(ISNA($P4), "DNF", $P4/$M4)</f>
        <v>0.93789231135948303</v>
      </c>
      <c r="U4" s="4">
        <f t="shared" ref="U4:U17" si="2">IF(ISNA($N4), "DNF", $N4/$P4)</f>
        <v>6.350135547272111</v>
      </c>
      <c r="V4" s="4">
        <f t="shared" ref="V4:V18" si="3">IF(ISNA($O4), "DNF", $O4/$P4)</f>
        <v>1656.6389359539139</v>
      </c>
      <c r="W4">
        <f t="shared" ref="W4:W16" si="4">IF(ISNA($M4), "DNF", $M4/$P4)</f>
        <v>1.0662204902293009</v>
      </c>
      <c r="AE4" s="5" t="s">
        <v>28</v>
      </c>
      <c r="AG4">
        <v>10</v>
      </c>
      <c r="AI4" s="5" t="s">
        <v>28</v>
      </c>
      <c r="AJ4">
        <v>0</v>
      </c>
      <c r="AK4">
        <v>0</v>
      </c>
      <c r="BE4" t="s">
        <v>28</v>
      </c>
      <c r="BF4" t="s">
        <v>3</v>
      </c>
      <c r="BG4">
        <v>9</v>
      </c>
    </row>
    <row r="5" spans="1:59" x14ac:dyDescent="0.2">
      <c r="A5" t="s">
        <v>16</v>
      </c>
      <c r="B5" t="s">
        <v>41</v>
      </c>
      <c r="C5" t="s">
        <v>21</v>
      </c>
      <c r="D5">
        <v>1</v>
      </c>
      <c r="E5">
        <v>5</v>
      </c>
      <c r="F5">
        <v>257.40468099999998</v>
      </c>
      <c r="G5">
        <v>0.125219</v>
      </c>
      <c r="H5" t="s">
        <v>22</v>
      </c>
      <c r="J5" s="3" t="s">
        <v>31</v>
      </c>
      <c r="K5" s="3" t="s">
        <v>32</v>
      </c>
      <c r="L5" s="3" t="s">
        <v>33</v>
      </c>
      <c r="M5" s="4" cm="1">
        <f t="array" ref="M5">INDEX($F$1:$F$100, MATCH(1, (A$1:A$100=M$2)*(B$1:B$100=$K5), 0))</f>
        <v>0.177232</v>
      </c>
      <c r="N5" s="4" cm="1">
        <f t="array" ref="N5">INDEX($F$1:$F$100, MATCH(1, (A$1:A$100=N$2)*(B$1:B$100=$K5), 0))</f>
        <v>0.669624</v>
      </c>
      <c r="O5" s="4" t="e" cm="1">
        <f t="array" ref="O5">INDEX($F$1:$F$100, MATCH(1, (A$1:A$100=O$2)*(B$1:B$100=$K5), 0))</f>
        <v>#N/A</v>
      </c>
      <c r="P5" s="4" cm="1">
        <f t="array" ref="P5">INDEX($F$1:$F$100, MATCH(1, (A$1:A$100=P$2)*(B$1:B$100=$K5), 0))</f>
        <v>0.172121</v>
      </c>
      <c r="Q5" s="4">
        <f t="shared" si="0"/>
        <v>3.778234178929313</v>
      </c>
      <c r="R5" s="4" t="str">
        <f t="shared" ref="R5:R18" si="5">IF(ISNA(O5), "DNF", O5/$M5)</f>
        <v>DNF</v>
      </c>
      <c r="S5">
        <f t="shared" si="1"/>
        <v>0.97116209262435671</v>
      </c>
      <c r="U5" s="4">
        <f t="shared" si="2"/>
        <v>3.8904259212995509</v>
      </c>
      <c r="V5" s="4" t="str">
        <f t="shared" si="3"/>
        <v>DNF</v>
      </c>
      <c r="W5">
        <f t="shared" si="4"/>
        <v>1.0296942267358429</v>
      </c>
      <c r="AE5" s="5" t="s">
        <v>32</v>
      </c>
      <c r="AG5">
        <v>4</v>
      </c>
      <c r="AI5" s="5" t="s">
        <v>32</v>
      </c>
      <c r="AK5">
        <v>0</v>
      </c>
      <c r="BE5" t="s">
        <v>28</v>
      </c>
      <c r="BF5" t="s">
        <v>3</v>
      </c>
      <c r="BG5">
        <v>9</v>
      </c>
    </row>
    <row r="6" spans="1:59" x14ac:dyDescent="0.2">
      <c r="A6" t="s">
        <v>16</v>
      </c>
      <c r="B6" t="s">
        <v>26</v>
      </c>
      <c r="C6" t="s">
        <v>21</v>
      </c>
      <c r="D6">
        <v>1</v>
      </c>
      <c r="E6">
        <v>5</v>
      </c>
      <c r="F6">
        <v>233.75161800000001</v>
      </c>
      <c r="G6">
        <v>3.9332120000000002</v>
      </c>
      <c r="H6" t="s">
        <v>22</v>
      </c>
      <c r="J6" s="3" t="s">
        <v>31</v>
      </c>
      <c r="K6" s="3" t="s">
        <v>34</v>
      </c>
      <c r="L6" s="3" t="s">
        <v>35</v>
      </c>
      <c r="M6" s="4" cm="1">
        <f t="array" ref="M6">INDEX($F$1:$F$100, MATCH(1, (A$1:A$100=M$2)*(B$1:B$100=$K6), 0))</f>
        <v>1.1081350000000001</v>
      </c>
      <c r="N6" s="4" cm="1">
        <f t="array" ref="N6">INDEX($F$1:$F$100, MATCH(1, (A$1:A$100=N$2)*(B$1:B$100=$K6), 0))</f>
        <v>14.777259000000001</v>
      </c>
      <c r="O6" s="4" t="e" cm="1">
        <f t="array" ref="O6">INDEX($F$1:$F$100, MATCH(1, (A$1:A$100=O$2)*(B$1:B$100=$K6), 0))</f>
        <v>#N/A</v>
      </c>
      <c r="P6" s="4" cm="1">
        <f t="array" ref="P6">INDEX($F$1:$F$100, MATCH(1, (A$1:A$100=P$2)*(B$1:B$100=$K6), 0))</f>
        <v>1.1151880000000001</v>
      </c>
      <c r="Q6" s="4">
        <f t="shared" si="0"/>
        <v>13.335251571333817</v>
      </c>
      <c r="R6" s="4" t="str">
        <f t="shared" si="5"/>
        <v>DNF</v>
      </c>
      <c r="S6">
        <f t="shared" si="1"/>
        <v>1.0063647479774576</v>
      </c>
      <c r="U6" s="4">
        <f t="shared" si="2"/>
        <v>13.250912850568692</v>
      </c>
      <c r="V6" s="4" t="str">
        <f t="shared" si="3"/>
        <v>DNF</v>
      </c>
      <c r="W6">
        <f t="shared" si="4"/>
        <v>0.99367550583399389</v>
      </c>
      <c r="AE6" s="5" t="s">
        <v>34</v>
      </c>
      <c r="AG6">
        <v>22</v>
      </c>
      <c r="AI6" s="5" t="s">
        <v>34</v>
      </c>
      <c r="AK6">
        <v>0</v>
      </c>
      <c r="BE6" t="s">
        <v>28</v>
      </c>
      <c r="BF6" t="s">
        <v>3</v>
      </c>
      <c r="BG6">
        <v>9</v>
      </c>
    </row>
    <row r="7" spans="1:59" x14ac:dyDescent="0.2">
      <c r="A7" t="s">
        <v>16</v>
      </c>
      <c r="B7" t="s">
        <v>30</v>
      </c>
      <c r="C7" t="s">
        <v>21</v>
      </c>
      <c r="D7">
        <v>1</v>
      </c>
      <c r="E7">
        <v>5</v>
      </c>
      <c r="F7">
        <v>6.6339059999999996</v>
      </c>
      <c r="G7">
        <v>0.129079</v>
      </c>
      <c r="H7" t="s">
        <v>22</v>
      </c>
      <c r="J7" s="3" t="s">
        <v>27</v>
      </c>
      <c r="K7" s="3" t="s">
        <v>36</v>
      </c>
      <c r="L7" s="3" t="s">
        <v>37</v>
      </c>
      <c r="M7" s="4" cm="1">
        <f t="array" ref="M7">INDEX($F$1:$F$100, MATCH(1, (A$1:A$100=M$2)*(B$1:B$100=$K7), 0))</f>
        <v>2.3800000000000002E-2</v>
      </c>
      <c r="N7" s="4" cm="1">
        <f t="array" ref="N7">INDEX($F$1:$F$100, MATCH(1, (A$1:A$100=N$2)*(B$1:B$100=$K7), 0))</f>
        <v>5.9309000000000001E-2</v>
      </c>
      <c r="O7" s="4" t="e" cm="1">
        <f t="array" ref="O7">INDEX($F$1:$F$100, MATCH(1, (A$1:A$100=O$2)*(B$1:B$100=$K7), 0))</f>
        <v>#N/A</v>
      </c>
      <c r="P7" s="4" cm="1">
        <f t="array" ref="P7">INDEX($F$1:$F$100, MATCH(1, (A$1:A$100=P$2)*(B$1:B$100=$K7), 0))</f>
        <v>1.9702000000000001E-2</v>
      </c>
      <c r="Q7" s="4">
        <f t="shared" si="0"/>
        <v>2.4919747899159663</v>
      </c>
      <c r="R7" s="4" t="str">
        <f t="shared" si="5"/>
        <v>DNF</v>
      </c>
      <c r="S7">
        <f t="shared" si="1"/>
        <v>0.82781512605042018</v>
      </c>
      <c r="U7" s="4">
        <f t="shared" si="2"/>
        <v>3.0103035224850268</v>
      </c>
      <c r="V7" s="4" t="str">
        <f t="shared" si="3"/>
        <v>DNF</v>
      </c>
      <c r="W7">
        <f t="shared" si="4"/>
        <v>1.2079991878997056</v>
      </c>
      <c r="AE7" s="5" t="s">
        <v>36</v>
      </c>
      <c r="AG7">
        <v>1</v>
      </c>
      <c r="AI7" s="5" t="s">
        <v>36</v>
      </c>
      <c r="AK7">
        <v>0</v>
      </c>
      <c r="BE7" t="s">
        <v>28</v>
      </c>
      <c r="BF7" t="s">
        <v>3</v>
      </c>
      <c r="BG7">
        <v>9</v>
      </c>
    </row>
    <row r="8" spans="1:59" x14ac:dyDescent="0.2">
      <c r="A8" t="s">
        <v>107</v>
      </c>
      <c r="B8" t="s">
        <v>24</v>
      </c>
      <c r="C8" t="s">
        <v>21</v>
      </c>
      <c r="D8">
        <v>1</v>
      </c>
      <c r="E8">
        <v>5</v>
      </c>
      <c r="F8">
        <v>39.521869000000002</v>
      </c>
      <c r="G8">
        <v>1.534343</v>
      </c>
      <c r="H8" t="s">
        <v>22</v>
      </c>
      <c r="J8" s="3" t="s">
        <v>31</v>
      </c>
      <c r="K8" s="3" t="s">
        <v>2</v>
      </c>
      <c r="L8" s="3" t="s">
        <v>38</v>
      </c>
      <c r="M8" s="4" cm="1">
        <f t="array" ref="M8">INDEX($F$1:$F$100, MATCH(1, (A$1:A$100=M$2)*(B$1:B$100=$K8), 0))</f>
        <v>0.83143599999999995</v>
      </c>
      <c r="N8" s="4" cm="1">
        <f t="array" ref="N8">INDEX($F$1:$F$100, MATCH(1, (A$1:A$100=N$2)*(B$1:B$100=$K8), 0))</f>
        <v>1.0160309999999999</v>
      </c>
      <c r="O8" s="4" cm="1">
        <f t="array" ref="O8">INDEX($F$1:$F$100, MATCH(1, (A$1:A$100=O$2)*(B$1:B$100=$K8), 0))</f>
        <v>40.566226999999998</v>
      </c>
      <c r="P8" s="4" cm="1">
        <f t="array" ref="P8">INDEX($F$1:$F$100, MATCH(1, (A$1:A$100=P$2)*(B$1:B$100=$K8), 0))</f>
        <v>0.78751300000000002</v>
      </c>
      <c r="Q8" s="4">
        <f t="shared" si="0"/>
        <v>1.2220194939839024</v>
      </c>
      <c r="R8" s="4">
        <f t="shared" si="5"/>
        <v>48.790558744148676</v>
      </c>
      <c r="S8">
        <f t="shared" si="1"/>
        <v>0.94717212148619989</v>
      </c>
      <c r="U8" s="4">
        <f t="shared" si="2"/>
        <v>1.2901767970814448</v>
      </c>
      <c r="V8" s="4">
        <f t="shared" si="3"/>
        <v>51.511818852514175</v>
      </c>
      <c r="W8">
        <f t="shared" si="4"/>
        <v>1.0557743173763481</v>
      </c>
      <c r="AE8" s="5" t="s">
        <v>2</v>
      </c>
      <c r="AF8">
        <v>3</v>
      </c>
      <c r="AG8">
        <v>3</v>
      </c>
      <c r="AI8" s="5" t="s">
        <v>2</v>
      </c>
      <c r="AJ8">
        <v>0</v>
      </c>
      <c r="AK8">
        <v>0</v>
      </c>
      <c r="BE8" t="s">
        <v>28</v>
      </c>
      <c r="BF8" t="s">
        <v>3</v>
      </c>
      <c r="BG8">
        <v>9</v>
      </c>
    </row>
    <row r="9" spans="1:59" x14ac:dyDescent="0.2">
      <c r="A9" t="s">
        <v>107</v>
      </c>
      <c r="B9" t="s">
        <v>28</v>
      </c>
      <c r="C9" t="s">
        <v>21</v>
      </c>
      <c r="D9">
        <v>1</v>
      </c>
      <c r="E9">
        <v>5</v>
      </c>
      <c r="F9">
        <v>3.5411999999999999E-2</v>
      </c>
      <c r="G9">
        <v>9.5090000000000001E-3</v>
      </c>
      <c r="H9" t="s">
        <v>22</v>
      </c>
      <c r="J9" s="3" t="s">
        <v>31</v>
      </c>
      <c r="K9" s="3" t="s">
        <v>39</v>
      </c>
      <c r="L9" s="3" t="s">
        <v>40</v>
      </c>
      <c r="M9" s="4" cm="1">
        <f t="array" ref="M9">INDEX($F$1:$F$100, MATCH(1, (A$1:A$100=M$2)*(B$1:B$100=$K9), 0))</f>
        <v>31.674879000000001</v>
      </c>
      <c r="N9" s="4" cm="1">
        <f t="array" ref="N9">INDEX($F$1:$F$100, MATCH(1, (A$1:A$100=N$2)*(B$1:B$100=$K9), 0))</f>
        <v>318.531181</v>
      </c>
      <c r="O9" s="4" t="e" cm="1">
        <f t="array" ref="O9">INDEX($F$1:$F$100, MATCH(1, (A$1:A$100=O$2)*(B$1:B$100=$K9), 0))</f>
        <v>#N/A</v>
      </c>
      <c r="P9" s="4" cm="1">
        <f t="array" ref="P9">INDEX($F$1:$F$100, MATCH(1, (A$1:A$100=P$2)*(B$1:B$100=$K9), 0))</f>
        <v>31.570931000000002</v>
      </c>
      <c r="Q9" s="4">
        <f t="shared" si="0"/>
        <v>10.056271438321833</v>
      </c>
      <c r="R9" s="4" t="str">
        <f t="shared" si="5"/>
        <v>DNF</v>
      </c>
      <c r="S9">
        <f t="shared" si="1"/>
        <v>0.99671828264916185</v>
      </c>
      <c r="U9" s="4">
        <f t="shared" si="2"/>
        <v>10.089381938087286</v>
      </c>
      <c r="V9" s="4" t="str">
        <f t="shared" si="3"/>
        <v>DNF</v>
      </c>
      <c r="W9">
        <f t="shared" si="4"/>
        <v>1.0032925224789855</v>
      </c>
      <c r="AE9" s="5" t="s">
        <v>39</v>
      </c>
      <c r="AG9">
        <v>14</v>
      </c>
      <c r="AI9" s="5" t="s">
        <v>39</v>
      </c>
      <c r="AK9">
        <v>0</v>
      </c>
      <c r="BE9" t="s">
        <v>28</v>
      </c>
      <c r="BF9" t="s">
        <v>3</v>
      </c>
      <c r="BG9">
        <v>9</v>
      </c>
    </row>
    <row r="10" spans="1:59" x14ac:dyDescent="0.2">
      <c r="A10" t="s">
        <v>107</v>
      </c>
      <c r="B10" t="s">
        <v>32</v>
      </c>
      <c r="C10" t="s">
        <v>21</v>
      </c>
      <c r="D10">
        <v>1</v>
      </c>
      <c r="E10">
        <v>5</v>
      </c>
      <c r="F10">
        <v>0.172121</v>
      </c>
      <c r="G10">
        <v>2.6742999999999999E-2</v>
      </c>
      <c r="H10" t="s">
        <v>22</v>
      </c>
      <c r="J10" s="3" t="s">
        <v>27</v>
      </c>
      <c r="K10" s="3" t="s">
        <v>41</v>
      </c>
      <c r="L10" s="3" t="s">
        <v>42</v>
      </c>
      <c r="M10" s="4" cm="1">
        <f t="array" ref="M10">INDEX($F$1:$F$100, MATCH(1, (A$1:A$100=M$2)*(B$1:B$100=$K10), 0))</f>
        <v>1.3561E-2</v>
      </c>
      <c r="N10" s="4" cm="1">
        <f t="array" ref="N10">INDEX($F$1:$F$100, MATCH(1, (A$1:A$100=N$2)*(B$1:B$100=$K10), 0))</f>
        <v>0.12911900000000001</v>
      </c>
      <c r="O10" s="4" cm="1">
        <f t="array" ref="O10">INDEX($F$1:$F$100, MATCH(1, (A$1:A$100=O$2)*(B$1:B$100=$K10), 0))</f>
        <v>257.40468099999998</v>
      </c>
      <c r="P10" s="4" cm="1">
        <f t="array" ref="P10">INDEX($F$1:$F$100, MATCH(1, (A$1:A$100=P$2)*(B$1:B$100=$K10), 0))</f>
        <v>1.2593E-2</v>
      </c>
      <c r="Q10" s="4">
        <f t="shared" si="0"/>
        <v>9.5213479831870806</v>
      </c>
      <c r="R10" s="4">
        <f>IF(ISNA(O10), "DNF", O10/$M10)</f>
        <v>18981.24629452105</v>
      </c>
      <c r="S10">
        <f t="shared" si="1"/>
        <v>0.92861883341936435</v>
      </c>
      <c r="U10" s="4">
        <f t="shared" si="2"/>
        <v>10.253235924720084</v>
      </c>
      <c r="V10" s="4">
        <f t="shared" si="3"/>
        <v>20440.298657984593</v>
      </c>
      <c r="W10">
        <f t="shared" si="4"/>
        <v>1.0768681013261336</v>
      </c>
      <c r="AE10" s="5" t="s">
        <v>41</v>
      </c>
      <c r="AG10">
        <v>8</v>
      </c>
      <c r="AI10" s="5" t="s">
        <v>41</v>
      </c>
      <c r="AJ10">
        <v>0</v>
      </c>
      <c r="AK10">
        <v>0</v>
      </c>
      <c r="BE10" t="s">
        <v>28</v>
      </c>
      <c r="BF10" t="s">
        <v>3</v>
      </c>
      <c r="BG10">
        <v>9</v>
      </c>
    </row>
    <row r="11" spans="1:59" x14ac:dyDescent="0.2">
      <c r="A11" t="s">
        <v>107</v>
      </c>
      <c r="B11" t="s">
        <v>34</v>
      </c>
      <c r="C11" t="s">
        <v>21</v>
      </c>
      <c r="D11">
        <v>1</v>
      </c>
      <c r="E11">
        <v>5</v>
      </c>
      <c r="F11">
        <v>1.1151880000000001</v>
      </c>
      <c r="G11">
        <v>0.11033999999999999</v>
      </c>
      <c r="H11" t="s">
        <v>22</v>
      </c>
      <c r="J11" s="3" t="s">
        <v>31</v>
      </c>
      <c r="K11" s="3" t="s">
        <v>43</v>
      </c>
      <c r="L11" s="3" t="s">
        <v>44</v>
      </c>
      <c r="M11" s="4" cm="1">
        <f t="array" ref="M11">INDEX($F$1:$F$100, MATCH(1, (A$1:A$100=M$2)*(B$1:B$100=$K11), 0))</f>
        <v>450.077224</v>
      </c>
      <c r="N11" s="4" t="e" cm="1">
        <f t="array" ref="N11">INDEX($F$1:$F$100, MATCH(1, (A$1:A$100=N$2)*(B$1:B$100=$K11), 0))</f>
        <v>#N/A</v>
      </c>
      <c r="O11" s="4" t="e" cm="1">
        <f t="array" ref="O11">INDEX($F$1:$F$100, MATCH(1, (A$1:A$100=O$2)*(B$1:B$100=$K11), 0))</f>
        <v>#N/A</v>
      </c>
      <c r="P11" s="4" cm="1">
        <f t="array" ref="P11">INDEX($F$1:$F$100, MATCH(1, (A$1:A$100=P$2)*(B$1:B$100=$K11), 0))</f>
        <v>454.28804400000001</v>
      </c>
      <c r="Q11" s="4" t="str">
        <f t="shared" si="0"/>
        <v>DNF</v>
      </c>
      <c r="R11" s="4" t="str">
        <f t="shared" si="5"/>
        <v>DNF</v>
      </c>
      <c r="S11">
        <f t="shared" si="1"/>
        <v>1.0093557722440982</v>
      </c>
      <c r="U11" s="4" t="str">
        <f t="shared" si="2"/>
        <v>DNF</v>
      </c>
      <c r="V11" s="4" t="str">
        <f t="shared" si="3"/>
        <v>DNF</v>
      </c>
      <c r="W11">
        <f t="shared" si="4"/>
        <v>0.99073094690557162</v>
      </c>
      <c r="AE11" s="5" t="s">
        <v>45</v>
      </c>
      <c r="AG11">
        <v>2</v>
      </c>
      <c r="AI11" s="5" t="s">
        <v>45</v>
      </c>
      <c r="AK11">
        <v>0</v>
      </c>
      <c r="BE11" t="s">
        <v>28</v>
      </c>
      <c r="BF11" t="s">
        <v>3</v>
      </c>
      <c r="BG11">
        <v>9</v>
      </c>
    </row>
    <row r="12" spans="1:59" x14ac:dyDescent="0.2">
      <c r="A12" t="s">
        <v>107</v>
      </c>
      <c r="B12" t="s">
        <v>36</v>
      </c>
      <c r="C12" t="s">
        <v>21</v>
      </c>
      <c r="D12">
        <v>1</v>
      </c>
      <c r="E12">
        <v>5</v>
      </c>
      <c r="F12">
        <v>1.9702000000000001E-2</v>
      </c>
      <c r="G12">
        <v>1.3256E-2</v>
      </c>
      <c r="H12" t="s">
        <v>22</v>
      </c>
      <c r="J12" s="3" t="s">
        <v>27</v>
      </c>
      <c r="K12" s="3" t="s">
        <v>46</v>
      </c>
      <c r="L12" s="3" t="s">
        <v>47</v>
      </c>
      <c r="M12" s="4" cm="1">
        <f t="array" ref="M12">INDEX($F$1:$F$100, MATCH(1, (A$1:A$100=M$2)*(B$1:B$100=$K12), 0))</f>
        <v>0.51047799999999999</v>
      </c>
      <c r="N12" s="4" t="e" cm="1">
        <f t="array" ref="N12">INDEX($F$1:$F$100, MATCH(1, (A$1:A$100=N$2)*(B$1:B$100=$K12), 0))</f>
        <v>#N/A</v>
      </c>
      <c r="O12" s="4" t="e" cm="1">
        <f t="array" ref="O12">INDEX($F$1:$F$100, MATCH(1, (A$1:A$100=O$2)*(B$1:B$100=$K12), 0))</f>
        <v>#N/A</v>
      </c>
      <c r="P12" s="4" cm="1">
        <f t="array" ref="P12">INDEX($F$1:$F$100, MATCH(1, (A$1:A$100=P$2)*(B$1:B$100=$K12), 0))</f>
        <v>0.49288900000000002</v>
      </c>
      <c r="Q12" s="4" t="str">
        <f t="shared" si="0"/>
        <v>DNF</v>
      </c>
      <c r="R12" s="4" t="str">
        <f t="shared" si="5"/>
        <v>DNF</v>
      </c>
      <c r="S12">
        <f t="shared" si="1"/>
        <v>0.9655440587057621</v>
      </c>
      <c r="U12" s="4" t="str">
        <f t="shared" si="2"/>
        <v>DNF</v>
      </c>
      <c r="V12" s="4" t="str">
        <f>IF(ISNA($O12), "DNF", $O12/$P12)</f>
        <v>DNF</v>
      </c>
      <c r="W12">
        <f t="shared" si="4"/>
        <v>1.0356855194577277</v>
      </c>
      <c r="AE12" s="5" t="s">
        <v>48</v>
      </c>
      <c r="AG12">
        <v>7</v>
      </c>
      <c r="AI12" s="5" t="s">
        <v>48</v>
      </c>
      <c r="AK12">
        <v>0</v>
      </c>
      <c r="BE12" t="s">
        <v>2</v>
      </c>
      <c r="BF12" t="s">
        <v>3</v>
      </c>
      <c r="BG12">
        <v>3</v>
      </c>
    </row>
    <row r="13" spans="1:59" x14ac:dyDescent="0.2">
      <c r="A13" t="s">
        <v>107</v>
      </c>
      <c r="B13" t="s">
        <v>2</v>
      </c>
      <c r="C13" t="s">
        <v>21</v>
      </c>
      <c r="D13">
        <v>1</v>
      </c>
      <c r="E13">
        <v>5</v>
      </c>
      <c r="F13">
        <v>0.78751300000000002</v>
      </c>
      <c r="G13">
        <v>7.4812000000000003E-2</v>
      </c>
      <c r="H13" t="s">
        <v>22</v>
      </c>
      <c r="J13" s="3" t="s">
        <v>31</v>
      </c>
      <c r="K13" s="3" t="s">
        <v>45</v>
      </c>
      <c r="L13" s="3" t="s">
        <v>49</v>
      </c>
      <c r="M13" s="4" cm="1">
        <f t="array" ref="M13">INDEX($F$1:$F$100, MATCH(1, (A$1:A$100=M$2)*(B$1:B$100=$K13), 0))</f>
        <v>0.43233899999999997</v>
      </c>
      <c r="N13" s="4" cm="1">
        <f t="array" ref="N13">INDEX($F$1:$F$100, MATCH(1, (A$1:A$100=N$2)*(B$1:B$100=$K13), 0))</f>
        <v>0.74385100000000004</v>
      </c>
      <c r="O13" s="4" t="e" cm="1">
        <f t="array" ref="O13">INDEX($F$1:$F$100, MATCH(1, (A$1:A$100=O$2)*(B$1:B$100=$K13), 0))</f>
        <v>#N/A</v>
      </c>
      <c r="P13" s="4" cm="1">
        <f t="array" ref="P13">INDEX($F$1:$F$100, MATCH(1, (A$1:A$100=P$2)*(B$1:B$100=$K13), 0))</f>
        <v>0.38301600000000002</v>
      </c>
      <c r="Q13" s="4">
        <f t="shared" si="0"/>
        <v>1.7205271789035921</v>
      </c>
      <c r="R13" s="4" t="str">
        <f t="shared" si="5"/>
        <v>DNF</v>
      </c>
      <c r="S13">
        <f t="shared" si="1"/>
        <v>0.88591591320699736</v>
      </c>
      <c r="U13" s="4">
        <f t="shared" si="2"/>
        <v>1.9420885811558786</v>
      </c>
      <c r="V13" s="4" t="str">
        <f t="shared" si="3"/>
        <v>DNF</v>
      </c>
      <c r="W13">
        <f t="shared" si="4"/>
        <v>1.1287752992042106</v>
      </c>
      <c r="AE13" s="5" t="s">
        <v>26</v>
      </c>
      <c r="AF13">
        <v>42</v>
      </c>
      <c r="AG13">
        <v>42</v>
      </c>
      <c r="AI13" s="5" t="s">
        <v>26</v>
      </c>
      <c r="AJ13">
        <v>0</v>
      </c>
      <c r="AK13">
        <v>0</v>
      </c>
      <c r="BE13" t="s">
        <v>2</v>
      </c>
      <c r="BF13" t="s">
        <v>3</v>
      </c>
      <c r="BG13">
        <v>3</v>
      </c>
    </row>
    <row r="14" spans="1:59" x14ac:dyDescent="0.2">
      <c r="A14" t="s">
        <v>107</v>
      </c>
      <c r="B14" t="s">
        <v>39</v>
      </c>
      <c r="C14" t="s">
        <v>21</v>
      </c>
      <c r="D14">
        <v>1</v>
      </c>
      <c r="E14">
        <v>5</v>
      </c>
      <c r="F14">
        <v>31.570931000000002</v>
      </c>
      <c r="G14">
        <v>2.1908020000000001</v>
      </c>
      <c r="H14" t="s">
        <v>22</v>
      </c>
      <c r="J14" s="3" t="s">
        <v>31</v>
      </c>
      <c r="K14" s="3" t="s">
        <v>48</v>
      </c>
      <c r="L14" s="3" t="s">
        <v>50</v>
      </c>
      <c r="M14" s="4" cm="1">
        <f t="array" ref="M14">INDEX($F$1:$F$100, MATCH(1, (A$1:A$100=M$2)*(B$1:B$100=$K14), 0))</f>
        <v>0.85773500000000003</v>
      </c>
      <c r="N14" s="4" cm="1">
        <f t="array" ref="N14">INDEX($F$1:$F$100, MATCH(1, (A$1:A$100=N$2)*(B$1:B$100=$K14), 0))</f>
        <v>4.7958179999999997</v>
      </c>
      <c r="O14" s="4" t="e" cm="1">
        <f t="array" ref="O14">INDEX($F$1:$F$100, MATCH(1, (A$1:A$100=O$2)*(B$1:B$100=$K14), 0))</f>
        <v>#N/A</v>
      </c>
      <c r="P14" s="4" cm="1">
        <f t="array" ref="P14">INDEX($F$1:$F$100, MATCH(1, (A$1:A$100=P$2)*(B$1:B$100=$K14), 0))</f>
        <v>0.87324100000000004</v>
      </c>
      <c r="Q14" s="4">
        <f t="shared" si="0"/>
        <v>5.5912583723411071</v>
      </c>
      <c r="R14" s="4" t="str">
        <f t="shared" si="5"/>
        <v>DNF</v>
      </c>
      <c r="S14">
        <f t="shared" si="1"/>
        <v>1.0180778445557195</v>
      </c>
      <c r="U14" s="4">
        <f t="shared" si="2"/>
        <v>5.4919752966248714</v>
      </c>
      <c r="V14" s="4" t="str">
        <f t="shared" si="3"/>
        <v>DNF</v>
      </c>
      <c r="W14">
        <f t="shared" si="4"/>
        <v>0.98224316082272822</v>
      </c>
      <c r="AE14" s="5" t="s">
        <v>30</v>
      </c>
      <c r="AF14">
        <v>17</v>
      </c>
      <c r="AG14">
        <v>17</v>
      </c>
      <c r="AI14" s="5" t="s">
        <v>30</v>
      </c>
      <c r="AJ14">
        <v>0</v>
      </c>
      <c r="AK14">
        <v>0</v>
      </c>
      <c r="BE14" t="s">
        <v>2</v>
      </c>
      <c r="BF14" t="s">
        <v>3</v>
      </c>
      <c r="BG14">
        <v>3</v>
      </c>
    </row>
    <row r="15" spans="1:59" x14ac:dyDescent="0.2">
      <c r="A15" t="s">
        <v>107</v>
      </c>
      <c r="B15" t="s">
        <v>41</v>
      </c>
      <c r="C15" t="s">
        <v>21</v>
      </c>
      <c r="D15">
        <v>1</v>
      </c>
      <c r="E15">
        <v>5</v>
      </c>
      <c r="F15">
        <v>1.2593E-2</v>
      </c>
      <c r="G15">
        <v>8.2819999999999994E-3</v>
      </c>
      <c r="H15" t="s">
        <v>22</v>
      </c>
      <c r="J15" s="3" t="s">
        <v>27</v>
      </c>
      <c r="K15" s="3" t="s">
        <v>51</v>
      </c>
      <c r="L15" s="3" t="s">
        <v>52</v>
      </c>
      <c r="M15" s="4" cm="1">
        <f t="array" ref="M15">INDEX($F$1:$F$100, MATCH(1, (A$1:A$100=M$2)*(B$1:B$100=$K15), 0))</f>
        <v>2.5157530000000001</v>
      </c>
      <c r="N15" s="4" t="e" cm="1">
        <f t="array" ref="N15">INDEX($F$1:$F$100, MATCH(1, (A$1:A$100=N$2)*(B$1:B$100=$K15), 0))</f>
        <v>#N/A</v>
      </c>
      <c r="O15" s="4" t="e" cm="1">
        <f t="array" ref="O15">INDEX($F$1:$F$100, MATCH(1, (A$1:A$100=O$2)*(B$1:B$100=$K15), 0))</f>
        <v>#N/A</v>
      </c>
      <c r="P15" s="4" cm="1">
        <f t="array" ref="P15">INDEX($F$1:$F$100, MATCH(1, (A$1:A$100=P$2)*(B$1:B$100=$K15), 0))</f>
        <v>2.4506489999999999</v>
      </c>
      <c r="Q15" s="4" t="str">
        <f t="shared" si="0"/>
        <v>DNF</v>
      </c>
      <c r="R15" s="4" t="str">
        <f t="shared" si="5"/>
        <v>DNF</v>
      </c>
      <c r="S15">
        <f t="shared" si="1"/>
        <v>0.97412146581957759</v>
      </c>
      <c r="U15" s="4" t="str">
        <f t="shared" si="2"/>
        <v>DNF</v>
      </c>
      <c r="V15" s="4" t="str">
        <f t="shared" si="3"/>
        <v>DNF</v>
      </c>
      <c r="W15">
        <f t="shared" si="4"/>
        <v>1.0265660239389649</v>
      </c>
      <c r="AE15" s="5" t="s">
        <v>53</v>
      </c>
      <c r="AG15">
        <v>10</v>
      </c>
      <c r="AI15" s="5" t="s">
        <v>53</v>
      </c>
      <c r="AK15">
        <v>0</v>
      </c>
      <c r="BE15" t="s">
        <v>2</v>
      </c>
      <c r="BF15" t="s">
        <v>3</v>
      </c>
      <c r="BG15">
        <v>3</v>
      </c>
    </row>
    <row r="16" spans="1:59" x14ac:dyDescent="0.2">
      <c r="A16" t="s">
        <v>107</v>
      </c>
      <c r="B16" t="s">
        <v>43</v>
      </c>
      <c r="C16" t="s">
        <v>21</v>
      </c>
      <c r="D16">
        <v>1</v>
      </c>
      <c r="E16">
        <v>5</v>
      </c>
      <c r="F16">
        <v>454.28804400000001</v>
      </c>
      <c r="G16">
        <v>24.824615999999999</v>
      </c>
      <c r="H16" t="s">
        <v>22</v>
      </c>
      <c r="J16" s="3" t="s">
        <v>23</v>
      </c>
      <c r="K16" s="3" t="s">
        <v>26</v>
      </c>
      <c r="L16" s="3" t="s">
        <v>54</v>
      </c>
      <c r="M16" s="4" cm="1">
        <f t="array" ref="M16">INDEX($F$1:$F$100, MATCH(1, (A$1:A$100=M$2)*(B$1:B$100=$K16), 0))</f>
        <v>0.162852</v>
      </c>
      <c r="N16" s="4" cm="1">
        <f t="array" ref="N16">INDEX($F$1:$F$100, MATCH(1, (A$1:A$100=N$2)*(B$1:B$100=$K16), 0))</f>
        <v>1.7730919999999999</v>
      </c>
      <c r="O16" s="4" cm="1">
        <f t="array" ref="O16">INDEX($F$1:$F$100, MATCH(1, (A$1:A$100=O$2)*(B$1:B$100=$K16), 0))</f>
        <v>233.75161800000001</v>
      </c>
      <c r="P16" s="4" cm="1">
        <f t="array" ref="P16">INDEX($F$1:$F$100, MATCH(1, (A$1:A$100=P$2)*(B$1:B$100=$K16), 0))</f>
        <v>0.166826</v>
      </c>
      <c r="Q16" s="4">
        <f t="shared" si="0"/>
        <v>10.887750841254636</v>
      </c>
      <c r="R16" s="4">
        <f t="shared" si="5"/>
        <v>1435.3622798614695</v>
      </c>
      <c r="S16">
        <f t="shared" si="1"/>
        <v>1.0244025249920172</v>
      </c>
      <c r="U16" s="4">
        <f t="shared" si="2"/>
        <v>10.628391257957391</v>
      </c>
      <c r="V16" s="4">
        <f t="shared" si="3"/>
        <v>1401.1701892990302</v>
      </c>
      <c r="W16">
        <f t="shared" si="4"/>
        <v>0.97617877309292311</v>
      </c>
      <c r="BE16" t="s">
        <v>2</v>
      </c>
      <c r="BF16" t="s">
        <v>3</v>
      </c>
      <c r="BG16">
        <v>3</v>
      </c>
    </row>
    <row r="17" spans="1:59" x14ac:dyDescent="0.2">
      <c r="A17" t="s">
        <v>107</v>
      </c>
      <c r="B17" t="s">
        <v>46</v>
      </c>
      <c r="C17" t="s">
        <v>21</v>
      </c>
      <c r="D17">
        <v>1</v>
      </c>
      <c r="E17">
        <v>5</v>
      </c>
      <c r="F17">
        <v>0.49288900000000002</v>
      </c>
      <c r="G17">
        <v>4.9963E-2</v>
      </c>
      <c r="H17" t="s">
        <v>22</v>
      </c>
      <c r="J17" s="3" t="s">
        <v>23</v>
      </c>
      <c r="K17" s="3" t="s">
        <v>30</v>
      </c>
      <c r="L17" s="3" t="s">
        <v>55</v>
      </c>
      <c r="M17" s="4" cm="1">
        <f t="array" ref="M17">INDEX($F$1:$F$100, MATCH(1, (A$1:A$100=M$2)*(B$1:B$100=$K17), 0))</f>
        <v>6.4223000000000002E-2</v>
      </c>
      <c r="N17" s="4" cm="1">
        <f t="array" ref="N17">INDEX($F$1:$F$100, MATCH(1, (A$1:A$100=N$2)*(B$1:B$100=$K17), 0))</f>
        <v>0.25033899999999998</v>
      </c>
      <c r="O17" s="4" cm="1">
        <f t="array" ref="O17">INDEX($F$1:$F$100, MATCH(1, (A$1:A$100=O$2)*(B$1:B$100=$K17), 0))</f>
        <v>6.6339059999999996</v>
      </c>
      <c r="P17" s="4" cm="1">
        <f t="array" ref="P17">INDEX($F$1:$F$100, MATCH(1, (A$1:A$100=P$2)*(B$1:B$100=$K17), 0))</f>
        <v>6.2243E-2</v>
      </c>
      <c r="Q17" s="4">
        <f t="shared" si="0"/>
        <v>3.8979649035392301</v>
      </c>
      <c r="R17" s="4">
        <f t="shared" si="5"/>
        <v>103.29486321099917</v>
      </c>
      <c r="S17">
        <f t="shared" si="1"/>
        <v>0.96916992354763865</v>
      </c>
      <c r="U17" s="4">
        <f t="shared" si="2"/>
        <v>4.0219623090146683</v>
      </c>
      <c r="V17" s="4">
        <f>IF(ISNA($O17), "DNF", $O17/$P17)</f>
        <v>106.58075606895554</v>
      </c>
      <c r="W17">
        <f>IF(ISNA($M17), "DNF", $M17/$P17)</f>
        <v>1.0318108060344136</v>
      </c>
      <c r="BE17" t="s">
        <v>2</v>
      </c>
      <c r="BF17" t="s">
        <v>3</v>
      </c>
      <c r="BG17">
        <v>3</v>
      </c>
    </row>
    <row r="18" spans="1:59" x14ac:dyDescent="0.2">
      <c r="A18" t="s">
        <v>107</v>
      </c>
      <c r="B18" t="s">
        <v>45</v>
      </c>
      <c r="C18" t="s">
        <v>21</v>
      </c>
      <c r="D18">
        <v>1</v>
      </c>
      <c r="E18">
        <v>5</v>
      </c>
      <c r="F18">
        <v>0.38301600000000002</v>
      </c>
      <c r="G18">
        <v>3.9407999999999999E-2</v>
      </c>
      <c r="H18" t="s">
        <v>22</v>
      </c>
      <c r="J18" s="3" t="s">
        <v>31</v>
      </c>
      <c r="K18" s="3" t="s">
        <v>53</v>
      </c>
      <c r="L18" s="3" t="s">
        <v>56</v>
      </c>
      <c r="M18" s="4" cm="1">
        <f t="array" ref="M18">INDEX($F$1:$F$100, MATCH(1, (A$1:A$100=M$2)*(B$1:B$100=$K18), 0))</f>
        <v>1.32355</v>
      </c>
      <c r="N18" s="4" cm="1">
        <f t="array" ref="N18">INDEX($F$1:$F$100, MATCH(1, (A$1:A$100=N$2)*(B$1:B$100=$K18), 0))</f>
        <v>9.9756239999999998</v>
      </c>
      <c r="O18" s="4" t="e" cm="1">
        <f t="array" ref="O18">INDEX($F$1:$F$100, MATCH(1, (A$1:A$100=O$2)*(B$1:B$100=$K18), 0))</f>
        <v>#N/A</v>
      </c>
      <c r="P18" s="4" cm="1">
        <f t="array" ref="P18">INDEX($F$1:$F$100, MATCH(1, (A$1:A$100=P$2)*(B$1:B$100=$K18), 0))</f>
        <v>1.3558479999999999</v>
      </c>
      <c r="Q18" s="4">
        <f t="shared" si="0"/>
        <v>7.5370208907861436</v>
      </c>
      <c r="R18" s="4" t="str">
        <f t="shared" si="5"/>
        <v>DNF</v>
      </c>
      <c r="S18">
        <f t="shared" si="1"/>
        <v>1.024402553738053</v>
      </c>
      <c r="U18" s="4">
        <f>IF(ISNA($N18), "DNF", $N18/$P18)</f>
        <v>7.3574795994831277</v>
      </c>
      <c r="V18" s="4" t="str">
        <f t="shared" si="3"/>
        <v>DNF</v>
      </c>
      <c r="W18">
        <f>IF(ISNA($M18), "DNF", $M18/$P18)</f>
        <v>0.97617874570010799</v>
      </c>
      <c r="BE18" t="s">
        <v>2</v>
      </c>
      <c r="BF18" t="s">
        <v>3</v>
      </c>
      <c r="BG18">
        <v>3</v>
      </c>
    </row>
    <row r="19" spans="1:59" x14ac:dyDescent="0.2">
      <c r="A19" t="s">
        <v>107</v>
      </c>
      <c r="B19" t="s">
        <v>48</v>
      </c>
      <c r="C19" t="s">
        <v>21</v>
      </c>
      <c r="D19">
        <v>1</v>
      </c>
      <c r="E19">
        <v>5</v>
      </c>
      <c r="F19">
        <v>0.87324100000000004</v>
      </c>
      <c r="G19">
        <v>0.144875</v>
      </c>
      <c r="H19" t="s">
        <v>22</v>
      </c>
      <c r="W19" s="16"/>
      <c r="X19" s="9"/>
      <c r="Y19" s="9"/>
      <c r="BE19" t="s">
        <v>2</v>
      </c>
      <c r="BF19" t="s">
        <v>3</v>
      </c>
      <c r="BG19">
        <v>3</v>
      </c>
    </row>
    <row r="20" spans="1:59" x14ac:dyDescent="0.2">
      <c r="A20" t="s">
        <v>107</v>
      </c>
      <c r="B20" t="s">
        <v>51</v>
      </c>
      <c r="C20" t="s">
        <v>21</v>
      </c>
      <c r="D20">
        <v>1</v>
      </c>
      <c r="E20">
        <v>5</v>
      </c>
      <c r="F20">
        <v>2.4506489999999999</v>
      </c>
      <c r="G20">
        <v>0.47071099999999999</v>
      </c>
      <c r="H20" t="s">
        <v>22</v>
      </c>
      <c r="W20" s="5"/>
      <c r="BE20" t="s">
        <v>2</v>
      </c>
      <c r="BF20" t="s">
        <v>3</v>
      </c>
      <c r="BG20">
        <v>3</v>
      </c>
    </row>
    <row r="21" spans="1:59" x14ac:dyDescent="0.2">
      <c r="A21" t="s">
        <v>107</v>
      </c>
      <c r="B21" t="s">
        <v>26</v>
      </c>
      <c r="C21" t="s">
        <v>21</v>
      </c>
      <c r="D21">
        <v>1</v>
      </c>
      <c r="E21">
        <v>5</v>
      </c>
      <c r="F21">
        <v>0.166826</v>
      </c>
      <c r="G21">
        <v>2.3425999999999999E-2</v>
      </c>
      <c r="H21" t="s">
        <v>22</v>
      </c>
      <c r="BE21" t="s">
        <v>2</v>
      </c>
      <c r="BF21" t="s">
        <v>3</v>
      </c>
      <c r="BG21">
        <v>3</v>
      </c>
    </row>
    <row r="22" spans="1:59" x14ac:dyDescent="0.2">
      <c r="A22" t="s">
        <v>107</v>
      </c>
      <c r="B22" t="s">
        <v>30</v>
      </c>
      <c r="C22" t="s">
        <v>21</v>
      </c>
      <c r="D22">
        <v>1</v>
      </c>
      <c r="E22">
        <v>5</v>
      </c>
      <c r="F22">
        <v>6.2243E-2</v>
      </c>
      <c r="G22">
        <v>8.5240000000000003E-3</v>
      </c>
      <c r="H22" t="s">
        <v>22</v>
      </c>
      <c r="BE22" t="s">
        <v>41</v>
      </c>
      <c r="BF22" t="s">
        <v>3</v>
      </c>
      <c r="BG22">
        <v>5</v>
      </c>
    </row>
    <row r="23" spans="1:59" x14ac:dyDescent="0.2">
      <c r="A23" t="s">
        <v>107</v>
      </c>
      <c r="B23" t="s">
        <v>53</v>
      </c>
      <c r="C23" t="s">
        <v>21</v>
      </c>
      <c r="D23">
        <v>1</v>
      </c>
      <c r="E23">
        <v>5</v>
      </c>
      <c r="F23">
        <v>1.3558479999999999</v>
      </c>
      <c r="G23">
        <v>0.179258</v>
      </c>
      <c r="H23" t="s">
        <v>22</v>
      </c>
      <c r="BE23" t="s">
        <v>41</v>
      </c>
      <c r="BF23" t="s">
        <v>3</v>
      </c>
      <c r="BG23">
        <v>5</v>
      </c>
    </row>
    <row r="24" spans="1:59" x14ac:dyDescent="0.2">
      <c r="A24" t="s">
        <v>15</v>
      </c>
      <c r="B24" t="s">
        <v>28</v>
      </c>
      <c r="C24" t="s">
        <v>21</v>
      </c>
      <c r="D24">
        <v>1</v>
      </c>
      <c r="E24">
        <v>5</v>
      </c>
      <c r="F24">
        <v>0.22487099999999999</v>
      </c>
      <c r="G24">
        <v>1.9980000000000001E-2</v>
      </c>
      <c r="H24" t="s">
        <v>22</v>
      </c>
      <c r="J24" t="s">
        <v>57</v>
      </c>
      <c r="K24" s="2"/>
      <c r="L24" s="2"/>
      <c r="P24" t="s">
        <v>111</v>
      </c>
      <c r="T24" s="25" t="s">
        <v>118</v>
      </c>
      <c r="X24" s="25" t="s">
        <v>119</v>
      </c>
      <c r="BE24" t="s">
        <v>41</v>
      </c>
      <c r="BF24" t="s">
        <v>3</v>
      </c>
      <c r="BG24">
        <v>5</v>
      </c>
    </row>
    <row r="25" spans="1:59" x14ac:dyDescent="0.2">
      <c r="A25" t="s">
        <v>15</v>
      </c>
      <c r="B25" t="s">
        <v>32</v>
      </c>
      <c r="C25" t="s">
        <v>21</v>
      </c>
      <c r="D25">
        <v>1</v>
      </c>
      <c r="E25">
        <v>5</v>
      </c>
      <c r="F25">
        <v>0.669624</v>
      </c>
      <c r="G25">
        <v>0.15983900000000001</v>
      </c>
      <c r="H25" t="s">
        <v>22</v>
      </c>
      <c r="J25" t="s">
        <v>12</v>
      </c>
      <c r="K25" s="6" t="s">
        <v>23</v>
      </c>
      <c r="L25" s="6" t="s">
        <v>31</v>
      </c>
      <c r="M25" s="6" t="s">
        <v>27</v>
      </c>
      <c r="O25" s="6" t="s">
        <v>13</v>
      </c>
      <c r="P25" s="1" t="s">
        <v>14</v>
      </c>
      <c r="Q25" s="1" t="s">
        <v>15</v>
      </c>
      <c r="R25" s="1" t="s">
        <v>16</v>
      </c>
      <c r="S25" s="2" t="s">
        <v>107</v>
      </c>
      <c r="T25" s="1" t="s">
        <v>57</v>
      </c>
      <c r="U25" s="1" t="s">
        <v>58</v>
      </c>
      <c r="V25" s="1" t="s">
        <v>107</v>
      </c>
      <c r="X25" s="1" t="s">
        <v>57</v>
      </c>
      <c r="Y25" s="1" t="s">
        <v>58</v>
      </c>
      <c r="Z25" s="1" t="s">
        <v>14</v>
      </c>
      <c r="BE25" t="s">
        <v>41</v>
      </c>
      <c r="BF25" t="s">
        <v>3</v>
      </c>
      <c r="BG25">
        <v>5</v>
      </c>
    </row>
    <row r="26" spans="1:59" x14ac:dyDescent="0.2">
      <c r="A26" t="s">
        <v>15</v>
      </c>
      <c r="B26" t="s">
        <v>34</v>
      </c>
      <c r="C26" t="s">
        <v>21</v>
      </c>
      <c r="D26">
        <v>1</v>
      </c>
      <c r="E26">
        <v>5</v>
      </c>
      <c r="F26">
        <v>14.777259000000001</v>
      </c>
      <c r="G26">
        <v>3.0322990000000001</v>
      </c>
      <c r="H26" t="s">
        <v>22</v>
      </c>
      <c r="J26" s="7" t="s">
        <v>29</v>
      </c>
      <c r="K26" s="4" t="str" cm="1">
        <f t="array" ref="K26">IFERROR(INDEX($Q$3:$Q$18, MATCH(1, ($J26=$L$3:$L$18) * (K$25=$J$3:$J$18), 0)), "")</f>
        <v/>
      </c>
      <c r="L26" s="4" t="str" cm="1">
        <f t="array" ref="L26">IFERROR(INDEX($Q$3:$Q$18, MATCH(1, ($J26=$L$3:$L$18) * (L$25=$J$3:$J$18), 0)), "")</f>
        <v/>
      </c>
      <c r="M26" s="4" cm="1">
        <f t="array" ref="M26">IFERROR(INDEX($Q$3:$Q$18, MATCH(1, ($J26=$L$3:$L$18) * (M$25=$J$3:$J$18), 0)), "")</f>
        <v>5.9557433058770561</v>
      </c>
      <c r="N26" s="4"/>
      <c r="O26" s="3" t="s">
        <v>25</v>
      </c>
      <c r="P26" s="4" cm="1">
        <f t="array" ref="P26">INDEX($G$1:$G$100, MATCH(1, ($A$1:$A$100=P$25)*($B$1:$B$100=$K3), 0))</f>
        <v>0.86114100000000005</v>
      </c>
      <c r="Q26" s="4" t="e" cm="1">
        <f t="array" ref="Q26">INDEX($G$1:$G$100, MATCH(1, ($A$1:$A$100=Q$25)*($B$1:$B$100=$K3), 0))</f>
        <v>#N/A</v>
      </c>
      <c r="R26" s="4" t="e" cm="1">
        <f t="array" ref="R26">INDEX($G$1:$G$100, MATCH(1, ($A$1:$A$100=R$25)*($B$1:$B$100=$K3), 0))</f>
        <v>#N/A</v>
      </c>
      <c r="S26" s="4" cm="1">
        <f t="array" ref="S26">INDEX($G$1:$G$100, MATCH(1, ($A$1:$A$100=S$25)*($B$1:$B$100=$K3), 0))</f>
        <v>1.534343</v>
      </c>
      <c r="T26" s="4" t="b">
        <f>IF(ISNA(N3), TRUE, ABS($M3-N3) &gt; MAX($P26, Q26))</f>
        <v>1</v>
      </c>
      <c r="U26" s="4" t="b">
        <f>IF(ISNA(O3), TRUE, ABS($M3-O3) &gt; MAX($P26, R26))</f>
        <v>1</v>
      </c>
      <c r="V26" s="4" t="b">
        <f>IF(ISNA(P3), TRUE, ABS($M3-P3) &gt; MAX($P26, S26))</f>
        <v>0</v>
      </c>
      <c r="X26" s="4" t="b">
        <f>IF(ISNA(N3), TRUE, ABS($P3-N3) &gt; MAX($S26, Q26))</f>
        <v>1</v>
      </c>
      <c r="Y26" s="4" t="b">
        <f>IF(ISNA(O3), TRUE, ABS($P3-O3) &gt; MAX($S26, R26))</f>
        <v>1</v>
      </c>
      <c r="Z26" s="4" t="b">
        <f>IF(ISNA(M3), TRUE, ABS($P3-M3) &gt; MAX($S26, P26))</f>
        <v>0</v>
      </c>
      <c r="BE26" t="s">
        <v>41</v>
      </c>
      <c r="BF26" t="s">
        <v>3</v>
      </c>
      <c r="BG26">
        <v>5</v>
      </c>
    </row>
    <row r="27" spans="1:59" x14ac:dyDescent="0.2">
      <c r="A27" t="s">
        <v>15</v>
      </c>
      <c r="B27" t="s">
        <v>36</v>
      </c>
      <c r="C27" t="s">
        <v>21</v>
      </c>
      <c r="D27">
        <v>1</v>
      </c>
      <c r="E27">
        <v>5</v>
      </c>
      <c r="F27">
        <v>5.9309000000000001E-2</v>
      </c>
      <c r="G27">
        <v>4.2519999999999997E-3</v>
      </c>
      <c r="H27" t="s">
        <v>22</v>
      </c>
      <c r="J27" s="6" t="s">
        <v>37</v>
      </c>
      <c r="K27" s="4" t="str" cm="1">
        <f t="array" ref="K27">IFERROR(INDEX($Q$3:$Q$18, MATCH(1, ($J27=$L$3:$L$18) * (K$25=$J$3:$J$18), 0)), "")</f>
        <v/>
      </c>
      <c r="L27" s="4" t="str" cm="1">
        <f t="array" ref="L27">IFERROR(INDEX($Q$3:$Q$18, MATCH(1, ($J27=$L$3:$L$18) * (L$25=$J$3:$J$18), 0)), "")</f>
        <v/>
      </c>
      <c r="M27" s="4" cm="1">
        <f t="array" ref="M27">IFERROR(INDEX($Q$3:$Q$18, MATCH(1, ($J27=$L$3:$L$18) * (M$25=$J$3:$J$18), 0)), "")</f>
        <v>2.4919747899159663</v>
      </c>
      <c r="N27" s="4"/>
      <c r="O27" s="3" t="s">
        <v>29</v>
      </c>
      <c r="P27" s="4" cm="1">
        <f t="array" ref="P27">INDEX($G$1:$G$100, MATCH(1, ($A$1:$A$100=P$25)*($B$1:$B$100=$K4), 0))</f>
        <v>6.1029999999999999E-3</v>
      </c>
      <c r="Q27" s="4" cm="1">
        <f t="array" ref="Q27">INDEX($G$1:$G$100, MATCH(1, ($A$1:$A$100=Q$25)*($B$1:$B$100=$K4), 0))</f>
        <v>1.9980000000000001E-2</v>
      </c>
      <c r="R27" s="4" cm="1">
        <f t="array" ref="R27">INDEX($G$1:$G$100, MATCH(1, ($A$1:$A$100=R$25)*($B$1:$B$100=$K4), 0))</f>
        <v>0.37143700000000002</v>
      </c>
      <c r="S27" s="4" cm="1">
        <f t="array" ref="S27">INDEX($G$1:$G$100, MATCH(1, ($A$1:$A$100=S$25)*($B$1:$B$100=$K4), 0))</f>
        <v>9.5090000000000001E-3</v>
      </c>
      <c r="T27" s="4" t="b">
        <f t="shared" ref="T27:V41" si="6">IF(ISNA(N4), TRUE, ABS($M4-N4) &gt; MAX($P27, Q27))</f>
        <v>1</v>
      </c>
      <c r="U27" s="4" t="b">
        <f t="shared" si="6"/>
        <v>1</v>
      </c>
      <c r="V27" s="4" t="b">
        <f t="shared" si="6"/>
        <v>0</v>
      </c>
      <c r="X27" s="4" t="b">
        <f t="shared" ref="X27:Y41" si="7">IF(ISNA(N4), TRUE, ABS($P4-N4) &gt; MAX($S27, Q27))</f>
        <v>1</v>
      </c>
      <c r="Y27" s="4" t="b">
        <f t="shared" si="7"/>
        <v>1</v>
      </c>
      <c r="Z27" s="4" t="b">
        <f t="shared" ref="Z27:Z41" si="8">IF(ISNA(M4), TRUE, ABS($P4-M4) &gt; MAX($S27, P27))</f>
        <v>0</v>
      </c>
      <c r="BE27" t="s">
        <v>41</v>
      </c>
      <c r="BF27" t="s">
        <v>3</v>
      </c>
      <c r="BG27">
        <v>5</v>
      </c>
    </row>
    <row r="28" spans="1:59" x14ac:dyDescent="0.2">
      <c r="A28" t="s">
        <v>15</v>
      </c>
      <c r="B28" t="s">
        <v>2</v>
      </c>
      <c r="C28" t="s">
        <v>21</v>
      </c>
      <c r="D28">
        <v>1</v>
      </c>
      <c r="E28">
        <v>5</v>
      </c>
      <c r="F28">
        <v>1.0160309999999999</v>
      </c>
      <c r="G28">
        <v>7.1665999999999994E-2</v>
      </c>
      <c r="H28" t="s">
        <v>22</v>
      </c>
      <c r="J28" s="6" t="s">
        <v>42</v>
      </c>
      <c r="K28" s="4" t="str" cm="1">
        <f t="array" ref="K28">IFERROR(INDEX($Q$3:$Q$18, MATCH(1, ($J28=$L$3:$L$18) * (K$25=$J$3:$J$18), 0)), "")</f>
        <v/>
      </c>
      <c r="L28" s="4" t="str" cm="1">
        <f t="array" ref="L28">IFERROR(INDEX($Q$3:$Q$18, MATCH(1, ($J28=$L$3:$L$18) * (L$25=$J$3:$J$18), 0)), "")</f>
        <v/>
      </c>
      <c r="M28" s="4" cm="1">
        <f t="array" ref="M28">IFERROR(INDEX($Q$3:$Q$18, MATCH(1, ($J28=$L$3:$L$18) * (M$25=$J$3:$J$18), 0)), "")</f>
        <v>9.5213479831870806</v>
      </c>
      <c r="N28" s="4"/>
      <c r="O28" s="3" t="s">
        <v>33</v>
      </c>
      <c r="P28" s="4" cm="1">
        <f t="array" ref="P28">INDEX($G$1:$G$100, MATCH(1, ($A$1:$A$100=P$25)*($B$1:$B$100=$K5), 0))</f>
        <v>3.7964999999999999E-2</v>
      </c>
      <c r="Q28" s="4" cm="1">
        <f t="array" ref="Q28">INDEX($G$1:$G$100, MATCH(1, ($A$1:$A$100=Q$25)*($B$1:$B$100=$K5), 0))</f>
        <v>0.15983900000000001</v>
      </c>
      <c r="R28" s="4" t="e" cm="1">
        <f t="array" ref="R28">INDEX($G$1:$G$100, MATCH(1, ($A$1:$A$100=R$25)*($B$1:$B$100=$K5), 0))</f>
        <v>#N/A</v>
      </c>
      <c r="S28" s="4" cm="1">
        <f t="array" ref="S28">INDEX($G$1:$G$100, MATCH(1, ($A$1:$A$100=S$25)*($B$1:$B$100=$K5), 0))</f>
        <v>2.6742999999999999E-2</v>
      </c>
      <c r="T28" s="4" t="b">
        <f t="shared" si="6"/>
        <v>1</v>
      </c>
      <c r="U28" s="4" t="b">
        <f t="shared" si="6"/>
        <v>1</v>
      </c>
      <c r="V28" s="4" t="b">
        <f t="shared" si="6"/>
        <v>0</v>
      </c>
      <c r="X28" s="4" t="b">
        <f t="shared" si="7"/>
        <v>1</v>
      </c>
      <c r="Y28" s="4" t="b">
        <f t="shared" si="7"/>
        <v>1</v>
      </c>
      <c r="Z28" s="4" t="b">
        <f t="shared" si="8"/>
        <v>0</v>
      </c>
      <c r="BE28" t="s">
        <v>41</v>
      </c>
      <c r="BF28" t="s">
        <v>3</v>
      </c>
      <c r="BG28">
        <v>5</v>
      </c>
    </row>
    <row r="29" spans="1:59" x14ac:dyDescent="0.2">
      <c r="A29" t="s">
        <v>15</v>
      </c>
      <c r="B29" t="s">
        <v>39</v>
      </c>
      <c r="C29" t="s">
        <v>21</v>
      </c>
      <c r="D29">
        <v>1</v>
      </c>
      <c r="E29">
        <v>5</v>
      </c>
      <c r="F29">
        <v>318.531181</v>
      </c>
      <c r="G29">
        <v>23.956686000000001</v>
      </c>
      <c r="H29" t="s">
        <v>22</v>
      </c>
      <c r="J29" s="6" t="s">
        <v>47</v>
      </c>
      <c r="K29" s="4" t="str" cm="1">
        <f t="array" ref="K29">IFERROR(INDEX($Q$3:$Q$18, MATCH(1, ($J29=$L$3:$L$18) * (K$25=$J$3:$J$18), 0)), "")</f>
        <v/>
      </c>
      <c r="L29" s="4" t="str" cm="1">
        <f t="array" ref="L29">IFERROR(INDEX($Q$3:$Q$18, MATCH(1, ($J29=$L$3:$L$18) * (L$25=$J$3:$J$18), 0)), "")</f>
        <v/>
      </c>
      <c r="M29" s="4" t="str" cm="1">
        <f t="array" ref="M29">IFERROR(INDEX($Q$3:$Q$18, MATCH(1, ($J29=$L$3:$L$18) * (M$25=$J$3:$J$18), 0)), "")</f>
        <v>DNF</v>
      </c>
      <c r="N29" s="4"/>
      <c r="O29" s="3" t="s">
        <v>35</v>
      </c>
      <c r="P29" s="4" cm="1">
        <f t="array" ref="P29">INDEX($G$1:$G$100, MATCH(1, ($A$1:$A$100=P$25)*($B$1:$B$100=$K6), 0))</f>
        <v>7.8641000000000003E-2</v>
      </c>
      <c r="Q29" s="4" cm="1">
        <f t="array" ref="Q29">INDEX($G$1:$G$100, MATCH(1, ($A$1:$A$100=Q$25)*($B$1:$B$100=$K6), 0))</f>
        <v>3.0322990000000001</v>
      </c>
      <c r="R29" s="4" t="e" cm="1">
        <f t="array" ref="R29">INDEX($G$1:$G$100, MATCH(1, ($A$1:$A$100=R$25)*($B$1:$B$100=$K6), 0))</f>
        <v>#N/A</v>
      </c>
      <c r="S29" s="4" cm="1">
        <f t="array" ref="S29">INDEX($G$1:$G$100, MATCH(1, ($A$1:$A$100=S$25)*($B$1:$B$100=$K6), 0))</f>
        <v>0.11033999999999999</v>
      </c>
      <c r="T29" s="4" t="b">
        <f t="shared" si="6"/>
        <v>1</v>
      </c>
      <c r="U29" s="4" t="b">
        <f t="shared" si="6"/>
        <v>1</v>
      </c>
      <c r="V29" s="4" t="b">
        <f t="shared" si="6"/>
        <v>0</v>
      </c>
      <c r="X29" s="4" t="b">
        <f t="shared" si="7"/>
        <v>1</v>
      </c>
      <c r="Y29" s="4" t="b">
        <f t="shared" si="7"/>
        <v>1</v>
      </c>
      <c r="Z29" s="4" t="b">
        <f t="shared" si="8"/>
        <v>0</v>
      </c>
      <c r="BE29" t="s">
        <v>41</v>
      </c>
      <c r="BF29" t="s">
        <v>3</v>
      </c>
      <c r="BG29">
        <v>5</v>
      </c>
    </row>
    <row r="30" spans="1:59" x14ac:dyDescent="0.2">
      <c r="A30" t="s">
        <v>15</v>
      </c>
      <c r="B30" t="s">
        <v>41</v>
      </c>
      <c r="C30" t="s">
        <v>21</v>
      </c>
      <c r="D30">
        <v>1</v>
      </c>
      <c r="E30">
        <v>5</v>
      </c>
      <c r="F30">
        <v>0.12911900000000001</v>
      </c>
      <c r="G30">
        <v>1.3450999999999999E-2</v>
      </c>
      <c r="H30" t="s">
        <v>22</v>
      </c>
      <c r="J30" s="6" t="s">
        <v>52</v>
      </c>
      <c r="K30" s="4" t="str" cm="1">
        <f t="array" ref="K30">IFERROR(INDEX($Q$3:$Q$18, MATCH(1, ($J30=$L$3:$L$18) * (K$25=$J$3:$J$18), 0)), "")</f>
        <v/>
      </c>
      <c r="L30" s="4" t="str" cm="1">
        <f t="array" ref="L30">IFERROR(INDEX($Q$3:$Q$18, MATCH(1, ($J30=$L$3:$L$18) * (L$25=$J$3:$J$18), 0)), "")</f>
        <v/>
      </c>
      <c r="M30" s="4" t="str" cm="1">
        <f t="array" ref="M30">IFERROR(INDEX($Q$3:$Q$18, MATCH(1, ($J30=$L$3:$L$18) * (M$25=$J$3:$J$18), 0)), "")</f>
        <v>DNF</v>
      </c>
      <c r="N30" s="4"/>
      <c r="O30" s="3" t="s">
        <v>37</v>
      </c>
      <c r="P30" s="4" cm="1">
        <f t="array" ref="P30">INDEX($G$1:$G$100, MATCH(1, ($A$1:$A$100=P$25)*($B$1:$B$100=$K7), 0))</f>
        <v>6.3540000000000003E-3</v>
      </c>
      <c r="Q30" s="4" cm="1">
        <f t="array" ref="Q30">INDEX($G$1:$G$100, MATCH(1, ($A$1:$A$100=Q$25)*($B$1:$B$100=$K7), 0))</f>
        <v>4.2519999999999997E-3</v>
      </c>
      <c r="R30" s="4" t="e" cm="1">
        <f t="array" ref="R30">INDEX($G$1:$G$100, MATCH(1, ($A$1:$A$100=R$25)*($B$1:$B$100=$K7), 0))</f>
        <v>#N/A</v>
      </c>
      <c r="S30" s="4" cm="1">
        <f t="array" ref="S30">INDEX($G$1:$G$100, MATCH(1, ($A$1:$A$100=S$25)*($B$1:$B$100=$K7), 0))</f>
        <v>1.3256E-2</v>
      </c>
      <c r="T30" s="4" t="b">
        <f t="shared" si="6"/>
        <v>1</v>
      </c>
      <c r="U30" s="4" t="b">
        <f t="shared" si="6"/>
        <v>1</v>
      </c>
      <c r="V30" s="4" t="b">
        <f t="shared" si="6"/>
        <v>0</v>
      </c>
      <c r="X30" s="4" t="b">
        <f t="shared" si="7"/>
        <v>1</v>
      </c>
      <c r="Y30" s="4" t="b">
        <f t="shared" si="7"/>
        <v>1</v>
      </c>
      <c r="Z30" s="4" t="b">
        <f t="shared" si="8"/>
        <v>0</v>
      </c>
      <c r="BE30" t="s">
        <v>41</v>
      </c>
      <c r="BF30" t="s">
        <v>3</v>
      </c>
      <c r="BG30">
        <v>5</v>
      </c>
    </row>
    <row r="31" spans="1:59" x14ac:dyDescent="0.2">
      <c r="A31" t="s">
        <v>15</v>
      </c>
      <c r="B31" t="s">
        <v>45</v>
      </c>
      <c r="C31" t="s">
        <v>21</v>
      </c>
      <c r="D31">
        <v>1</v>
      </c>
      <c r="E31">
        <v>5</v>
      </c>
      <c r="F31">
        <v>0.74385100000000004</v>
      </c>
      <c r="G31">
        <v>0.18567900000000001</v>
      </c>
      <c r="H31" t="s">
        <v>22</v>
      </c>
      <c r="J31" s="7" t="s">
        <v>33</v>
      </c>
      <c r="K31" s="4" t="str" cm="1">
        <f t="array" ref="K31">IFERROR(INDEX($Q$3:$Q$18, MATCH(1, ($J31=$L$3:$L$18) * (K$25=$J$3:$J$18), 0)), "")</f>
        <v/>
      </c>
      <c r="L31" s="4" cm="1">
        <f t="array" ref="L31">IFERROR(INDEX($Q$3:$Q$18, MATCH(1, ($J31=$L$3:$L$18) * (L$25=$J$3:$J$18), 0)), "")</f>
        <v>3.778234178929313</v>
      </c>
      <c r="M31" s="4" t="str" cm="1">
        <f t="array" ref="M31">IFERROR(INDEX($Q$3:$Q$18, MATCH(1, ($J31=$L$3:$L$18) * (M$25=$J$3:$J$18), 0)), "")</f>
        <v/>
      </c>
      <c r="N31" s="4"/>
      <c r="O31" s="3" t="s">
        <v>38</v>
      </c>
      <c r="P31" s="4" cm="1">
        <f t="array" ref="P31">INDEX($G$1:$G$100, MATCH(1, ($A$1:$A$100=P$25)*($B$1:$B$100=$K8), 0))</f>
        <v>0.105878</v>
      </c>
      <c r="Q31" s="4" cm="1">
        <f t="array" ref="Q31">INDEX($G$1:$G$100, MATCH(1, ($A$1:$A$100=Q$25)*($B$1:$B$100=$K8), 0))</f>
        <v>7.1665999999999994E-2</v>
      </c>
      <c r="R31" s="4" cm="1">
        <f t="array" ref="R31">INDEX($G$1:$G$100, MATCH(1, ($A$1:$A$100=R$25)*($B$1:$B$100=$K8), 0))</f>
        <v>15.468301</v>
      </c>
      <c r="S31" s="4" cm="1">
        <f t="array" ref="S31">INDEX($G$1:$G$100, MATCH(1, ($A$1:$A$100=S$25)*($B$1:$B$100=$K8), 0))</f>
        <v>7.4812000000000003E-2</v>
      </c>
      <c r="T31" s="4" t="b">
        <f t="shared" si="6"/>
        <v>1</v>
      </c>
      <c r="U31" s="4" t="b">
        <f t="shared" si="6"/>
        <v>1</v>
      </c>
      <c r="V31" s="4" t="b">
        <f t="shared" si="6"/>
        <v>0</v>
      </c>
      <c r="X31" s="4" t="b">
        <f t="shared" si="7"/>
        <v>1</v>
      </c>
      <c r="Y31" s="4" t="b">
        <f>IF(ISNA(O8), TRUE, ABS($P8-O8) &gt; MAX($S31, R31))</f>
        <v>1</v>
      </c>
      <c r="Z31" s="4" t="b">
        <f t="shared" si="8"/>
        <v>0</v>
      </c>
      <c r="BE31" t="s">
        <v>41</v>
      </c>
      <c r="BF31" t="s">
        <v>3</v>
      </c>
      <c r="BG31">
        <v>5</v>
      </c>
    </row>
    <row r="32" spans="1:59" x14ac:dyDescent="0.2">
      <c r="A32" t="s">
        <v>15</v>
      </c>
      <c r="B32" t="s">
        <v>48</v>
      </c>
      <c r="C32" t="s">
        <v>21</v>
      </c>
      <c r="D32">
        <v>1</v>
      </c>
      <c r="E32">
        <v>5</v>
      </c>
      <c r="F32">
        <v>4.7958179999999997</v>
      </c>
      <c r="G32">
        <v>0.51678800000000003</v>
      </c>
      <c r="H32" t="s">
        <v>22</v>
      </c>
      <c r="J32" s="7" t="s">
        <v>35</v>
      </c>
      <c r="K32" s="4" t="str" cm="1">
        <f t="array" ref="K32">IFERROR(INDEX($Q$3:$Q$18, MATCH(1, ($J32=$L$3:$L$18) * (K$25=$J$3:$J$18), 0)), "")</f>
        <v/>
      </c>
      <c r="L32" s="4" cm="1">
        <f t="array" ref="L32">IFERROR(INDEX($Q$3:$Q$18, MATCH(1, ($J32=$L$3:$L$18) * (L$25=$J$3:$J$18), 0)), "")</f>
        <v>13.335251571333817</v>
      </c>
      <c r="M32" s="4" t="str" cm="1">
        <f t="array" ref="M32">IFERROR(INDEX($Q$3:$Q$18, MATCH(1, ($J32=$L$3:$L$18) * (M$25=$J$3:$J$18), 0)), "")</f>
        <v/>
      </c>
      <c r="N32" s="4"/>
      <c r="O32" s="3" t="s">
        <v>40</v>
      </c>
      <c r="P32" s="4" cm="1">
        <f t="array" ref="P32">INDEX($G$1:$G$100, MATCH(1, ($A$1:$A$100=P$25)*($B$1:$B$100=$K9), 0))</f>
        <v>1.278203</v>
      </c>
      <c r="Q32" s="4" cm="1">
        <f t="array" ref="Q32">INDEX($G$1:$G$100, MATCH(1, ($A$1:$A$100=Q$25)*($B$1:$B$100=$K9), 0))</f>
        <v>23.956686000000001</v>
      </c>
      <c r="R32" s="4" t="e" cm="1">
        <f t="array" ref="R32">INDEX($G$1:$G$100, MATCH(1, ($A$1:$A$100=R$25)*($B$1:$B$100=$K9), 0))</f>
        <v>#N/A</v>
      </c>
      <c r="S32" s="4" cm="1">
        <f t="array" ref="S32">INDEX($G$1:$G$100, MATCH(1, ($A$1:$A$100=S$25)*($B$1:$B$100=$K9), 0))</f>
        <v>2.1908020000000001</v>
      </c>
      <c r="T32" s="4" t="b">
        <f t="shared" si="6"/>
        <v>1</v>
      </c>
      <c r="U32" s="4" t="b">
        <f t="shared" si="6"/>
        <v>1</v>
      </c>
      <c r="V32" s="4" t="b">
        <f t="shared" si="6"/>
        <v>0</v>
      </c>
      <c r="X32" s="4" t="b">
        <f t="shared" si="7"/>
        <v>1</v>
      </c>
      <c r="Y32" s="4" t="b">
        <f t="shared" si="7"/>
        <v>1</v>
      </c>
      <c r="Z32" s="4" t="b">
        <f t="shared" si="8"/>
        <v>0</v>
      </c>
      <c r="BE32" t="s">
        <v>26</v>
      </c>
      <c r="BF32" t="s">
        <v>3</v>
      </c>
      <c r="BG32">
        <v>42</v>
      </c>
    </row>
    <row r="33" spans="1:59" x14ac:dyDescent="0.2">
      <c r="A33" t="s">
        <v>15</v>
      </c>
      <c r="B33" t="s">
        <v>26</v>
      </c>
      <c r="C33" t="s">
        <v>21</v>
      </c>
      <c r="D33">
        <v>1</v>
      </c>
      <c r="E33">
        <v>5</v>
      </c>
      <c r="F33">
        <v>1.7730919999999999</v>
      </c>
      <c r="G33">
        <v>0.24601400000000001</v>
      </c>
      <c r="H33" t="s">
        <v>22</v>
      </c>
      <c r="J33" s="6" t="s">
        <v>38</v>
      </c>
      <c r="K33" s="4" t="str" cm="1">
        <f t="array" ref="K33">IFERROR(INDEX($Q$3:$Q$18, MATCH(1, ($J33=$L$3:$L$18) * (K$25=$J$3:$J$18), 0)), "")</f>
        <v/>
      </c>
      <c r="L33" s="4" cm="1">
        <f t="array" ref="L33">IFERROR(INDEX($Q$3:$Q$18, MATCH(1, ($J33=$L$3:$L$18) * (L$25=$J$3:$J$18), 0)), "")</f>
        <v>1.2220194939839024</v>
      </c>
      <c r="M33" s="4" t="str" cm="1">
        <f t="array" ref="M33">IFERROR(INDEX($Q$3:$Q$18, MATCH(1, ($J33=$L$3:$L$18) * (M$25=$J$3:$J$18), 0)), "")</f>
        <v/>
      </c>
      <c r="N33" s="4"/>
      <c r="O33" s="3" t="s">
        <v>42</v>
      </c>
      <c r="P33" s="4" cm="1">
        <f t="array" ref="P33">INDEX($G$1:$G$100, MATCH(1, ($A$1:$A$100=P$25)*($B$1:$B$100=$K10), 0))</f>
        <v>1.044E-2</v>
      </c>
      <c r="Q33" s="4" cm="1">
        <f t="array" ref="Q33">INDEX($G$1:$G$100, MATCH(1, ($A$1:$A$100=Q$25)*($B$1:$B$100=$K10), 0))</f>
        <v>1.3450999999999999E-2</v>
      </c>
      <c r="R33" s="4" cm="1">
        <f t="array" ref="R33">INDEX($G$1:$G$100, MATCH(1, ($A$1:$A$100=R$25)*($B$1:$B$100=$K10), 0))</f>
        <v>0.125219</v>
      </c>
      <c r="S33" s="4" cm="1">
        <f t="array" ref="S33">INDEX($G$1:$G$100, MATCH(1, ($A$1:$A$100=S$25)*($B$1:$B$100=$K10), 0))</f>
        <v>8.2819999999999994E-3</v>
      </c>
      <c r="T33" s="4" t="b">
        <f t="shared" si="6"/>
        <v>1</v>
      </c>
      <c r="U33" s="4" t="b">
        <f t="shared" si="6"/>
        <v>1</v>
      </c>
      <c r="V33" s="4" t="b">
        <f t="shared" si="6"/>
        <v>0</v>
      </c>
      <c r="X33" s="4" t="b">
        <f t="shared" si="7"/>
        <v>1</v>
      </c>
      <c r="Y33" s="4" t="b">
        <f t="shared" si="7"/>
        <v>1</v>
      </c>
      <c r="Z33" s="4" t="b">
        <f t="shared" si="8"/>
        <v>0</v>
      </c>
      <c r="BE33" t="s">
        <v>26</v>
      </c>
      <c r="BF33" t="s">
        <v>3</v>
      </c>
      <c r="BG33">
        <v>42</v>
      </c>
    </row>
    <row r="34" spans="1:59" x14ac:dyDescent="0.2">
      <c r="A34" t="s">
        <v>15</v>
      </c>
      <c r="B34" t="s">
        <v>30</v>
      </c>
      <c r="C34" t="s">
        <v>21</v>
      </c>
      <c r="D34">
        <v>1</v>
      </c>
      <c r="E34">
        <v>5</v>
      </c>
      <c r="F34">
        <v>0.25033899999999998</v>
      </c>
      <c r="G34">
        <v>3.5459999999999998E-2</v>
      </c>
      <c r="H34" t="s">
        <v>22</v>
      </c>
      <c r="J34" s="6" t="s">
        <v>56</v>
      </c>
      <c r="K34" s="4" t="str" cm="1">
        <f t="array" ref="K34">IFERROR(INDEX($Q$3:$Q$18, MATCH(1, ($J34=$L$3:$L$18) * (K$25=$J$3:$J$18), 0)), "")</f>
        <v/>
      </c>
      <c r="L34" s="4" cm="1">
        <f t="array" ref="L34">IFERROR(INDEX($Q$3:$Q$18, MATCH(1, ($J34=$L$3:$L$18) * (L$25=$J$3:$J$18), 0)), "")</f>
        <v>7.5370208907861436</v>
      </c>
      <c r="M34" s="4" t="str" cm="1">
        <f t="array" ref="M34">IFERROR(INDEX($Q$3:$Q$18, MATCH(1, ($J34=$L$3:$L$18) * (M$25=$J$3:$J$18), 0)), "")</f>
        <v/>
      </c>
      <c r="N34" s="4"/>
      <c r="O34" s="3" t="s">
        <v>44</v>
      </c>
      <c r="P34" s="4" cm="1">
        <f t="array" ref="P34">INDEX($G$1:$G$100, MATCH(1, ($A$1:$A$100=P$25)*($B$1:$B$100=$K11), 0))</f>
        <v>21.968309000000001</v>
      </c>
      <c r="Q34" s="4" t="e" cm="1">
        <f t="array" ref="Q34">INDEX($G$1:$G$100, MATCH(1, ($A$1:$A$100=Q$25)*($B$1:$B$100=$K11), 0))</f>
        <v>#N/A</v>
      </c>
      <c r="R34" s="4" t="e" cm="1">
        <f t="array" ref="R34">INDEX($G$1:$G$100, MATCH(1, ($A$1:$A$100=R$25)*($B$1:$B$100=$K11), 0))</f>
        <v>#N/A</v>
      </c>
      <c r="S34" s="4" cm="1">
        <f t="array" ref="S34">INDEX($G$1:$G$100, MATCH(1, ($A$1:$A$100=S$25)*($B$1:$B$100=$K11), 0))</f>
        <v>24.824615999999999</v>
      </c>
      <c r="T34" s="4" t="b">
        <f t="shared" si="6"/>
        <v>1</v>
      </c>
      <c r="U34" s="4" t="b">
        <f t="shared" si="6"/>
        <v>1</v>
      </c>
      <c r="V34" s="4" t="b">
        <f t="shared" si="6"/>
        <v>0</v>
      </c>
      <c r="X34" s="4" t="b">
        <f t="shared" si="7"/>
        <v>1</v>
      </c>
      <c r="Y34" s="4" t="b">
        <f t="shared" si="7"/>
        <v>1</v>
      </c>
      <c r="Z34" s="4" t="b">
        <f t="shared" si="8"/>
        <v>0</v>
      </c>
      <c r="BE34" t="s">
        <v>26</v>
      </c>
      <c r="BF34" t="s">
        <v>3</v>
      </c>
      <c r="BG34">
        <v>42</v>
      </c>
    </row>
    <row r="35" spans="1:59" x14ac:dyDescent="0.2">
      <c r="A35" t="s">
        <v>15</v>
      </c>
      <c r="B35" t="s">
        <v>53</v>
      </c>
      <c r="C35" t="s">
        <v>21</v>
      </c>
      <c r="D35">
        <v>1</v>
      </c>
      <c r="E35">
        <v>5</v>
      </c>
      <c r="F35">
        <v>9.9756239999999998</v>
      </c>
      <c r="G35">
        <v>1.7068840000000001</v>
      </c>
      <c r="H35" t="s">
        <v>22</v>
      </c>
      <c r="J35" s="6" t="s">
        <v>40</v>
      </c>
      <c r="K35" s="4" t="str" cm="1">
        <f t="array" ref="K35">IFERROR(INDEX($Q$3:$Q$18, MATCH(1, ($J35=$L$3:$L$18) * (K$25=$J$3:$J$18), 0)), "")</f>
        <v/>
      </c>
      <c r="L35" s="4" cm="1">
        <f t="array" ref="L35">IFERROR(INDEX($Q$3:$Q$18, MATCH(1, ($J35=$L$3:$L$18) * (L$25=$J$3:$J$18), 0)), "")</f>
        <v>10.056271438321833</v>
      </c>
      <c r="M35" s="4" t="str" cm="1">
        <f t="array" ref="M35">IFERROR(INDEX($Q$3:$Q$18, MATCH(1, ($J35=$L$3:$L$18) * (M$25=$J$3:$J$18), 0)), "")</f>
        <v/>
      </c>
      <c r="N35" s="4"/>
      <c r="O35" s="3" t="s">
        <v>47</v>
      </c>
      <c r="P35" s="4" cm="1">
        <f t="array" ref="P35">INDEX($G$1:$G$100, MATCH(1, ($A$1:$A$100=P$25)*($B$1:$B$100=$K12), 0))</f>
        <v>0.11552800000000001</v>
      </c>
      <c r="Q35" s="4" t="e" cm="1">
        <f t="array" ref="Q35">INDEX($G$1:$G$100, MATCH(1, ($A$1:$A$100=Q$25)*($B$1:$B$100=$K12), 0))</f>
        <v>#N/A</v>
      </c>
      <c r="R35" s="4" t="e" cm="1">
        <f t="array" ref="R35">INDEX($G$1:$G$100, MATCH(1, ($A$1:$A$100=R$25)*($B$1:$B$100=$K12), 0))</f>
        <v>#N/A</v>
      </c>
      <c r="S35" s="4" cm="1">
        <f t="array" ref="S35">INDEX($G$1:$G$100, MATCH(1, ($A$1:$A$100=S$25)*($B$1:$B$100=$K12), 0))</f>
        <v>4.9963E-2</v>
      </c>
      <c r="T35" s="4" t="b">
        <f t="shared" si="6"/>
        <v>1</v>
      </c>
      <c r="U35" s="4" t="b">
        <f t="shared" si="6"/>
        <v>1</v>
      </c>
      <c r="V35" s="4" t="b">
        <f t="shared" si="6"/>
        <v>0</v>
      </c>
      <c r="X35" s="4" t="b">
        <f t="shared" si="7"/>
        <v>1</v>
      </c>
      <c r="Y35" s="4" t="b">
        <f t="shared" si="7"/>
        <v>1</v>
      </c>
      <c r="Z35" s="4" t="b">
        <f t="shared" si="8"/>
        <v>0</v>
      </c>
      <c r="BE35" t="s">
        <v>26</v>
      </c>
      <c r="BF35" t="s">
        <v>3</v>
      </c>
      <c r="BG35">
        <v>42</v>
      </c>
    </row>
    <row r="36" spans="1:59" x14ac:dyDescent="0.2">
      <c r="A36" t="s">
        <v>14</v>
      </c>
      <c r="B36" t="s">
        <v>24</v>
      </c>
      <c r="C36" t="s">
        <v>21</v>
      </c>
      <c r="D36">
        <v>1</v>
      </c>
      <c r="E36">
        <v>5</v>
      </c>
      <c r="F36">
        <v>39.469213000000003</v>
      </c>
      <c r="G36">
        <v>0.86114100000000005</v>
      </c>
      <c r="H36" t="s">
        <v>22</v>
      </c>
      <c r="J36" s="6" t="s">
        <v>44</v>
      </c>
      <c r="K36" s="4" t="str" cm="1">
        <f t="array" ref="K36">IFERROR(INDEX($Q$3:$Q$18, MATCH(1, ($J36=$L$3:$L$18) * (K$25=$J$3:$J$18), 0)), "")</f>
        <v/>
      </c>
      <c r="L36" s="4" t="str" cm="1">
        <f t="array" ref="L36">IFERROR(INDEX($Q$3:$Q$18, MATCH(1, ($J36=$L$3:$L$18) * (L$25=$J$3:$J$18), 0)), "")</f>
        <v>DNF</v>
      </c>
      <c r="M36" s="4" t="str" cm="1">
        <f t="array" ref="M36">IFERROR(INDEX($Q$3:$Q$18, MATCH(1, ($J36=$L$3:$L$18) * (M$25=$J$3:$J$18), 0)), "")</f>
        <v/>
      </c>
      <c r="N36" s="4"/>
      <c r="O36" s="3" t="s">
        <v>49</v>
      </c>
      <c r="P36" s="4" cm="1">
        <f t="array" ref="P36">INDEX($G$1:$G$100, MATCH(1, ($A$1:$A$100=P$25)*($B$1:$B$100=$K13), 0))</f>
        <v>5.6770000000000001E-2</v>
      </c>
      <c r="Q36" s="4" cm="1">
        <f t="array" ref="Q36">INDEX($G$1:$G$100, MATCH(1, ($A$1:$A$100=Q$25)*($B$1:$B$100=$K13), 0))</f>
        <v>0.18567900000000001</v>
      </c>
      <c r="R36" s="4" t="e" cm="1">
        <f t="array" ref="R36">INDEX($G$1:$G$100, MATCH(1, ($A$1:$A$100=R$25)*($B$1:$B$100=$K13), 0))</f>
        <v>#N/A</v>
      </c>
      <c r="S36" s="4" cm="1">
        <f t="array" ref="S36">INDEX($G$1:$G$100, MATCH(1, ($A$1:$A$100=S$25)*($B$1:$B$100=$K13), 0))</f>
        <v>3.9407999999999999E-2</v>
      </c>
      <c r="T36" s="4" t="b">
        <f t="shared" si="6"/>
        <v>1</v>
      </c>
      <c r="U36" s="4" t="b">
        <f t="shared" si="6"/>
        <v>1</v>
      </c>
      <c r="V36" s="4" t="b">
        <f t="shared" si="6"/>
        <v>0</v>
      </c>
      <c r="X36" s="4" t="b">
        <f t="shared" si="7"/>
        <v>1</v>
      </c>
      <c r="Y36" s="4" t="b">
        <f t="shared" si="7"/>
        <v>1</v>
      </c>
      <c r="Z36" s="4" t="b">
        <f t="shared" si="8"/>
        <v>0</v>
      </c>
      <c r="BE36" t="s">
        <v>26</v>
      </c>
      <c r="BF36" t="s">
        <v>3</v>
      </c>
      <c r="BG36">
        <v>42</v>
      </c>
    </row>
    <row r="37" spans="1:59" x14ac:dyDescent="0.2">
      <c r="A37" t="s">
        <v>14</v>
      </c>
      <c r="B37" t="s">
        <v>28</v>
      </c>
      <c r="C37" t="s">
        <v>21</v>
      </c>
      <c r="D37">
        <v>1</v>
      </c>
      <c r="E37">
        <v>5</v>
      </c>
      <c r="F37">
        <v>3.7756999999999999E-2</v>
      </c>
      <c r="G37">
        <v>6.1029999999999999E-3</v>
      </c>
      <c r="H37" t="s">
        <v>22</v>
      </c>
      <c r="J37" s="6" t="s">
        <v>49</v>
      </c>
      <c r="K37" s="4" t="str" cm="1">
        <f t="array" ref="K37">IFERROR(INDEX($Q$3:$Q$18, MATCH(1, ($J37=$L$3:$L$18) * (K$25=$J$3:$J$18), 0)), "")</f>
        <v/>
      </c>
      <c r="L37" s="4" cm="1">
        <f t="array" ref="L37">IFERROR(INDEX($Q$3:$Q$18, MATCH(1, ($J37=$L$3:$L$18) * (L$25=$J$3:$J$18), 0)), "")</f>
        <v>1.7205271789035921</v>
      </c>
      <c r="M37" s="4" t="str" cm="1">
        <f t="array" ref="M37">IFERROR(INDEX($Q$3:$Q$18, MATCH(1, ($J37=$L$3:$L$18) * (M$25=$J$3:$J$18), 0)), "")</f>
        <v/>
      </c>
      <c r="N37" s="4"/>
      <c r="O37" s="3" t="s">
        <v>50</v>
      </c>
      <c r="P37" s="4" cm="1">
        <f t="array" ref="P37">INDEX($G$1:$G$100, MATCH(1, ($A$1:$A$100=P$25)*($B$1:$B$100=$K14), 0))</f>
        <v>7.3324E-2</v>
      </c>
      <c r="Q37" s="4" cm="1">
        <f t="array" ref="Q37">INDEX($G$1:$G$100, MATCH(1, ($A$1:$A$100=Q$25)*($B$1:$B$100=$K14), 0))</f>
        <v>0.51678800000000003</v>
      </c>
      <c r="R37" s="4" t="e" cm="1">
        <f t="array" ref="R37">INDEX($G$1:$G$100, MATCH(1, ($A$1:$A$100=R$25)*($B$1:$B$100=$K14), 0))</f>
        <v>#N/A</v>
      </c>
      <c r="S37" s="4" cm="1">
        <f t="array" ref="S37">INDEX($G$1:$G$100, MATCH(1, ($A$1:$A$100=S$25)*($B$1:$B$100=$K14), 0))</f>
        <v>0.144875</v>
      </c>
      <c r="T37" s="4" t="b">
        <f t="shared" si="6"/>
        <v>1</v>
      </c>
      <c r="U37" s="4" t="b">
        <f t="shared" si="6"/>
        <v>1</v>
      </c>
      <c r="V37" s="4" t="b">
        <f t="shared" si="6"/>
        <v>0</v>
      </c>
      <c r="X37" s="4" t="b">
        <f t="shared" si="7"/>
        <v>1</v>
      </c>
      <c r="Y37" s="4" t="b">
        <f t="shared" si="7"/>
        <v>1</v>
      </c>
      <c r="Z37" s="4" t="b">
        <f t="shared" si="8"/>
        <v>0</v>
      </c>
      <c r="BE37" t="s">
        <v>26</v>
      </c>
      <c r="BF37" t="s">
        <v>3</v>
      </c>
      <c r="BG37">
        <v>42</v>
      </c>
    </row>
    <row r="38" spans="1:59" x14ac:dyDescent="0.2">
      <c r="A38" t="s">
        <v>14</v>
      </c>
      <c r="B38" t="s">
        <v>32</v>
      </c>
      <c r="C38" t="s">
        <v>21</v>
      </c>
      <c r="D38">
        <v>1</v>
      </c>
      <c r="E38">
        <v>5</v>
      </c>
      <c r="F38">
        <v>0.177232</v>
      </c>
      <c r="G38">
        <v>3.7964999999999999E-2</v>
      </c>
      <c r="H38" t="s">
        <v>22</v>
      </c>
      <c r="J38" s="6" t="s">
        <v>50</v>
      </c>
      <c r="K38" s="4" t="str" cm="1">
        <f t="array" ref="K38">IFERROR(INDEX($Q$3:$Q$18, MATCH(1, ($J38=$L$3:$L$18) * (K$25=$J$3:$J$18), 0)), "")</f>
        <v/>
      </c>
      <c r="L38" s="4" cm="1">
        <f t="array" ref="L38">IFERROR(INDEX($Q$3:$Q$18, MATCH(1, ($J38=$L$3:$L$18) * (L$25=$J$3:$J$18), 0)), "")</f>
        <v>5.5912583723411071</v>
      </c>
      <c r="M38" s="4" t="str" cm="1">
        <f t="array" ref="M38">IFERROR(INDEX($Q$3:$Q$18, MATCH(1, ($J38=$L$3:$L$18) * (M$25=$J$3:$J$18), 0)), "")</f>
        <v/>
      </c>
      <c r="N38" s="4"/>
      <c r="O38" s="3" t="s">
        <v>52</v>
      </c>
      <c r="P38" s="4" cm="1">
        <f t="array" ref="P38">INDEX($G$1:$G$100, MATCH(1, ($A$1:$A$100=P$25)*($B$1:$B$100=$K15), 0))</f>
        <v>0.22528699999999999</v>
      </c>
      <c r="Q38" s="4" t="e" cm="1">
        <f t="array" ref="Q38">INDEX($G$1:$G$100, MATCH(1, ($A$1:$A$100=Q$25)*($B$1:$B$100=$K15), 0))</f>
        <v>#N/A</v>
      </c>
      <c r="R38" s="4" t="e" cm="1">
        <f t="array" ref="R38">INDEX($G$1:$G$100, MATCH(1, ($A$1:$A$100=R$25)*($B$1:$B$100=$K15), 0))</f>
        <v>#N/A</v>
      </c>
      <c r="S38" s="4" cm="1">
        <f t="array" ref="S38">INDEX($G$1:$G$100, MATCH(1, ($A$1:$A$100=S$25)*($B$1:$B$100=$K15), 0))</f>
        <v>0.47071099999999999</v>
      </c>
      <c r="T38" s="4" t="b">
        <f t="shared" si="6"/>
        <v>1</v>
      </c>
      <c r="U38" s="4" t="b">
        <f t="shared" si="6"/>
        <v>1</v>
      </c>
      <c r="V38" s="4" t="b">
        <f t="shared" si="6"/>
        <v>0</v>
      </c>
      <c r="X38" s="4" t="b">
        <f t="shared" si="7"/>
        <v>1</v>
      </c>
      <c r="Y38" s="4" t="b">
        <f t="shared" si="7"/>
        <v>1</v>
      </c>
      <c r="Z38" s="4" t="b">
        <f t="shared" si="8"/>
        <v>0</v>
      </c>
      <c r="BE38" t="s">
        <v>26</v>
      </c>
      <c r="BF38" t="s">
        <v>3</v>
      </c>
      <c r="BG38">
        <v>42</v>
      </c>
    </row>
    <row r="39" spans="1:59" x14ac:dyDescent="0.2">
      <c r="A39" t="s">
        <v>14</v>
      </c>
      <c r="B39" t="s">
        <v>34</v>
      </c>
      <c r="C39" t="s">
        <v>21</v>
      </c>
      <c r="D39">
        <v>1</v>
      </c>
      <c r="E39">
        <v>5</v>
      </c>
      <c r="F39">
        <v>1.1081350000000001</v>
      </c>
      <c r="G39">
        <v>7.8641000000000003E-2</v>
      </c>
      <c r="H39" t="s">
        <v>22</v>
      </c>
      <c r="J39" s="7" t="s">
        <v>25</v>
      </c>
      <c r="K39" s="4" t="str" cm="1">
        <f t="array" ref="K39">IFERROR(INDEX($Q$3:$Q$18, MATCH(1, ($J39=$L$3:$L$18) * (K$25=$J$3:$J$18), 0)), "")</f>
        <v>DNF</v>
      </c>
      <c r="L39" s="4" t="str" cm="1">
        <f t="array" ref="L39">IFERROR(INDEX($Q$3:$Q$18, MATCH(1, ($J39=$L$3:$L$18) * (L$25=$J$3:$J$18), 0)), "")</f>
        <v/>
      </c>
      <c r="M39" s="4" t="str" cm="1">
        <f t="array" ref="M39">IFERROR(INDEX($Q$3:$Q$18, MATCH(1, ($J39=$L$3:$L$18) * (M$25=$J$3:$J$18), 0)), "")</f>
        <v/>
      </c>
      <c r="N39" s="4"/>
      <c r="O39" s="3" t="s">
        <v>54</v>
      </c>
      <c r="P39" s="4" cm="1">
        <f t="array" ref="P39">INDEX($G$1:$G$100, MATCH(1, ($A$1:$A$100=P$25)*($B$1:$B$100=$K16), 0))</f>
        <v>2.7822E-2</v>
      </c>
      <c r="Q39" s="4" cm="1">
        <f t="array" ref="Q39">INDEX($G$1:$G$100, MATCH(1, ($A$1:$A$100=Q$25)*($B$1:$B$100=$K16), 0))</f>
        <v>0.24601400000000001</v>
      </c>
      <c r="R39" s="4" cm="1">
        <f t="array" ref="R39">INDEX($G$1:$G$100, MATCH(1, ($A$1:$A$100=R$25)*($B$1:$B$100=$K16), 0))</f>
        <v>3.9332120000000002</v>
      </c>
      <c r="S39" s="4" cm="1">
        <f t="array" ref="S39">INDEX($G$1:$G$100, MATCH(1, ($A$1:$A$100=S$25)*($B$1:$B$100=$K16), 0))</f>
        <v>2.3425999999999999E-2</v>
      </c>
      <c r="T39" s="4" t="b">
        <f t="shared" si="6"/>
        <v>1</v>
      </c>
      <c r="U39" s="4" t="b">
        <f t="shared" si="6"/>
        <v>1</v>
      </c>
      <c r="V39" s="4" t="b">
        <f t="shared" si="6"/>
        <v>0</v>
      </c>
      <c r="X39" s="4" t="b">
        <f t="shared" si="7"/>
        <v>1</v>
      </c>
      <c r="Y39" s="4" t="b">
        <f t="shared" si="7"/>
        <v>1</v>
      </c>
      <c r="Z39" s="4" t="b">
        <f t="shared" si="8"/>
        <v>0</v>
      </c>
      <c r="BE39" t="s">
        <v>26</v>
      </c>
      <c r="BF39" t="s">
        <v>3</v>
      </c>
      <c r="BG39">
        <v>42</v>
      </c>
    </row>
    <row r="40" spans="1:59" x14ac:dyDescent="0.2">
      <c r="A40" t="s">
        <v>14</v>
      </c>
      <c r="B40" t="s">
        <v>36</v>
      </c>
      <c r="C40" t="s">
        <v>21</v>
      </c>
      <c r="D40">
        <v>1</v>
      </c>
      <c r="E40">
        <v>5</v>
      </c>
      <c r="F40">
        <v>2.3800000000000002E-2</v>
      </c>
      <c r="G40">
        <v>6.3540000000000003E-3</v>
      </c>
      <c r="H40" t="s">
        <v>22</v>
      </c>
      <c r="J40" s="7" t="s">
        <v>54</v>
      </c>
      <c r="K40" s="4" cm="1">
        <f t="array" ref="K40">IFERROR(INDEX($Q$3:$Q$18, MATCH(1, ($J40=$L$3:$L$18) * (K$25=$J$3:$J$18), 0)), "")</f>
        <v>10.887750841254636</v>
      </c>
      <c r="L40" s="4" t="str" cm="1">
        <f t="array" ref="L40">IFERROR(INDEX($Q$3:$Q$18, MATCH(1, ($J40=$L$3:$L$18) * (L$25=$J$3:$J$18), 0)), "")</f>
        <v/>
      </c>
      <c r="M40" s="4" t="str" cm="1">
        <f t="array" ref="M40">IFERROR(INDEX($Q$3:$Q$18, MATCH(1, ($J40=$L$3:$L$18) * (M$25=$J$3:$J$18), 0)), "")</f>
        <v/>
      </c>
      <c r="N40" s="4"/>
      <c r="O40" s="3" t="s">
        <v>55</v>
      </c>
      <c r="P40" s="4" cm="1">
        <f t="array" ref="P40">INDEX($G$1:$G$100, MATCH(1, ($A$1:$A$100=P$25)*($B$1:$B$100=$K17), 0))</f>
        <v>7.9719999999999999E-3</v>
      </c>
      <c r="Q40" s="4" cm="1">
        <f t="array" ref="Q40">INDEX($G$1:$G$100, MATCH(1, ($A$1:$A$100=Q$25)*($B$1:$B$100=$K17), 0))</f>
        <v>3.5459999999999998E-2</v>
      </c>
      <c r="R40" s="4" cm="1">
        <f t="array" ref="R40">INDEX($G$1:$G$100, MATCH(1, ($A$1:$A$100=R$25)*($B$1:$B$100=$K17), 0))</f>
        <v>0.129079</v>
      </c>
      <c r="S40" s="4" cm="1">
        <f t="array" ref="S40">INDEX($G$1:$G$100, MATCH(1, ($A$1:$A$100=S$25)*($B$1:$B$100=$K17), 0))</f>
        <v>8.5240000000000003E-3</v>
      </c>
      <c r="T40" s="4" t="b">
        <f t="shared" si="6"/>
        <v>1</v>
      </c>
      <c r="U40" s="4" t="b">
        <f t="shared" si="6"/>
        <v>1</v>
      </c>
      <c r="V40" s="4" t="b">
        <f t="shared" si="6"/>
        <v>0</v>
      </c>
      <c r="X40" s="4" t="b">
        <f t="shared" si="7"/>
        <v>1</v>
      </c>
      <c r="Y40" s="4" t="b">
        <f t="shared" si="7"/>
        <v>1</v>
      </c>
      <c r="Z40" s="4" t="b">
        <f t="shared" si="8"/>
        <v>0</v>
      </c>
      <c r="BE40" t="s">
        <v>26</v>
      </c>
      <c r="BF40" t="s">
        <v>3</v>
      </c>
      <c r="BG40">
        <v>42</v>
      </c>
    </row>
    <row r="41" spans="1:59" x14ac:dyDescent="0.2">
      <c r="A41" t="s">
        <v>14</v>
      </c>
      <c r="B41" t="s">
        <v>2</v>
      </c>
      <c r="C41" t="s">
        <v>21</v>
      </c>
      <c r="D41">
        <v>1</v>
      </c>
      <c r="E41">
        <v>5</v>
      </c>
      <c r="F41">
        <v>0.83143599999999995</v>
      </c>
      <c r="G41">
        <v>0.105878</v>
      </c>
      <c r="H41" t="s">
        <v>22</v>
      </c>
      <c r="J41" s="7" t="s">
        <v>55</v>
      </c>
      <c r="K41" s="4" cm="1">
        <f t="array" ref="K41">IFERROR(INDEX($Q$3:$Q$18, MATCH(1, ($J41=$L$3:$L$18) * (K$25=$J$3:$J$18), 0)), "")</f>
        <v>3.8979649035392301</v>
      </c>
      <c r="L41" s="4" t="str" cm="1">
        <f t="array" ref="L41">IFERROR(INDEX($Q$3:$Q$18, MATCH(1, ($J41=$L$3:$L$18) * (L$25=$J$3:$J$18), 0)), "")</f>
        <v/>
      </c>
      <c r="M41" s="4" t="str" cm="1">
        <f t="array" ref="M41">IFERROR(INDEX($Q$3:$Q$18, MATCH(1, ($J41=$L$3:$L$18) * (M$25=$J$3:$J$18), 0)), "")</f>
        <v/>
      </c>
      <c r="N41" s="4"/>
      <c r="O41" s="3" t="s">
        <v>56</v>
      </c>
      <c r="P41" s="4" cm="1">
        <f t="array" ref="P41">INDEX($G$1:$G$100, MATCH(1, ($A$1:$A$100=P$25)*($B$1:$B$100=$K18), 0))</f>
        <v>0.12146800000000001</v>
      </c>
      <c r="Q41" s="4" cm="1">
        <f t="array" ref="Q41">INDEX($G$1:$G$100, MATCH(1, ($A$1:$A$100=Q$25)*($B$1:$B$100=$K18), 0))</f>
        <v>1.7068840000000001</v>
      </c>
      <c r="R41" s="4" t="e" cm="1">
        <f t="array" ref="R41">INDEX($G$1:$G$100, MATCH(1, ($A$1:$A$100=R$25)*($B$1:$B$100=$K18), 0))</f>
        <v>#N/A</v>
      </c>
      <c r="S41" s="4" cm="1">
        <f t="array" ref="S41">INDEX($G$1:$G$100, MATCH(1, ($A$1:$A$100=S$25)*($B$1:$B$100=$K18), 0))</f>
        <v>0.179258</v>
      </c>
      <c r="T41" s="4" t="b">
        <f t="shared" si="6"/>
        <v>1</v>
      </c>
      <c r="U41" s="4" t="b">
        <f t="shared" si="6"/>
        <v>1</v>
      </c>
      <c r="V41" s="4" t="b">
        <f t="shared" si="6"/>
        <v>0</v>
      </c>
      <c r="X41" s="4" t="b">
        <f t="shared" si="7"/>
        <v>1</v>
      </c>
      <c r="Y41" s="4" t="b">
        <f t="shared" si="7"/>
        <v>1</v>
      </c>
      <c r="Z41" s="4" t="b">
        <f t="shared" si="8"/>
        <v>0</v>
      </c>
      <c r="BE41" t="s">
        <v>26</v>
      </c>
      <c r="BF41" t="s">
        <v>3</v>
      </c>
      <c r="BG41">
        <v>42</v>
      </c>
    </row>
    <row r="42" spans="1:59" x14ac:dyDescent="0.2">
      <c r="A42" t="s">
        <v>14</v>
      </c>
      <c r="B42" t="s">
        <v>39</v>
      </c>
      <c r="C42" t="s">
        <v>21</v>
      </c>
      <c r="D42">
        <v>1</v>
      </c>
      <c r="E42">
        <v>5</v>
      </c>
      <c r="F42">
        <v>31.674879000000001</v>
      </c>
      <c r="G42">
        <v>1.278203</v>
      </c>
      <c r="H42" t="s">
        <v>22</v>
      </c>
      <c r="T42" s="2"/>
      <c r="BE42" t="s">
        <v>30</v>
      </c>
      <c r="BF42" t="s">
        <v>3</v>
      </c>
      <c r="BG42">
        <v>17</v>
      </c>
    </row>
    <row r="43" spans="1:59" x14ac:dyDescent="0.2">
      <c r="A43" t="s">
        <v>14</v>
      </c>
      <c r="B43" t="s">
        <v>41</v>
      </c>
      <c r="C43" t="s">
        <v>21</v>
      </c>
      <c r="D43">
        <v>1</v>
      </c>
      <c r="E43">
        <v>5</v>
      </c>
      <c r="F43">
        <v>1.3561E-2</v>
      </c>
      <c r="G43">
        <v>1.044E-2</v>
      </c>
      <c r="H43" t="s">
        <v>22</v>
      </c>
      <c r="J43" s="7" t="s">
        <v>58</v>
      </c>
      <c r="T43" s="3"/>
      <c r="BE43" t="s">
        <v>30</v>
      </c>
      <c r="BF43" t="s">
        <v>3</v>
      </c>
      <c r="BG43">
        <v>17</v>
      </c>
    </row>
    <row r="44" spans="1:59" x14ac:dyDescent="0.2">
      <c r="A44" t="s">
        <v>14</v>
      </c>
      <c r="B44" t="s">
        <v>43</v>
      </c>
      <c r="C44" t="s">
        <v>21</v>
      </c>
      <c r="D44">
        <v>1</v>
      </c>
      <c r="E44">
        <v>5</v>
      </c>
      <c r="F44">
        <v>450.077224</v>
      </c>
      <c r="G44">
        <v>21.968309000000001</v>
      </c>
      <c r="H44" t="s">
        <v>22</v>
      </c>
      <c r="J44" t="s">
        <v>12</v>
      </c>
      <c r="K44" s="6" t="s">
        <v>23</v>
      </c>
      <c r="L44" s="6" t="s">
        <v>31</v>
      </c>
      <c r="M44" s="6" t="s">
        <v>27</v>
      </c>
      <c r="T44" s="3"/>
      <c r="BE44" t="s">
        <v>30</v>
      </c>
      <c r="BF44" t="s">
        <v>3</v>
      </c>
      <c r="BG44">
        <v>17</v>
      </c>
    </row>
    <row r="45" spans="1:59" x14ac:dyDescent="0.2">
      <c r="A45" t="s">
        <v>14</v>
      </c>
      <c r="B45" t="s">
        <v>46</v>
      </c>
      <c r="C45" t="s">
        <v>21</v>
      </c>
      <c r="D45">
        <v>1</v>
      </c>
      <c r="E45">
        <v>5</v>
      </c>
      <c r="F45">
        <v>0.51047799999999999</v>
      </c>
      <c r="G45">
        <v>0.11552800000000001</v>
      </c>
      <c r="H45" t="s">
        <v>22</v>
      </c>
      <c r="J45" s="7" t="s">
        <v>29</v>
      </c>
      <c r="K45" t="str" cm="1">
        <f t="array" ref="K45">IFERROR(INDEX($R$3:$R$18, MATCH(1, ($J45=$L$3:$L$18) * (K$44=$J$3:$J$18), 0)), "")</f>
        <v/>
      </c>
      <c r="L45" t="str" cm="1">
        <f t="array" ref="L45">IFERROR(INDEX($R$3:$R$18, MATCH(1, ($J45=$L$3:$L$18) * (L$44=$J$3:$J$18), 0)), "")</f>
        <v/>
      </c>
      <c r="M45" cm="1">
        <f t="array" ref="M45">IFERROR(INDEX($R$3:$R$18, MATCH(1, ($J45=$L$3:$L$18) * (M$44=$J$3:$J$18), 0)), "")</f>
        <v>1553.7489207299309</v>
      </c>
      <c r="T45" s="3"/>
      <c r="BE45" t="s">
        <v>30</v>
      </c>
      <c r="BF45" t="s">
        <v>3</v>
      </c>
      <c r="BG45">
        <v>17</v>
      </c>
    </row>
    <row r="46" spans="1:59" x14ac:dyDescent="0.2">
      <c r="A46" t="s">
        <v>14</v>
      </c>
      <c r="B46" t="s">
        <v>45</v>
      </c>
      <c r="C46" t="s">
        <v>21</v>
      </c>
      <c r="D46">
        <v>1</v>
      </c>
      <c r="E46">
        <v>5</v>
      </c>
      <c r="F46">
        <v>0.43233899999999997</v>
      </c>
      <c r="G46">
        <v>5.6770000000000001E-2</v>
      </c>
      <c r="H46" t="s">
        <v>22</v>
      </c>
      <c r="J46" s="6" t="s">
        <v>37</v>
      </c>
      <c r="K46" t="str" cm="1">
        <f t="array" ref="K46">IFERROR(INDEX($R$3:$R$18, MATCH(1, ($J46=$L$3:$L$18) * (K$44=$J$3:$J$18), 0)), "")</f>
        <v/>
      </c>
      <c r="L46" t="str" cm="1">
        <f t="array" ref="L46">IFERROR(INDEX($R$3:$R$18, MATCH(1, ($J46=$L$3:$L$18) * (L$44=$J$3:$J$18), 0)), "")</f>
        <v/>
      </c>
      <c r="M46" t="str" cm="1">
        <f t="array" ref="M46">IFERROR(INDEX($R$3:$R$18, MATCH(1, ($J46=$L$3:$L$18) * (M$44=$J$3:$J$18), 0)), "")</f>
        <v>DNF</v>
      </c>
      <c r="T46" s="3"/>
      <c r="BE46" t="s">
        <v>30</v>
      </c>
      <c r="BF46" t="s">
        <v>3</v>
      </c>
      <c r="BG46">
        <v>17</v>
      </c>
    </row>
    <row r="47" spans="1:59" x14ac:dyDescent="0.2">
      <c r="A47" t="s">
        <v>14</v>
      </c>
      <c r="B47" t="s">
        <v>48</v>
      </c>
      <c r="C47" t="s">
        <v>21</v>
      </c>
      <c r="D47">
        <v>1</v>
      </c>
      <c r="E47">
        <v>5</v>
      </c>
      <c r="F47">
        <v>0.85773500000000003</v>
      </c>
      <c r="G47">
        <v>7.3324E-2</v>
      </c>
      <c r="H47" t="s">
        <v>22</v>
      </c>
      <c r="J47" s="6" t="s">
        <v>42</v>
      </c>
      <c r="K47" t="str" cm="1">
        <f t="array" ref="K47">IFERROR(INDEX($R$3:$R$18, MATCH(1, ($J47=$L$3:$L$18) * (K$44=$J$3:$J$18), 0)), "")</f>
        <v/>
      </c>
      <c r="L47" t="str" cm="1">
        <f t="array" ref="L47">IFERROR(INDEX($R$3:$R$18, MATCH(1, ($J47=$L$3:$L$18) * (L$44=$J$3:$J$18), 0)), "")</f>
        <v/>
      </c>
      <c r="M47" cm="1">
        <f t="array" ref="M47">IFERROR(INDEX($R$3:$R$18, MATCH(1, ($J47=$L$3:$L$18) * (M$44=$J$3:$J$18), 0)), "")</f>
        <v>18981.24629452105</v>
      </c>
      <c r="T47" s="3"/>
      <c r="BE47" t="s">
        <v>30</v>
      </c>
      <c r="BF47" t="s">
        <v>3</v>
      </c>
      <c r="BG47">
        <v>17</v>
      </c>
    </row>
    <row r="48" spans="1:59" x14ac:dyDescent="0.2">
      <c r="A48" t="s">
        <v>14</v>
      </c>
      <c r="B48" t="s">
        <v>51</v>
      </c>
      <c r="C48" t="s">
        <v>21</v>
      </c>
      <c r="D48">
        <v>1</v>
      </c>
      <c r="E48">
        <v>5</v>
      </c>
      <c r="F48">
        <v>2.5157530000000001</v>
      </c>
      <c r="G48">
        <v>0.22528699999999999</v>
      </c>
      <c r="H48" t="s">
        <v>22</v>
      </c>
      <c r="J48" s="6" t="s">
        <v>47</v>
      </c>
      <c r="K48" t="str" cm="1">
        <f t="array" ref="K48">IFERROR(INDEX($R$3:$R$18, MATCH(1, ($J48=$L$3:$L$18) * (K$44=$J$3:$J$18), 0)), "")</f>
        <v/>
      </c>
      <c r="L48" t="str" cm="1">
        <f t="array" ref="L48">IFERROR(INDEX($R$3:$R$18, MATCH(1, ($J48=$L$3:$L$18) * (L$44=$J$3:$J$18), 0)), "")</f>
        <v/>
      </c>
      <c r="M48" t="str" cm="1">
        <f t="array" ref="M48">IFERROR(INDEX($R$3:$R$18, MATCH(1, ($J48=$L$3:$L$18) * (M$44=$J$3:$J$18), 0)), "")</f>
        <v>DNF</v>
      </c>
      <c r="T48" s="3"/>
      <c r="BE48" t="s">
        <v>30</v>
      </c>
      <c r="BF48" t="s">
        <v>3</v>
      </c>
      <c r="BG48">
        <v>17</v>
      </c>
    </row>
    <row r="49" spans="1:59" x14ac:dyDescent="0.2">
      <c r="A49" t="s">
        <v>14</v>
      </c>
      <c r="B49" t="s">
        <v>26</v>
      </c>
      <c r="C49" t="s">
        <v>21</v>
      </c>
      <c r="D49">
        <v>1</v>
      </c>
      <c r="E49">
        <v>5</v>
      </c>
      <c r="F49">
        <v>0.162852</v>
      </c>
      <c r="G49">
        <v>2.7822E-2</v>
      </c>
      <c r="H49" t="s">
        <v>22</v>
      </c>
      <c r="J49" s="6" t="s">
        <v>52</v>
      </c>
      <c r="K49" t="str" cm="1">
        <f t="array" ref="K49">IFERROR(INDEX($R$3:$R$18, MATCH(1, ($J49=$L$3:$L$18) * (K$44=$J$3:$J$18), 0)), "")</f>
        <v/>
      </c>
      <c r="L49" t="str" cm="1">
        <f t="array" ref="L49">IFERROR(INDEX($R$3:$R$18, MATCH(1, ($J49=$L$3:$L$18) * (L$44=$J$3:$J$18), 0)), "")</f>
        <v/>
      </c>
      <c r="M49" t="str" cm="1">
        <f t="array" ref="M49">IFERROR(INDEX($R$3:$R$18, MATCH(1, ($J49=$L$3:$L$18) * (M$44=$J$3:$J$18), 0)), "")</f>
        <v>DNF</v>
      </c>
      <c r="T49" s="3"/>
      <c r="BE49" t="s">
        <v>30</v>
      </c>
      <c r="BF49" t="s">
        <v>3</v>
      </c>
      <c r="BG49">
        <v>17</v>
      </c>
    </row>
    <row r="50" spans="1:59" x14ac:dyDescent="0.2">
      <c r="A50" t="s">
        <v>14</v>
      </c>
      <c r="B50" t="s">
        <v>30</v>
      </c>
      <c r="C50" t="s">
        <v>21</v>
      </c>
      <c r="D50">
        <v>1</v>
      </c>
      <c r="E50">
        <v>5</v>
      </c>
      <c r="F50">
        <v>6.4223000000000002E-2</v>
      </c>
      <c r="G50">
        <v>7.9719999999999999E-3</v>
      </c>
      <c r="H50" t="s">
        <v>22</v>
      </c>
      <c r="J50" s="7" t="s">
        <v>33</v>
      </c>
      <c r="K50" t="str" cm="1">
        <f t="array" ref="K50">IFERROR(INDEX($R$3:$R$18, MATCH(1, ($J50=$L$3:$L$18) * (K$44=$J$3:$J$18), 0)), "")</f>
        <v/>
      </c>
      <c r="L50" t="str" cm="1">
        <f t="array" ref="L50">IFERROR(INDEX($R$3:$R$18, MATCH(1, ($J50=$L$3:$L$18) * (L$44=$J$3:$J$18), 0)), "")</f>
        <v>DNF</v>
      </c>
      <c r="M50" t="str" cm="1">
        <f t="array" ref="M50">IFERROR(INDEX($R$3:$R$18, MATCH(1, ($J50=$L$3:$L$18) * (M$44=$J$3:$J$18), 0)), "")</f>
        <v/>
      </c>
      <c r="T50" s="3"/>
      <c r="BE50" t="s">
        <v>30</v>
      </c>
      <c r="BF50" t="s">
        <v>3</v>
      </c>
      <c r="BG50">
        <v>17</v>
      </c>
    </row>
    <row r="51" spans="1:59" x14ac:dyDescent="0.2">
      <c r="A51" t="s">
        <v>14</v>
      </c>
      <c r="B51" t="s">
        <v>53</v>
      </c>
      <c r="C51" t="s">
        <v>21</v>
      </c>
      <c r="D51">
        <v>1</v>
      </c>
      <c r="E51">
        <v>5</v>
      </c>
      <c r="F51">
        <v>1.32355</v>
      </c>
      <c r="G51">
        <v>0.12146800000000001</v>
      </c>
      <c r="H51" t="s">
        <v>22</v>
      </c>
      <c r="J51" s="7" t="s">
        <v>35</v>
      </c>
      <c r="K51" t="str" cm="1">
        <f t="array" ref="K51">IFERROR(INDEX($R$3:$R$18, MATCH(1, ($J51=$L$3:$L$18) * (K$44=$J$3:$J$18), 0)), "")</f>
        <v/>
      </c>
      <c r="L51" t="str" cm="1">
        <f t="array" ref="L51">IFERROR(INDEX($R$3:$R$18, MATCH(1, ($J51=$L$3:$L$18) * (L$44=$J$3:$J$18), 0)), "")</f>
        <v>DNF</v>
      </c>
      <c r="M51" t="str" cm="1">
        <f t="array" ref="M51">IFERROR(INDEX($R$3:$R$18, MATCH(1, ($J51=$L$3:$L$18) * (M$44=$J$3:$J$18), 0)), "")</f>
        <v/>
      </c>
      <c r="T51" s="3"/>
      <c r="AD51" s="5"/>
      <c r="AE51" s="5"/>
      <c r="AF51" s="5"/>
      <c r="BE51" t="s">
        <v>30</v>
      </c>
      <c r="BF51" t="s">
        <v>3</v>
      </c>
      <c r="BG51">
        <v>17</v>
      </c>
    </row>
    <row r="52" spans="1:59" x14ac:dyDescent="0.2">
      <c r="J52" s="6" t="s">
        <v>38</v>
      </c>
      <c r="K52" t="str" cm="1">
        <f t="array" ref="K52">IFERROR(INDEX($R$3:$R$18, MATCH(1, ($J52=$L$3:$L$18) * (K$44=$J$3:$J$18), 0)), "")</f>
        <v/>
      </c>
      <c r="L52" cm="1">
        <f t="array" ref="L52">IFERROR(INDEX($R$3:$R$18, MATCH(1, ($J52=$L$3:$L$18) * (L$44=$J$3:$J$18), 0)), "")</f>
        <v>48.790558744148676</v>
      </c>
      <c r="M52" t="str" cm="1">
        <f t="array" ref="M52">IFERROR(INDEX($R$3:$R$18, MATCH(1, ($J52=$L$3:$L$18) * (M$44=$J$3:$J$18), 0)), "")</f>
        <v/>
      </c>
      <c r="T52" s="3"/>
      <c r="AD52" s="5"/>
      <c r="AE52" s="5"/>
      <c r="AF52" s="5"/>
      <c r="BE52" t="s">
        <v>24</v>
      </c>
      <c r="BF52" t="s">
        <v>20</v>
      </c>
      <c r="BG52">
        <v>189</v>
      </c>
    </row>
    <row r="53" spans="1:59" x14ac:dyDescent="0.2">
      <c r="J53" s="6" t="s">
        <v>56</v>
      </c>
      <c r="K53" t="str" cm="1">
        <f t="array" ref="K53">IFERROR(INDEX($R$3:$R$18, MATCH(1, ($J53=$L$3:$L$18) * (K$44=$J$3:$J$18), 0)), "")</f>
        <v/>
      </c>
      <c r="L53" t="str" cm="1">
        <f t="array" ref="L53">IFERROR(INDEX($R$3:$R$18, MATCH(1, ($J53=$L$3:$L$18) * (L$44=$J$3:$J$18), 0)), "")</f>
        <v>DNF</v>
      </c>
      <c r="M53" t="str" cm="1">
        <f t="array" ref="M53">IFERROR(INDEX($R$3:$R$18, MATCH(1, ($J53=$L$3:$L$18) * (M$44=$J$3:$J$18), 0)), "")</f>
        <v/>
      </c>
      <c r="T53" s="3"/>
      <c r="AD53" s="5"/>
      <c r="AE53" s="5"/>
      <c r="AF53" s="5"/>
      <c r="BE53" t="s">
        <v>24</v>
      </c>
      <c r="BF53" t="s">
        <v>20</v>
      </c>
      <c r="BG53">
        <v>189</v>
      </c>
    </row>
    <row r="54" spans="1:59" x14ac:dyDescent="0.2">
      <c r="J54" s="6" t="s">
        <v>40</v>
      </c>
      <c r="K54" t="str" cm="1">
        <f t="array" ref="K54">IFERROR(INDEX($R$3:$R$18, MATCH(1, ($J54=$L$3:$L$18) * (K$44=$J$3:$J$18), 0)), "")</f>
        <v/>
      </c>
      <c r="L54" t="str" cm="1">
        <f t="array" ref="L54">IFERROR(INDEX($R$3:$R$18, MATCH(1, ($J54=$L$3:$L$18) * (L$44=$J$3:$J$18), 0)), "")</f>
        <v>DNF</v>
      </c>
      <c r="M54" t="str" cm="1">
        <f t="array" ref="M54">IFERROR(INDEX($R$3:$R$18, MATCH(1, ($J54=$L$3:$L$18) * (M$44=$J$3:$J$18), 0)), "")</f>
        <v/>
      </c>
      <c r="T54" s="3"/>
      <c r="AD54" s="5"/>
      <c r="AE54" s="5"/>
      <c r="AF54" s="5"/>
      <c r="BE54" t="s">
        <v>24</v>
      </c>
      <c r="BF54" t="s">
        <v>20</v>
      </c>
      <c r="BG54">
        <v>189</v>
      </c>
    </row>
    <row r="55" spans="1:59" x14ac:dyDescent="0.2">
      <c r="J55" s="6" t="s">
        <v>44</v>
      </c>
      <c r="K55" t="str" cm="1">
        <f t="array" ref="K55">IFERROR(INDEX($R$3:$R$18, MATCH(1, ($J55=$L$3:$L$18) * (K$44=$J$3:$J$18), 0)), "")</f>
        <v/>
      </c>
      <c r="L55" t="str" cm="1">
        <f t="array" ref="L55">IFERROR(INDEX($R$3:$R$18, MATCH(1, ($J55=$L$3:$L$18) * (L$44=$J$3:$J$18), 0)), "")</f>
        <v>DNF</v>
      </c>
      <c r="M55" t="str" cm="1">
        <f t="array" ref="M55">IFERROR(INDEX($R$3:$R$18, MATCH(1, ($J55=$L$3:$L$18) * (M$44=$J$3:$J$18), 0)), "")</f>
        <v/>
      </c>
      <c r="T55" s="3"/>
      <c r="AD55" s="5"/>
      <c r="AE55" s="5"/>
      <c r="AF55" s="5"/>
      <c r="BE55" t="s">
        <v>24</v>
      </c>
      <c r="BF55" t="s">
        <v>20</v>
      </c>
      <c r="BG55">
        <v>189</v>
      </c>
    </row>
    <row r="56" spans="1:59" x14ac:dyDescent="0.2">
      <c r="J56" s="6" t="s">
        <v>49</v>
      </c>
      <c r="K56" t="str" cm="1">
        <f t="array" ref="K56">IFERROR(INDEX($R$3:$R$18, MATCH(1, ($J56=$L$3:$L$18) * (K$44=$J$3:$J$18), 0)), "")</f>
        <v/>
      </c>
      <c r="L56" t="str" cm="1">
        <f t="array" ref="L56">IFERROR(INDEX($R$3:$R$18, MATCH(1, ($J56=$L$3:$L$18) * (L$44=$J$3:$J$18), 0)), "")</f>
        <v>DNF</v>
      </c>
      <c r="M56" t="str" cm="1">
        <f t="array" ref="M56">IFERROR(INDEX($R$3:$R$18, MATCH(1, ($J56=$L$3:$L$18) * (M$44=$J$3:$J$18), 0)), "")</f>
        <v/>
      </c>
      <c r="T56" s="3"/>
      <c r="AD56" s="5"/>
      <c r="AE56" s="5"/>
      <c r="AF56" s="5"/>
      <c r="BE56" t="s">
        <v>28</v>
      </c>
      <c r="BF56" t="s">
        <v>20</v>
      </c>
      <c r="BG56">
        <v>9</v>
      </c>
    </row>
    <row r="57" spans="1:59" x14ac:dyDescent="0.2">
      <c r="J57" s="6" t="s">
        <v>50</v>
      </c>
      <c r="K57" t="str" cm="1">
        <f t="array" ref="K57">IFERROR(INDEX($R$3:$R$18, MATCH(1, ($J57=$L$3:$L$18) * (K$44=$J$3:$J$18), 0)), "")</f>
        <v/>
      </c>
      <c r="L57" t="str" cm="1">
        <f t="array" ref="L57">IFERROR(INDEX($R$3:$R$18, MATCH(1, ($J57=$L$3:$L$18) * (L$44=$J$3:$J$18), 0)), "")</f>
        <v>DNF</v>
      </c>
      <c r="M57" t="str" cm="1">
        <f t="array" ref="M57">IFERROR(INDEX($R$3:$R$18, MATCH(1, ($J57=$L$3:$L$18) * (M$44=$J$3:$J$18), 0)), "")</f>
        <v/>
      </c>
      <c r="T57" s="3"/>
      <c r="AD57" s="5"/>
      <c r="AE57" s="5"/>
      <c r="AF57" s="5"/>
      <c r="BE57" t="s">
        <v>28</v>
      </c>
      <c r="BF57" t="s">
        <v>20</v>
      </c>
      <c r="BG57">
        <v>9</v>
      </c>
    </row>
    <row r="58" spans="1:59" x14ac:dyDescent="0.2">
      <c r="J58" s="7" t="s">
        <v>25</v>
      </c>
      <c r="K58" t="str" cm="1">
        <f t="array" ref="K58">IFERROR(INDEX($R$3:$R$18, MATCH(1, ($J58=$L$3:$L$18) * (K$44=$J$3:$J$18), 0)), "")</f>
        <v>DNF</v>
      </c>
      <c r="L58" t="str" cm="1">
        <f t="array" ref="L58">IFERROR(INDEX($R$3:$R$18, MATCH(1, ($J58=$L$3:$L$18) * (L$44=$J$3:$J$18), 0)), "")</f>
        <v/>
      </c>
      <c r="M58" t="str" cm="1">
        <f t="array" ref="M58">IFERROR(INDEX($R$3:$R$18, MATCH(1, ($J58=$L$3:$L$18) * (M$44=$J$3:$J$18), 0)), "")</f>
        <v/>
      </c>
      <c r="T58" s="3"/>
      <c r="AD58" s="5"/>
      <c r="AE58" s="5"/>
      <c r="AF58" s="5"/>
      <c r="BE58" t="s">
        <v>28</v>
      </c>
      <c r="BF58" t="s">
        <v>20</v>
      </c>
      <c r="BG58">
        <v>9</v>
      </c>
    </row>
    <row r="59" spans="1:59" x14ac:dyDescent="0.2">
      <c r="J59" s="7" t="s">
        <v>54</v>
      </c>
      <c r="K59" cm="1">
        <f t="array" ref="K59">IFERROR(INDEX($R$3:$R$18, MATCH(1, ($J59=$L$3:$L$18) * (K$44=$J$3:$J$18), 0)), "")</f>
        <v>1435.3622798614695</v>
      </c>
      <c r="L59" t="str" cm="1">
        <f t="array" ref="L59">IFERROR(INDEX($R$3:$R$18, MATCH(1, ($J59=$L$3:$L$18) * (L$44=$J$3:$J$18), 0)), "")</f>
        <v/>
      </c>
      <c r="M59" t="str" cm="1">
        <f t="array" ref="M59">IFERROR(INDEX($R$3:$R$18, MATCH(1, ($J59=$L$3:$L$18) * (M$44=$J$3:$J$18), 0)), "")</f>
        <v/>
      </c>
      <c r="AD59" s="5"/>
      <c r="AE59" s="5"/>
      <c r="AF59" s="5"/>
      <c r="BE59" t="s">
        <v>28</v>
      </c>
      <c r="BF59" t="s">
        <v>20</v>
      </c>
      <c r="BG59">
        <v>9</v>
      </c>
    </row>
    <row r="60" spans="1:59" x14ac:dyDescent="0.2">
      <c r="J60" s="7" t="s">
        <v>55</v>
      </c>
      <c r="K60" cm="1">
        <f t="array" ref="K60">IFERROR(INDEX($R$3:$R$18, MATCH(1, ($J60=$L$3:$L$18) * (K$44=$J$3:$J$18), 0)), "")</f>
        <v>103.29486321099917</v>
      </c>
      <c r="L60" t="str" cm="1">
        <f t="array" ref="L60">IFERROR(INDEX($R$3:$R$18, MATCH(1, ($J60=$L$3:$L$18) * (L$44=$J$3:$J$18), 0)), "")</f>
        <v/>
      </c>
      <c r="M60" t="str" cm="1">
        <f t="array" ref="M60">IFERROR(INDEX($R$3:$R$18, MATCH(1, ($J60=$L$3:$L$18) * (M$44=$J$3:$J$18), 0)), "")</f>
        <v/>
      </c>
      <c r="AD60" s="5"/>
      <c r="AE60" s="5"/>
      <c r="AF60" s="5"/>
      <c r="BE60" t="s">
        <v>28</v>
      </c>
      <c r="BF60" t="s">
        <v>20</v>
      </c>
      <c r="BG60">
        <v>9</v>
      </c>
    </row>
    <row r="61" spans="1:59" x14ac:dyDescent="0.2">
      <c r="AD61" s="5"/>
      <c r="AE61" s="5"/>
      <c r="AF61" s="5"/>
      <c r="BE61" t="s">
        <v>28</v>
      </c>
      <c r="BF61" t="s">
        <v>20</v>
      </c>
      <c r="BG61">
        <v>9</v>
      </c>
    </row>
    <row r="62" spans="1:59" x14ac:dyDescent="0.2">
      <c r="J62" s="7" t="s">
        <v>107</v>
      </c>
      <c r="AD62" s="5"/>
      <c r="AE62" s="5"/>
      <c r="AF62" s="5"/>
      <c r="BE62" t="s">
        <v>28</v>
      </c>
      <c r="BF62" t="s">
        <v>20</v>
      </c>
      <c r="BG62">
        <v>9</v>
      </c>
    </row>
    <row r="63" spans="1:59" x14ac:dyDescent="0.2">
      <c r="J63" t="s">
        <v>12</v>
      </c>
      <c r="K63" s="6" t="s">
        <v>23</v>
      </c>
      <c r="L63" s="6" t="s">
        <v>31</v>
      </c>
      <c r="M63" s="6" t="s">
        <v>27</v>
      </c>
      <c r="AD63" s="5"/>
      <c r="AE63" s="5"/>
      <c r="AF63" s="5"/>
      <c r="BE63" t="s">
        <v>28</v>
      </c>
      <c r="BF63" t="s">
        <v>20</v>
      </c>
      <c r="BG63">
        <v>9</v>
      </c>
    </row>
    <row r="64" spans="1:59" x14ac:dyDescent="0.2">
      <c r="J64" s="7" t="s">
        <v>29</v>
      </c>
      <c r="K64" t="str" cm="1">
        <f t="array" ref="K64">IFERROR(INDEX($S$3:$S$18, MATCH(1, ($J45=$L$3:$L$18) * (K$44=$J$3:$J$18), 0)), "")</f>
        <v/>
      </c>
      <c r="L64" t="str" cm="1">
        <f t="array" ref="L64">IFERROR(INDEX($S$3:$S$18, MATCH(1, ($J45=$L$3:$L$18) * (L$44=$J$3:$J$18), 0)), "")</f>
        <v/>
      </c>
      <c r="M64" cm="1">
        <f t="array" ref="M64">IFERROR(INDEX($S$3:$S$18, MATCH(1, ($J45=$L$3:$L$18) * (M$44=$J$3:$J$18), 0)), "")</f>
        <v>0.93789231135948303</v>
      </c>
      <c r="AD64" s="5"/>
      <c r="AE64" s="5"/>
      <c r="AF64" s="5"/>
      <c r="BE64" t="s">
        <v>28</v>
      </c>
      <c r="BF64" t="s">
        <v>20</v>
      </c>
      <c r="BG64">
        <v>9</v>
      </c>
    </row>
    <row r="65" spans="10:59" x14ac:dyDescent="0.2">
      <c r="J65" s="6" t="s">
        <v>37</v>
      </c>
      <c r="K65" t="str" cm="1">
        <f t="array" ref="K65">IFERROR(INDEX($S$3:$S$18, MATCH(1, ($J46=$L$3:$L$18) * (K$44=$J$3:$J$18), 0)), "")</f>
        <v/>
      </c>
      <c r="L65" t="str" cm="1">
        <f t="array" ref="L65">IFERROR(INDEX($S$3:$S$18, MATCH(1, ($J46=$L$3:$L$18) * (L$44=$J$3:$J$18), 0)), "")</f>
        <v/>
      </c>
      <c r="M65" cm="1">
        <f t="array" ref="M65">IFERROR(INDEX($S$3:$S$18, MATCH(1, ($J46=$L$3:$L$18) * (M$44=$J$3:$J$18), 0)), "")</f>
        <v>0.82781512605042018</v>
      </c>
      <c r="AD65" s="5"/>
      <c r="AE65" s="5"/>
      <c r="AF65" s="5"/>
      <c r="BE65" t="s">
        <v>28</v>
      </c>
      <c r="BF65" t="s">
        <v>20</v>
      </c>
      <c r="BG65">
        <v>9</v>
      </c>
    </row>
    <row r="66" spans="10:59" x14ac:dyDescent="0.2">
      <c r="J66" s="6" t="s">
        <v>42</v>
      </c>
      <c r="K66" t="str" cm="1">
        <f t="array" ref="K66">IFERROR(INDEX($S$3:$S$18, MATCH(1, ($J47=$L$3:$L$18) * (K$44=$J$3:$J$18), 0)), "")</f>
        <v/>
      </c>
      <c r="L66" t="str" cm="1">
        <f t="array" ref="L66">IFERROR(INDEX($S$3:$S$18, MATCH(1, ($J47=$L$3:$L$18) * (L$44=$J$3:$J$18), 0)), "")</f>
        <v/>
      </c>
      <c r="M66" cm="1">
        <f t="array" ref="M66">IFERROR(INDEX($S$3:$S$18, MATCH(1, ($J47=$L$3:$L$18) * (M$44=$J$3:$J$18), 0)), "")</f>
        <v>0.92861883341936435</v>
      </c>
      <c r="AD66" s="5"/>
      <c r="AE66" s="5"/>
      <c r="AF66" s="5"/>
      <c r="BE66" t="s">
        <v>32</v>
      </c>
      <c r="BF66" t="s">
        <v>20</v>
      </c>
      <c r="BG66">
        <v>4</v>
      </c>
    </row>
    <row r="67" spans="10:59" x14ac:dyDescent="0.2">
      <c r="J67" s="6" t="s">
        <v>47</v>
      </c>
      <c r="K67" t="str" cm="1">
        <f t="array" ref="K67">IFERROR(INDEX($S$3:$S$18, MATCH(1, ($J48=$L$3:$L$18) * (K$44=$J$3:$J$18), 0)), "")</f>
        <v/>
      </c>
      <c r="L67" t="str" cm="1">
        <f t="array" ref="L67">IFERROR(INDEX($S$3:$S$18, MATCH(1, ($J48=$L$3:$L$18) * (L$44=$J$3:$J$18), 0)), "")</f>
        <v/>
      </c>
      <c r="M67" cm="1">
        <f t="array" ref="M67">IFERROR(INDEX($S$3:$S$18, MATCH(1, ($J48=$L$3:$L$18) * (M$44=$J$3:$J$18), 0)), "")</f>
        <v>0.9655440587057621</v>
      </c>
      <c r="BE67" t="s">
        <v>32</v>
      </c>
      <c r="BF67" t="s">
        <v>20</v>
      </c>
      <c r="BG67">
        <v>4</v>
      </c>
    </row>
    <row r="68" spans="10:59" x14ac:dyDescent="0.2">
      <c r="J68" s="6" t="s">
        <v>52</v>
      </c>
      <c r="K68" t="str" cm="1">
        <f t="array" ref="K68">IFERROR(INDEX($S$3:$S$18, MATCH(1, ($J49=$L$3:$L$18) * (K$44=$J$3:$J$18), 0)), "")</f>
        <v/>
      </c>
      <c r="L68" t="str" cm="1">
        <f t="array" ref="L68">IFERROR(INDEX($S$3:$S$18, MATCH(1, ($J49=$L$3:$L$18) * (L$44=$J$3:$J$18), 0)), "")</f>
        <v/>
      </c>
      <c r="M68" cm="1">
        <f t="array" ref="M68">IFERROR(INDEX($S$3:$S$18, MATCH(1, ($J49=$L$3:$L$18) * (M$44=$J$3:$J$18), 0)), "")</f>
        <v>0.97412146581957759</v>
      </c>
      <c r="BE68" t="s">
        <v>32</v>
      </c>
      <c r="BF68" t="s">
        <v>20</v>
      </c>
      <c r="BG68">
        <v>4</v>
      </c>
    </row>
    <row r="69" spans="10:59" x14ac:dyDescent="0.2">
      <c r="J69" s="7" t="s">
        <v>33</v>
      </c>
      <c r="K69" t="str" cm="1">
        <f t="array" ref="K69">IFERROR(INDEX($S$3:$S$18, MATCH(1, ($J50=$L$3:$L$18) * (K$44=$J$3:$J$18), 0)), "")</f>
        <v/>
      </c>
      <c r="L69" cm="1">
        <f t="array" ref="L69">IFERROR(INDEX($S$3:$S$18, MATCH(1, ($J50=$L$3:$L$18) * (L$44=$J$3:$J$18), 0)), "")</f>
        <v>0.97116209262435671</v>
      </c>
      <c r="M69" t="str" cm="1">
        <f t="array" ref="M69">IFERROR(INDEX($S$3:$S$18, MATCH(1, ($J50=$L$3:$L$18) * (M$44=$J$3:$J$18), 0)), "")</f>
        <v/>
      </c>
      <c r="BE69" t="s">
        <v>32</v>
      </c>
      <c r="BF69" t="s">
        <v>20</v>
      </c>
      <c r="BG69">
        <v>4</v>
      </c>
    </row>
    <row r="70" spans="10:59" x14ac:dyDescent="0.2">
      <c r="J70" s="7" t="s">
        <v>35</v>
      </c>
      <c r="K70" t="str" cm="1">
        <f t="array" ref="K70">IFERROR(INDEX($S$3:$S$18, MATCH(1, ($J51=$L$3:$L$18) * (K$44=$J$3:$J$18), 0)), "")</f>
        <v/>
      </c>
      <c r="L70" cm="1">
        <f t="array" ref="L70">IFERROR(INDEX($S$3:$S$18, MATCH(1, ($J51=$L$3:$L$18) * (L$44=$J$3:$J$18), 0)), "")</f>
        <v>1.0063647479774576</v>
      </c>
      <c r="M70" t="str" cm="1">
        <f t="array" ref="M70">IFERROR(INDEX($S$3:$S$18, MATCH(1, ($J51=$L$3:$L$18) * (M$44=$J$3:$J$18), 0)), "")</f>
        <v/>
      </c>
      <c r="BE70" t="s">
        <v>32</v>
      </c>
      <c r="BF70" t="s">
        <v>20</v>
      </c>
      <c r="BG70">
        <v>4</v>
      </c>
    </row>
    <row r="71" spans="10:59" x14ac:dyDescent="0.2">
      <c r="J71" s="6" t="s">
        <v>38</v>
      </c>
      <c r="K71" t="str" cm="1">
        <f t="array" ref="K71">IFERROR(INDEX($S$3:$S$18, MATCH(1, ($J52=$L$3:$L$18) * (K$44=$J$3:$J$18), 0)), "")</f>
        <v/>
      </c>
      <c r="L71" cm="1">
        <f t="array" ref="L71">IFERROR(INDEX($S$3:$S$18, MATCH(1, ($J52=$L$3:$L$18) * (L$44=$J$3:$J$18), 0)), "")</f>
        <v>0.94717212148619989</v>
      </c>
      <c r="M71" t="str" cm="1">
        <f t="array" ref="M71">IFERROR(INDEX($S$3:$S$18, MATCH(1, ($J52=$L$3:$L$18) * (M$44=$J$3:$J$18), 0)), "")</f>
        <v/>
      </c>
      <c r="BE71" t="s">
        <v>32</v>
      </c>
      <c r="BF71" t="s">
        <v>20</v>
      </c>
      <c r="BG71">
        <v>4</v>
      </c>
    </row>
    <row r="72" spans="10:59" x14ac:dyDescent="0.2">
      <c r="J72" s="6" t="s">
        <v>56</v>
      </c>
      <c r="K72" t="str" cm="1">
        <f t="array" ref="K72">IFERROR(INDEX($S$3:$S$18, MATCH(1, ($J53=$L$3:$L$18) * (K$44=$J$3:$J$18), 0)), "")</f>
        <v/>
      </c>
      <c r="L72" cm="1">
        <f t="array" ref="L72">IFERROR(INDEX($S$3:$S$18, MATCH(1, ($J53=$L$3:$L$18) * (L$44=$J$3:$J$18), 0)), "")</f>
        <v>1.024402553738053</v>
      </c>
      <c r="M72" t="str" cm="1">
        <f t="array" ref="M72">IFERROR(INDEX($S$3:$S$18, MATCH(1, ($J53=$L$3:$L$18) * (M$44=$J$3:$J$18), 0)), "")</f>
        <v/>
      </c>
      <c r="BE72" t="s">
        <v>32</v>
      </c>
      <c r="BF72" t="s">
        <v>20</v>
      </c>
      <c r="BG72">
        <v>4</v>
      </c>
    </row>
    <row r="73" spans="10:59" x14ac:dyDescent="0.2">
      <c r="J73" s="6" t="s">
        <v>40</v>
      </c>
      <c r="K73" t="str" cm="1">
        <f t="array" ref="K73">IFERROR(INDEX($S$3:$S$18, MATCH(1, ($J54=$L$3:$L$18) * (K$44=$J$3:$J$18), 0)), "")</f>
        <v/>
      </c>
      <c r="L73" cm="1">
        <f t="array" ref="L73">IFERROR(INDEX($S$3:$S$18, MATCH(1, ($J54=$L$3:$L$18) * (L$44=$J$3:$J$18), 0)), "")</f>
        <v>0.99671828264916185</v>
      </c>
      <c r="M73" t="str" cm="1">
        <f t="array" ref="M73">IFERROR(INDEX($S$3:$S$18, MATCH(1, ($J54=$L$3:$L$18) * (M$44=$J$3:$J$18), 0)), "")</f>
        <v/>
      </c>
      <c r="BE73" t="s">
        <v>32</v>
      </c>
      <c r="BF73" t="s">
        <v>20</v>
      </c>
      <c r="BG73">
        <v>4</v>
      </c>
    </row>
    <row r="74" spans="10:59" x14ac:dyDescent="0.2">
      <c r="J74" s="6" t="s">
        <v>44</v>
      </c>
      <c r="K74" t="str" cm="1">
        <f t="array" ref="K74">IFERROR(INDEX($S$3:$S$18, MATCH(1, ($J55=$L$3:$L$18) * (K$44=$J$3:$J$18), 0)), "")</f>
        <v/>
      </c>
      <c r="L74" cm="1">
        <f t="array" ref="L74">IFERROR(INDEX($S$3:$S$18, MATCH(1, ($J55=$L$3:$L$18) * (L$44=$J$3:$J$18), 0)), "")</f>
        <v>1.0093557722440982</v>
      </c>
      <c r="M74" t="str" cm="1">
        <f t="array" ref="M74">IFERROR(INDEX($S$3:$S$18, MATCH(1, ($J55=$L$3:$L$18) * (M$44=$J$3:$J$18), 0)), "")</f>
        <v/>
      </c>
      <c r="BE74" t="s">
        <v>32</v>
      </c>
      <c r="BF74" t="s">
        <v>20</v>
      </c>
      <c r="BG74">
        <v>4</v>
      </c>
    </row>
    <row r="75" spans="10:59" x14ac:dyDescent="0.2">
      <c r="J75" s="6" t="s">
        <v>49</v>
      </c>
      <c r="K75" t="str" cm="1">
        <f t="array" ref="K75">IFERROR(INDEX($S$3:$S$18, MATCH(1, ($J56=$L$3:$L$18) * (K$44=$J$3:$J$18), 0)), "")</f>
        <v/>
      </c>
      <c r="L75" cm="1">
        <f t="array" ref="L75">IFERROR(INDEX($S$3:$S$18, MATCH(1, ($J56=$L$3:$L$18) * (L$44=$J$3:$J$18), 0)), "")</f>
        <v>0.88591591320699736</v>
      </c>
      <c r="M75" t="str" cm="1">
        <f t="array" ref="M75">IFERROR(INDEX($S$3:$S$18, MATCH(1, ($J56=$L$3:$L$18) * (M$44=$J$3:$J$18), 0)), "")</f>
        <v/>
      </c>
      <c r="BE75" t="s">
        <v>32</v>
      </c>
      <c r="BF75" t="s">
        <v>20</v>
      </c>
      <c r="BG75">
        <v>4</v>
      </c>
    </row>
    <row r="76" spans="10:59" x14ac:dyDescent="0.2">
      <c r="J76" s="6" t="s">
        <v>50</v>
      </c>
      <c r="K76" t="str" cm="1">
        <f t="array" ref="K76">IFERROR(INDEX($S$3:$S$18, MATCH(1, ($J57=$L$3:$L$18) * (K$44=$J$3:$J$18), 0)), "")</f>
        <v/>
      </c>
      <c r="L76" cm="1">
        <f t="array" ref="L76">IFERROR(INDEX($S$3:$S$18, MATCH(1, ($J57=$L$3:$L$18) * (L$44=$J$3:$J$18), 0)), "")</f>
        <v>1.0180778445557195</v>
      </c>
      <c r="M76" t="str" cm="1">
        <f t="array" ref="M76">IFERROR(INDEX($S$3:$S$18, MATCH(1, ($J57=$L$3:$L$18) * (M$44=$J$3:$J$18), 0)), "")</f>
        <v/>
      </c>
      <c r="BE76" t="s">
        <v>34</v>
      </c>
      <c r="BF76" t="s">
        <v>20</v>
      </c>
      <c r="BG76">
        <v>22</v>
      </c>
    </row>
    <row r="77" spans="10:59" x14ac:dyDescent="0.2">
      <c r="J77" s="7" t="s">
        <v>25</v>
      </c>
      <c r="K77" cm="1">
        <f t="array" ref="K77">IFERROR(INDEX($S$3:$S$18, MATCH(1, ($J58=$L$3:$L$18) * (K$44=$J$3:$J$18), 0)), "")</f>
        <v>1.0013341031147491</v>
      </c>
      <c r="L77" t="str" cm="1">
        <f t="array" ref="L77">IFERROR(INDEX($S$3:$S$18, MATCH(1, ($J58=$L$3:$L$18) * (L$44=$J$3:$J$18), 0)), "")</f>
        <v/>
      </c>
      <c r="M77" t="str" cm="1">
        <f t="array" ref="M77">IFERROR(INDEX($S$3:$S$18, MATCH(1, ($J58=$L$3:$L$18) * (M$44=$J$3:$J$18), 0)), "")</f>
        <v/>
      </c>
      <c r="BE77" t="s">
        <v>34</v>
      </c>
      <c r="BF77" t="s">
        <v>20</v>
      </c>
      <c r="BG77">
        <v>22</v>
      </c>
    </row>
    <row r="78" spans="10:59" x14ac:dyDescent="0.2">
      <c r="J78" s="7" t="s">
        <v>54</v>
      </c>
      <c r="K78" cm="1">
        <f t="array" ref="K78">IFERROR(INDEX($S$3:$S$18, MATCH(1, ($J59=$L$3:$L$18) * (K$44=$J$3:$J$18), 0)), "")</f>
        <v>1.0244025249920172</v>
      </c>
      <c r="L78" t="str" cm="1">
        <f t="array" ref="L78">IFERROR(INDEX($S$3:$S$18, MATCH(1, ($J59=$L$3:$L$18) * (L$44=$J$3:$J$18), 0)), "")</f>
        <v/>
      </c>
      <c r="M78" t="str" cm="1">
        <f t="array" ref="M78">IFERROR(INDEX($S$3:$S$18, MATCH(1, ($J59=$L$3:$L$18) * (M$44=$J$3:$J$18), 0)), "")</f>
        <v/>
      </c>
      <c r="BE78" t="s">
        <v>34</v>
      </c>
      <c r="BF78" t="s">
        <v>20</v>
      </c>
      <c r="BG78">
        <v>22</v>
      </c>
    </row>
    <row r="79" spans="10:59" x14ac:dyDescent="0.2">
      <c r="J79" s="7" t="s">
        <v>55</v>
      </c>
      <c r="K79" cm="1">
        <f t="array" ref="K79">IFERROR(INDEX($S$3:$S$18, MATCH(1, ($J60=$L$3:$L$18) * (K$44=$J$3:$J$18), 0)), "")</f>
        <v>0.96916992354763865</v>
      </c>
      <c r="L79" t="str" cm="1">
        <f t="array" ref="L79">IFERROR(INDEX($S$3:$S$18, MATCH(1, ($J60=$L$3:$L$18) * (L$44=$J$3:$J$18), 0)), "")</f>
        <v/>
      </c>
      <c r="M79" t="str" cm="1">
        <f t="array" ref="M79">IFERROR(INDEX($S$3:$S$18, MATCH(1, ($J60=$L$3:$L$18) * (M$44=$J$3:$J$18), 0)), "")</f>
        <v/>
      </c>
      <c r="BE79" t="s">
        <v>34</v>
      </c>
      <c r="BF79" t="s">
        <v>20</v>
      </c>
      <c r="BG79">
        <v>22</v>
      </c>
    </row>
    <row r="80" spans="10:59" x14ac:dyDescent="0.2">
      <c r="BE80" t="s">
        <v>34</v>
      </c>
      <c r="BF80" t="s">
        <v>20</v>
      </c>
      <c r="BG80">
        <v>22</v>
      </c>
    </row>
    <row r="81" spans="57:59" x14ac:dyDescent="0.2">
      <c r="BE81" t="s">
        <v>34</v>
      </c>
      <c r="BF81" t="s">
        <v>20</v>
      </c>
      <c r="BG81">
        <v>22</v>
      </c>
    </row>
    <row r="82" spans="57:59" x14ac:dyDescent="0.2">
      <c r="BE82" t="s">
        <v>34</v>
      </c>
      <c r="BF82" t="s">
        <v>20</v>
      </c>
      <c r="BG82">
        <v>22</v>
      </c>
    </row>
    <row r="83" spans="57:59" x14ac:dyDescent="0.2">
      <c r="BE83" t="s">
        <v>34</v>
      </c>
      <c r="BF83" t="s">
        <v>20</v>
      </c>
      <c r="BG83">
        <v>22</v>
      </c>
    </row>
    <row r="84" spans="57:59" x14ac:dyDescent="0.2">
      <c r="BE84" t="s">
        <v>34</v>
      </c>
      <c r="BF84" t="s">
        <v>20</v>
      </c>
      <c r="BG84">
        <v>22</v>
      </c>
    </row>
    <row r="85" spans="57:59" x14ac:dyDescent="0.2">
      <c r="BE85" t="s">
        <v>34</v>
      </c>
      <c r="BF85" t="s">
        <v>20</v>
      </c>
      <c r="BG85">
        <v>22</v>
      </c>
    </row>
    <row r="86" spans="57:59" x14ac:dyDescent="0.2">
      <c r="BE86" t="s">
        <v>36</v>
      </c>
      <c r="BF86" t="s">
        <v>20</v>
      </c>
      <c r="BG86">
        <v>1</v>
      </c>
    </row>
    <row r="87" spans="57:59" x14ac:dyDescent="0.2">
      <c r="BE87" t="s">
        <v>36</v>
      </c>
      <c r="BF87" t="s">
        <v>20</v>
      </c>
      <c r="BG87">
        <v>1</v>
      </c>
    </row>
    <row r="88" spans="57:59" x14ac:dyDescent="0.2">
      <c r="BE88" t="s">
        <v>36</v>
      </c>
      <c r="BF88" t="s">
        <v>20</v>
      </c>
      <c r="BG88">
        <v>1</v>
      </c>
    </row>
    <row r="89" spans="57:59" x14ac:dyDescent="0.2">
      <c r="BE89" t="s">
        <v>36</v>
      </c>
      <c r="BF89" t="s">
        <v>20</v>
      </c>
      <c r="BG89">
        <v>1</v>
      </c>
    </row>
    <row r="90" spans="57:59" x14ac:dyDescent="0.2">
      <c r="BE90" t="s">
        <v>36</v>
      </c>
      <c r="BF90" t="s">
        <v>20</v>
      </c>
      <c r="BG90">
        <v>1</v>
      </c>
    </row>
    <row r="91" spans="57:59" x14ac:dyDescent="0.2">
      <c r="BE91" t="s">
        <v>36</v>
      </c>
      <c r="BF91" t="s">
        <v>20</v>
      </c>
      <c r="BG91">
        <v>1</v>
      </c>
    </row>
    <row r="92" spans="57:59" x14ac:dyDescent="0.2">
      <c r="BE92" t="s">
        <v>36</v>
      </c>
      <c r="BF92" t="s">
        <v>20</v>
      </c>
      <c r="BG92">
        <v>1</v>
      </c>
    </row>
    <row r="93" spans="57:59" x14ac:dyDescent="0.2">
      <c r="BE93" t="s">
        <v>36</v>
      </c>
      <c r="BF93" t="s">
        <v>20</v>
      </c>
      <c r="BG93">
        <v>1</v>
      </c>
    </row>
    <row r="94" spans="57:59" x14ac:dyDescent="0.2">
      <c r="BE94" t="s">
        <v>36</v>
      </c>
      <c r="BF94" t="s">
        <v>20</v>
      </c>
      <c r="BG94">
        <v>1</v>
      </c>
    </row>
    <row r="95" spans="57:59" x14ac:dyDescent="0.2">
      <c r="BE95" t="s">
        <v>36</v>
      </c>
      <c r="BF95" t="s">
        <v>20</v>
      </c>
      <c r="BG95">
        <v>1</v>
      </c>
    </row>
    <row r="96" spans="57:59" x14ac:dyDescent="0.2">
      <c r="BE96" t="s">
        <v>2</v>
      </c>
      <c r="BF96" t="s">
        <v>20</v>
      </c>
      <c r="BG96">
        <v>3</v>
      </c>
    </row>
    <row r="97" spans="57:59" x14ac:dyDescent="0.2">
      <c r="BE97" t="s">
        <v>2</v>
      </c>
      <c r="BF97" t="s">
        <v>20</v>
      </c>
      <c r="BG97">
        <v>3</v>
      </c>
    </row>
    <row r="98" spans="57:59" x14ac:dyDescent="0.2">
      <c r="BE98" t="s">
        <v>2</v>
      </c>
      <c r="BF98" t="s">
        <v>20</v>
      </c>
      <c r="BG98">
        <v>3</v>
      </c>
    </row>
    <row r="99" spans="57:59" x14ac:dyDescent="0.2">
      <c r="BE99" t="s">
        <v>2</v>
      </c>
      <c r="BF99" t="s">
        <v>20</v>
      </c>
      <c r="BG99">
        <v>3</v>
      </c>
    </row>
    <row r="100" spans="57:59" x14ac:dyDescent="0.2">
      <c r="BE100" t="s">
        <v>2</v>
      </c>
      <c r="BF100" t="s">
        <v>20</v>
      </c>
      <c r="BG100">
        <v>3</v>
      </c>
    </row>
    <row r="101" spans="57:59" x14ac:dyDescent="0.2">
      <c r="BE101" t="s">
        <v>2</v>
      </c>
      <c r="BF101" t="s">
        <v>20</v>
      </c>
      <c r="BG101">
        <v>3</v>
      </c>
    </row>
    <row r="102" spans="57:59" x14ac:dyDescent="0.2">
      <c r="BE102" t="s">
        <v>2</v>
      </c>
      <c r="BF102" t="s">
        <v>20</v>
      </c>
      <c r="BG102">
        <v>3</v>
      </c>
    </row>
    <row r="103" spans="57:59" x14ac:dyDescent="0.2">
      <c r="BE103" t="s">
        <v>2</v>
      </c>
      <c r="BF103" t="s">
        <v>20</v>
      </c>
      <c r="BG103">
        <v>3</v>
      </c>
    </row>
    <row r="104" spans="57:59" x14ac:dyDescent="0.2">
      <c r="BE104" t="s">
        <v>2</v>
      </c>
      <c r="BF104" t="s">
        <v>20</v>
      </c>
      <c r="BG104">
        <v>3</v>
      </c>
    </row>
    <row r="105" spans="57:59" x14ac:dyDescent="0.2">
      <c r="BE105" t="s">
        <v>2</v>
      </c>
      <c r="BF105" t="s">
        <v>20</v>
      </c>
      <c r="BG105">
        <v>3</v>
      </c>
    </row>
    <row r="106" spans="57:59" x14ac:dyDescent="0.2">
      <c r="BE106" t="s">
        <v>39</v>
      </c>
      <c r="BF106" t="s">
        <v>20</v>
      </c>
      <c r="BG106">
        <v>14</v>
      </c>
    </row>
    <row r="107" spans="57:59" x14ac:dyDescent="0.2">
      <c r="BE107" t="s">
        <v>39</v>
      </c>
      <c r="BF107" t="s">
        <v>20</v>
      </c>
      <c r="BG107">
        <v>14</v>
      </c>
    </row>
    <row r="108" spans="57:59" x14ac:dyDescent="0.2">
      <c r="BE108" t="s">
        <v>39</v>
      </c>
      <c r="BF108" t="s">
        <v>20</v>
      </c>
      <c r="BG108">
        <v>14</v>
      </c>
    </row>
    <row r="109" spans="57:59" x14ac:dyDescent="0.2">
      <c r="BE109" t="s">
        <v>39</v>
      </c>
      <c r="BF109" t="s">
        <v>20</v>
      </c>
      <c r="BG109">
        <v>14</v>
      </c>
    </row>
    <row r="110" spans="57:59" x14ac:dyDescent="0.2">
      <c r="BE110" t="s">
        <v>39</v>
      </c>
      <c r="BF110" t="s">
        <v>20</v>
      </c>
      <c r="BG110">
        <v>14</v>
      </c>
    </row>
    <row r="111" spans="57:59" x14ac:dyDescent="0.2">
      <c r="BE111" t="s">
        <v>39</v>
      </c>
      <c r="BF111" t="s">
        <v>20</v>
      </c>
      <c r="BG111">
        <v>14</v>
      </c>
    </row>
    <row r="112" spans="57:59" x14ac:dyDescent="0.2">
      <c r="BE112" t="s">
        <v>39</v>
      </c>
      <c r="BF112" t="s">
        <v>20</v>
      </c>
      <c r="BG112">
        <v>14</v>
      </c>
    </row>
    <row r="113" spans="57:59" x14ac:dyDescent="0.2">
      <c r="BE113" t="s">
        <v>39</v>
      </c>
      <c r="BF113" t="s">
        <v>20</v>
      </c>
      <c r="BG113">
        <v>14</v>
      </c>
    </row>
    <row r="114" spans="57:59" x14ac:dyDescent="0.2">
      <c r="BE114" t="s">
        <v>39</v>
      </c>
      <c r="BF114" t="s">
        <v>20</v>
      </c>
      <c r="BG114">
        <v>14</v>
      </c>
    </row>
    <row r="115" spans="57:59" x14ac:dyDescent="0.2">
      <c r="BE115" t="s">
        <v>39</v>
      </c>
      <c r="BF115" t="s">
        <v>20</v>
      </c>
      <c r="BG115">
        <v>14</v>
      </c>
    </row>
    <row r="116" spans="57:59" x14ac:dyDescent="0.2">
      <c r="BE116" t="s">
        <v>41</v>
      </c>
      <c r="BF116" t="s">
        <v>20</v>
      </c>
      <c r="BG116">
        <v>5</v>
      </c>
    </row>
    <row r="117" spans="57:59" x14ac:dyDescent="0.2">
      <c r="BE117" t="s">
        <v>41</v>
      </c>
      <c r="BF117" t="s">
        <v>20</v>
      </c>
      <c r="BG117">
        <v>5</v>
      </c>
    </row>
    <row r="118" spans="57:59" x14ac:dyDescent="0.2">
      <c r="BE118" t="s">
        <v>41</v>
      </c>
      <c r="BF118" t="s">
        <v>20</v>
      </c>
      <c r="BG118">
        <v>5</v>
      </c>
    </row>
    <row r="119" spans="57:59" x14ac:dyDescent="0.2">
      <c r="BE119" t="s">
        <v>41</v>
      </c>
      <c r="BF119" t="s">
        <v>20</v>
      </c>
      <c r="BG119">
        <v>5</v>
      </c>
    </row>
    <row r="120" spans="57:59" x14ac:dyDescent="0.2">
      <c r="BE120" t="s">
        <v>41</v>
      </c>
      <c r="BF120" t="s">
        <v>20</v>
      </c>
      <c r="BG120">
        <v>5</v>
      </c>
    </row>
    <row r="121" spans="57:59" x14ac:dyDescent="0.2">
      <c r="BE121" t="s">
        <v>41</v>
      </c>
      <c r="BF121" t="s">
        <v>20</v>
      </c>
      <c r="BG121">
        <v>5</v>
      </c>
    </row>
    <row r="122" spans="57:59" x14ac:dyDescent="0.2">
      <c r="BE122" t="s">
        <v>41</v>
      </c>
      <c r="BF122" t="s">
        <v>20</v>
      </c>
      <c r="BG122">
        <v>5</v>
      </c>
    </row>
    <row r="123" spans="57:59" x14ac:dyDescent="0.2">
      <c r="BE123" t="s">
        <v>41</v>
      </c>
      <c r="BF123" t="s">
        <v>20</v>
      </c>
      <c r="BG123">
        <v>5</v>
      </c>
    </row>
    <row r="124" spans="57:59" x14ac:dyDescent="0.2">
      <c r="BE124" t="s">
        <v>41</v>
      </c>
      <c r="BF124" t="s">
        <v>20</v>
      </c>
      <c r="BG124">
        <v>5</v>
      </c>
    </row>
    <row r="125" spans="57:59" x14ac:dyDescent="0.2">
      <c r="BE125" t="s">
        <v>41</v>
      </c>
      <c r="BF125" t="s">
        <v>20</v>
      </c>
      <c r="BG125">
        <v>5</v>
      </c>
    </row>
    <row r="126" spans="57:59" x14ac:dyDescent="0.2">
      <c r="BE126" t="s">
        <v>45</v>
      </c>
      <c r="BF126" t="s">
        <v>20</v>
      </c>
      <c r="BG126">
        <v>2</v>
      </c>
    </row>
    <row r="127" spans="57:59" x14ac:dyDescent="0.2">
      <c r="BE127" t="s">
        <v>45</v>
      </c>
      <c r="BF127" t="s">
        <v>20</v>
      </c>
      <c r="BG127">
        <v>2</v>
      </c>
    </row>
    <row r="128" spans="57:59" x14ac:dyDescent="0.2">
      <c r="BE128" t="s">
        <v>45</v>
      </c>
      <c r="BF128" t="s">
        <v>20</v>
      </c>
      <c r="BG128">
        <v>2</v>
      </c>
    </row>
    <row r="129" spans="57:59" x14ac:dyDescent="0.2">
      <c r="BE129" t="s">
        <v>45</v>
      </c>
      <c r="BF129" t="s">
        <v>20</v>
      </c>
      <c r="BG129">
        <v>2</v>
      </c>
    </row>
    <row r="130" spans="57:59" x14ac:dyDescent="0.2">
      <c r="BE130" t="s">
        <v>45</v>
      </c>
      <c r="BF130" t="s">
        <v>20</v>
      </c>
      <c r="BG130">
        <v>2</v>
      </c>
    </row>
    <row r="131" spans="57:59" x14ac:dyDescent="0.2">
      <c r="BE131" t="s">
        <v>45</v>
      </c>
      <c r="BF131" t="s">
        <v>20</v>
      </c>
      <c r="BG131">
        <v>2</v>
      </c>
    </row>
    <row r="132" spans="57:59" x14ac:dyDescent="0.2">
      <c r="BE132" t="s">
        <v>45</v>
      </c>
      <c r="BF132" t="s">
        <v>20</v>
      </c>
      <c r="BG132">
        <v>2</v>
      </c>
    </row>
    <row r="133" spans="57:59" x14ac:dyDescent="0.2">
      <c r="BE133" t="s">
        <v>45</v>
      </c>
      <c r="BF133" t="s">
        <v>20</v>
      </c>
      <c r="BG133">
        <v>2</v>
      </c>
    </row>
    <row r="134" spans="57:59" x14ac:dyDescent="0.2">
      <c r="BE134" t="s">
        <v>45</v>
      </c>
      <c r="BF134" t="s">
        <v>20</v>
      </c>
      <c r="BG134">
        <v>2</v>
      </c>
    </row>
    <row r="135" spans="57:59" x14ac:dyDescent="0.2">
      <c r="BE135" t="s">
        <v>45</v>
      </c>
      <c r="BF135" t="s">
        <v>20</v>
      </c>
      <c r="BG135">
        <v>2</v>
      </c>
    </row>
    <row r="136" spans="57:59" x14ac:dyDescent="0.2">
      <c r="BE136" t="s">
        <v>48</v>
      </c>
      <c r="BF136" t="s">
        <v>20</v>
      </c>
      <c r="BG136">
        <v>7</v>
      </c>
    </row>
    <row r="137" spans="57:59" x14ac:dyDescent="0.2">
      <c r="BE137" t="s">
        <v>48</v>
      </c>
      <c r="BF137" t="s">
        <v>20</v>
      </c>
      <c r="BG137">
        <v>7</v>
      </c>
    </row>
    <row r="138" spans="57:59" x14ac:dyDescent="0.2">
      <c r="BE138" t="s">
        <v>48</v>
      </c>
      <c r="BF138" t="s">
        <v>20</v>
      </c>
      <c r="BG138">
        <v>7</v>
      </c>
    </row>
    <row r="139" spans="57:59" x14ac:dyDescent="0.2">
      <c r="BE139" t="s">
        <v>48</v>
      </c>
      <c r="BF139" t="s">
        <v>20</v>
      </c>
      <c r="BG139">
        <v>7</v>
      </c>
    </row>
    <row r="140" spans="57:59" x14ac:dyDescent="0.2">
      <c r="BE140" t="s">
        <v>48</v>
      </c>
      <c r="BF140" t="s">
        <v>20</v>
      </c>
      <c r="BG140">
        <v>7</v>
      </c>
    </row>
    <row r="141" spans="57:59" x14ac:dyDescent="0.2">
      <c r="BE141" t="s">
        <v>48</v>
      </c>
      <c r="BF141" t="s">
        <v>20</v>
      </c>
      <c r="BG141">
        <v>7</v>
      </c>
    </row>
    <row r="142" spans="57:59" x14ac:dyDescent="0.2">
      <c r="BE142" t="s">
        <v>48</v>
      </c>
      <c r="BF142" t="s">
        <v>20</v>
      </c>
      <c r="BG142">
        <v>7</v>
      </c>
    </row>
    <row r="143" spans="57:59" x14ac:dyDescent="0.2">
      <c r="BE143" t="s">
        <v>48</v>
      </c>
      <c r="BF143" t="s">
        <v>20</v>
      </c>
      <c r="BG143">
        <v>7</v>
      </c>
    </row>
    <row r="144" spans="57:59" x14ac:dyDescent="0.2">
      <c r="BE144" t="s">
        <v>48</v>
      </c>
      <c r="BF144" t="s">
        <v>20</v>
      </c>
      <c r="BG144">
        <v>7</v>
      </c>
    </row>
    <row r="145" spans="57:59" x14ac:dyDescent="0.2">
      <c r="BE145" t="s">
        <v>48</v>
      </c>
      <c r="BF145" t="s">
        <v>20</v>
      </c>
      <c r="BG145">
        <v>7</v>
      </c>
    </row>
    <row r="146" spans="57:59" x14ac:dyDescent="0.2">
      <c r="BE146" t="s">
        <v>26</v>
      </c>
      <c r="BF146" t="s">
        <v>20</v>
      </c>
      <c r="BG146">
        <v>42</v>
      </c>
    </row>
    <row r="147" spans="57:59" x14ac:dyDescent="0.2">
      <c r="BE147" t="s">
        <v>26</v>
      </c>
      <c r="BF147" t="s">
        <v>20</v>
      </c>
      <c r="BG147">
        <v>42</v>
      </c>
    </row>
    <row r="148" spans="57:59" x14ac:dyDescent="0.2">
      <c r="BE148" t="s">
        <v>26</v>
      </c>
      <c r="BF148" t="s">
        <v>20</v>
      </c>
      <c r="BG148">
        <v>42</v>
      </c>
    </row>
    <row r="149" spans="57:59" x14ac:dyDescent="0.2">
      <c r="BE149" t="s">
        <v>26</v>
      </c>
      <c r="BF149" t="s">
        <v>20</v>
      </c>
      <c r="BG149">
        <v>42</v>
      </c>
    </row>
    <row r="150" spans="57:59" x14ac:dyDescent="0.2">
      <c r="BE150" t="s">
        <v>26</v>
      </c>
      <c r="BF150" t="s">
        <v>20</v>
      </c>
      <c r="BG150">
        <v>42</v>
      </c>
    </row>
    <row r="151" spans="57:59" x14ac:dyDescent="0.2">
      <c r="BE151" t="s">
        <v>26</v>
      </c>
      <c r="BF151" t="s">
        <v>20</v>
      </c>
      <c r="BG151">
        <v>42</v>
      </c>
    </row>
    <row r="152" spans="57:59" x14ac:dyDescent="0.2">
      <c r="BE152" t="s">
        <v>26</v>
      </c>
      <c r="BF152" t="s">
        <v>20</v>
      </c>
      <c r="BG152">
        <v>42</v>
      </c>
    </row>
    <row r="153" spans="57:59" x14ac:dyDescent="0.2">
      <c r="BE153" t="s">
        <v>26</v>
      </c>
      <c r="BF153" t="s">
        <v>20</v>
      </c>
      <c r="BG153">
        <v>42</v>
      </c>
    </row>
    <row r="154" spans="57:59" x14ac:dyDescent="0.2">
      <c r="BE154" t="s">
        <v>26</v>
      </c>
      <c r="BF154" t="s">
        <v>20</v>
      </c>
      <c r="BG154">
        <v>42</v>
      </c>
    </row>
    <row r="155" spans="57:59" x14ac:dyDescent="0.2">
      <c r="BE155" t="s">
        <v>26</v>
      </c>
      <c r="BF155" t="s">
        <v>20</v>
      </c>
      <c r="BG155">
        <v>42</v>
      </c>
    </row>
    <row r="156" spans="57:59" x14ac:dyDescent="0.2">
      <c r="BE156" t="s">
        <v>30</v>
      </c>
      <c r="BF156" t="s">
        <v>20</v>
      </c>
      <c r="BG156">
        <v>17</v>
      </c>
    </row>
    <row r="157" spans="57:59" x14ac:dyDescent="0.2">
      <c r="BE157" t="s">
        <v>30</v>
      </c>
      <c r="BF157" t="s">
        <v>20</v>
      </c>
      <c r="BG157">
        <v>17</v>
      </c>
    </row>
    <row r="158" spans="57:59" x14ac:dyDescent="0.2">
      <c r="BE158" t="s">
        <v>30</v>
      </c>
      <c r="BF158" t="s">
        <v>20</v>
      </c>
      <c r="BG158">
        <v>17</v>
      </c>
    </row>
    <row r="159" spans="57:59" x14ac:dyDescent="0.2">
      <c r="BE159" t="s">
        <v>30</v>
      </c>
      <c r="BF159" t="s">
        <v>20</v>
      </c>
      <c r="BG159">
        <v>17</v>
      </c>
    </row>
    <row r="160" spans="57:59" x14ac:dyDescent="0.2">
      <c r="BE160" t="s">
        <v>30</v>
      </c>
      <c r="BF160" t="s">
        <v>20</v>
      </c>
      <c r="BG160">
        <v>17</v>
      </c>
    </row>
    <row r="161" spans="57:59" x14ac:dyDescent="0.2">
      <c r="BE161" t="s">
        <v>30</v>
      </c>
      <c r="BF161" t="s">
        <v>20</v>
      </c>
      <c r="BG161">
        <v>17</v>
      </c>
    </row>
    <row r="162" spans="57:59" x14ac:dyDescent="0.2">
      <c r="BE162" t="s">
        <v>30</v>
      </c>
      <c r="BF162" t="s">
        <v>20</v>
      </c>
      <c r="BG162">
        <v>17</v>
      </c>
    </row>
    <row r="163" spans="57:59" x14ac:dyDescent="0.2">
      <c r="BE163" t="s">
        <v>30</v>
      </c>
      <c r="BF163" t="s">
        <v>20</v>
      </c>
      <c r="BG163">
        <v>17</v>
      </c>
    </row>
    <row r="164" spans="57:59" x14ac:dyDescent="0.2">
      <c r="BE164" t="s">
        <v>30</v>
      </c>
      <c r="BF164" t="s">
        <v>20</v>
      </c>
      <c r="BG164">
        <v>17</v>
      </c>
    </row>
    <row r="165" spans="57:59" x14ac:dyDescent="0.2">
      <c r="BE165" t="s">
        <v>30</v>
      </c>
      <c r="BF165" t="s">
        <v>20</v>
      </c>
      <c r="BG165">
        <v>17</v>
      </c>
    </row>
    <row r="166" spans="57:59" x14ac:dyDescent="0.2">
      <c r="BE166" t="s">
        <v>53</v>
      </c>
      <c r="BF166" t="s">
        <v>20</v>
      </c>
      <c r="BG166">
        <v>10</v>
      </c>
    </row>
    <row r="167" spans="57:59" x14ac:dyDescent="0.2">
      <c r="BE167" t="s">
        <v>53</v>
      </c>
      <c r="BF167" t="s">
        <v>20</v>
      </c>
      <c r="BG167">
        <v>10</v>
      </c>
    </row>
    <row r="168" spans="57:59" x14ac:dyDescent="0.2">
      <c r="BE168" t="s">
        <v>53</v>
      </c>
      <c r="BF168" t="s">
        <v>20</v>
      </c>
      <c r="BG168">
        <v>10</v>
      </c>
    </row>
    <row r="169" spans="57:59" x14ac:dyDescent="0.2">
      <c r="BE169" t="s">
        <v>53</v>
      </c>
      <c r="BF169" t="s">
        <v>20</v>
      </c>
      <c r="BG169">
        <v>10</v>
      </c>
    </row>
    <row r="170" spans="57:59" x14ac:dyDescent="0.2">
      <c r="BE170" t="s">
        <v>53</v>
      </c>
      <c r="BF170" t="s">
        <v>20</v>
      </c>
      <c r="BG170">
        <v>10</v>
      </c>
    </row>
    <row r="171" spans="57:59" x14ac:dyDescent="0.2">
      <c r="BE171" t="s">
        <v>53</v>
      </c>
      <c r="BF171" t="s">
        <v>20</v>
      </c>
      <c r="BG171">
        <v>10</v>
      </c>
    </row>
    <row r="172" spans="57:59" x14ac:dyDescent="0.2">
      <c r="BE172" t="s">
        <v>53</v>
      </c>
      <c r="BF172" t="s">
        <v>20</v>
      </c>
      <c r="BG172">
        <v>10</v>
      </c>
    </row>
    <row r="173" spans="57:59" x14ac:dyDescent="0.2">
      <c r="BE173" t="s">
        <v>53</v>
      </c>
      <c r="BF173" t="s">
        <v>20</v>
      </c>
      <c r="BG173">
        <v>10</v>
      </c>
    </row>
    <row r="174" spans="57:59" x14ac:dyDescent="0.2">
      <c r="BE174" t="s">
        <v>53</v>
      </c>
      <c r="BF174" t="s">
        <v>20</v>
      </c>
      <c r="BG174">
        <v>10</v>
      </c>
    </row>
    <row r="175" spans="57:59" x14ac:dyDescent="0.2">
      <c r="BE175" t="s">
        <v>53</v>
      </c>
      <c r="BF175" t="s">
        <v>20</v>
      </c>
      <c r="BG175">
        <v>10</v>
      </c>
    </row>
  </sheetData>
  <conditionalFormatting sqref="M3:P18">
    <cfRule type="containsErrors" dxfId="13" priority="6">
      <formula>ISERROR(M3)</formula>
    </cfRule>
  </conditionalFormatting>
  <conditionalFormatting sqref="P26:V41">
    <cfRule type="containsErrors" dxfId="12" priority="5">
      <formula>ISERROR(P26)</formula>
    </cfRule>
  </conditionalFormatting>
  <conditionalFormatting sqref="T26:V41">
    <cfRule type="cellIs" dxfId="11" priority="4" operator="equal">
      <formula>FALSE</formula>
    </cfRule>
  </conditionalFormatting>
  <conditionalFormatting sqref="U3:V18">
    <cfRule type="expression" dxfId="10" priority="3">
      <formula>NOT($T$26:$T$41)</formula>
    </cfRule>
  </conditionalFormatting>
  <conditionalFormatting sqref="X26:Z41">
    <cfRule type="cellIs" dxfId="9" priority="1" operator="equal">
      <formula>FALSE</formula>
    </cfRule>
    <cfRule type="containsErrors" dxfId="8" priority="2">
      <formula>ISERROR(X26)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C50F-C2C7-514A-A362-F65090577DB5}">
  <sheetPr filterMode="1"/>
  <dimension ref="A1:AL110"/>
  <sheetViews>
    <sheetView topLeftCell="A3" zoomScaleNormal="160" workbookViewId="0">
      <pane xSplit="1" topLeftCell="B1" activePane="topRight" state="frozen"/>
      <selection activeCell="X3" sqref="X3:X15"/>
      <selection pane="topRight" activeCell="L60" sqref="L60"/>
    </sheetView>
  </sheetViews>
  <sheetFormatPr baseColWidth="10" defaultRowHeight="16" x14ac:dyDescent="0.2"/>
  <cols>
    <col min="4" max="4" width="10.83203125" style="6"/>
    <col min="5" max="5" width="16.5" customWidth="1"/>
    <col min="6" max="6" width="20" customWidth="1"/>
    <col min="7" max="7" width="23.1640625" customWidth="1"/>
    <col min="8" max="8" width="35.33203125" customWidth="1"/>
    <col min="9" max="10" width="49.83203125" bestFit="1" customWidth="1"/>
    <col min="11" max="11" width="50" bestFit="1" customWidth="1"/>
    <col min="12" max="12" width="20.33203125" customWidth="1"/>
    <col min="13" max="13" width="26" customWidth="1"/>
    <col min="23" max="23" width="18.83203125" customWidth="1"/>
    <col min="24" max="24" width="23" customWidth="1"/>
    <col min="27" max="27" width="22.1640625" customWidth="1"/>
    <col min="28" max="28" width="20.1640625" customWidth="1"/>
    <col min="29" max="29" width="22.1640625" customWidth="1"/>
  </cols>
  <sheetData>
    <row r="1" spans="1:38" x14ac:dyDescent="0.2">
      <c r="A1" t="s">
        <v>60</v>
      </c>
      <c r="B1">
        <v>600</v>
      </c>
      <c r="C1" t="s">
        <v>61</v>
      </c>
      <c r="D1" s="6" t="s">
        <v>62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107</v>
      </c>
      <c r="V1" s="6" t="s">
        <v>17</v>
      </c>
      <c r="W1" s="6" t="s">
        <v>18</v>
      </c>
      <c r="X1" s="6" t="s">
        <v>109</v>
      </c>
      <c r="Y1" s="6" t="s">
        <v>63</v>
      </c>
      <c r="AA1" s="6" t="s">
        <v>17</v>
      </c>
      <c r="AB1" s="6" t="s">
        <v>18</v>
      </c>
      <c r="AC1" s="6" t="s">
        <v>109</v>
      </c>
    </row>
    <row r="3" spans="1:38" x14ac:dyDescent="0.2">
      <c r="B3" s="6" t="s">
        <v>12</v>
      </c>
      <c r="C3" s="6" t="s">
        <v>64</v>
      </c>
      <c r="D3" s="6" t="s">
        <v>63</v>
      </c>
      <c r="E3" s="6" t="s">
        <v>16</v>
      </c>
      <c r="F3" s="6" t="s">
        <v>15</v>
      </c>
      <c r="G3" s="6" t="s">
        <v>14</v>
      </c>
      <c r="H3" s="6" t="s">
        <v>107</v>
      </c>
      <c r="I3" s="6" t="s">
        <v>17</v>
      </c>
      <c r="J3" s="6" t="s">
        <v>18</v>
      </c>
      <c r="K3" s="6" t="s">
        <v>109</v>
      </c>
      <c r="L3" s="6" t="s">
        <v>112</v>
      </c>
      <c r="M3" s="6" t="s">
        <v>113</v>
      </c>
      <c r="N3" s="6" t="s">
        <v>114</v>
      </c>
      <c r="P3" t="s">
        <v>27</v>
      </c>
    </row>
    <row r="4" spans="1:38" hidden="1" x14ac:dyDescent="0.2">
      <c r="A4" t="s">
        <v>65</v>
      </c>
      <c r="B4" s="3" t="s">
        <v>25</v>
      </c>
      <c r="C4" s="8" t="s">
        <v>66</v>
      </c>
      <c r="D4" s="6" cm="1">
        <f t="array" ref="D4">IF(ISBLANK(INDEX($P$2:$Y$60, MATCH(1, ($P$2:$P$60=$A4) * ($Q$2:$Q$60=$B4), 0), MATCH(D$3, $P$1:$Y$1, 0))), "", INDEX($P$2:$Y$60, MATCH(1, ($P$2:$P$60=$A4) * ($Q$2:$Q$60=$B4), 0), MATCH(D$3, $P$1:$Y$1, 0)))</f>
        <v>3</v>
      </c>
      <c r="E4" cm="1">
        <f t="array" ref="E4">INDEX($P$2:$X$60, MATCH(1, ($P$2:$P$60=$A4) * ($Q$2:$Q$60=$B4), 0), MATCH(E$3, $P$1:$X$1, 0))</f>
        <v>1.8779999999999999E-3</v>
      </c>
      <c r="F4" cm="1">
        <f t="array" ref="F4">INDEX($P$2:$X$60, MATCH(1, ($P$2:$P$60=$A4) * ($Q$2:$Q$60=$B4), 0), MATCH(F$3, $P$1:$X$1, 0))</f>
        <v>4.6814000000000001E-2</v>
      </c>
      <c r="G4" cm="1">
        <f t="array" ref="G4">INDEX($P$2:$X$60, MATCH(1, ($P$2:$P$60=$A4) * ($Q$2:$Q$60=$B4), 0), MATCH(G$3, $P$1:$X$1, 0))</f>
        <v>7.6540000000000002E-3</v>
      </c>
      <c r="H4" cm="1">
        <f t="array" ref="H4">INDEX($P$2:$X$60, MATCH(1, ($P$2:$P$60=$A4) * ($Q$2:$Q$60=$B4), 0), MATCH(H$3, $P$1:$X$1, 0))</f>
        <v>5.3489999999999996E-3</v>
      </c>
      <c r="I4" cm="1">
        <f t="array" ref="I4">INDEX($P$2:$X$60, MATCH(1, ($P$2:$P$60=$A4) * ($Q$2:$Q$60=$B4), 0), MATCH(I$3, $P$1:$X$1, 0))</f>
        <v>6.1162790697674421</v>
      </c>
      <c r="J4" cm="1">
        <f t="array" ref="J4">INDEX($P$2:$X$60, MATCH(1, ($P$2:$P$60=$A4) * ($Q$2:$Q$60=$B4), 0), MATCH(J$3, $P$1:$X$1, 0))</f>
        <v>0.24536190227332111</v>
      </c>
      <c r="K4" cm="1">
        <f t="array" ref="K4">INDEX($P$2:$X$60, MATCH(1, ($P$2:$P$60=$A4) * ($Q$2:$Q$60=$B4), 0), MATCH(K$3, $P$1:$X$1, 0))</f>
        <v>0.69885027436634428</v>
      </c>
      <c r="L4" t="b" cm="1">
        <f t="array" ref="L4">INDEX($AA$2:$AC$60, MATCH(1, ($P$2:$P$60=$A4) * ($Q$2:$Q$60=$B4), 0), MATCH(I$3, $AA$1:$AC$1, 0))</f>
        <v>1</v>
      </c>
      <c r="M4" t="b" cm="1">
        <f t="array" ref="M4">INDEX($AA$2:$AC$60, MATCH(1, ($P$2:$P$60=$A4) * ($Q$2:$Q$60=$B4), 0), MATCH(J$3, $AA$1:$AC$1, 0))</f>
        <v>0</v>
      </c>
      <c r="N4" t="b" cm="1">
        <f t="array" ref="N4">INDEX($AA$2:$AC$60, MATCH(1, ($P$2:$P$60=$A4) * ($Q$2:$Q$60=$B4), 0), MATCH(K$3, $AA$1:$AC$1, 0))</f>
        <v>0</v>
      </c>
      <c r="P4" s="6" t="s">
        <v>65</v>
      </c>
      <c r="Q4" s="6" t="s">
        <v>25</v>
      </c>
      <c r="R4">
        <f>small!M3</f>
        <v>7.6540000000000002E-3</v>
      </c>
      <c r="S4">
        <f>small!N3</f>
        <v>4.6814000000000001E-2</v>
      </c>
      <c r="T4">
        <f>small!O3</f>
        <v>1.8779999999999999E-3</v>
      </c>
      <c r="U4">
        <f>small!P3</f>
        <v>5.3489999999999996E-3</v>
      </c>
      <c r="V4">
        <f>small!Q3</f>
        <v>6.1162790697674421</v>
      </c>
      <c r="W4">
        <f>small!R3</f>
        <v>0.24536190227332111</v>
      </c>
      <c r="X4">
        <f>small!S3</f>
        <v>0.69885027436634428</v>
      </c>
      <c r="Y4">
        <v>3</v>
      </c>
      <c r="AA4" t="b">
        <f>small!T26</f>
        <v>1</v>
      </c>
      <c r="AB4" t="b">
        <f>small!U26</f>
        <v>0</v>
      </c>
      <c r="AC4" t="b">
        <f>small!V26</f>
        <v>0</v>
      </c>
      <c r="AJ4" s="10" t="s">
        <v>19</v>
      </c>
      <c r="AK4" s="10" t="s">
        <v>20</v>
      </c>
    </row>
    <row r="5" spans="1:38" x14ac:dyDescent="0.2">
      <c r="A5" t="s">
        <v>67</v>
      </c>
      <c r="B5" s="3" t="s">
        <v>25</v>
      </c>
      <c r="C5" s="8" t="s">
        <v>68</v>
      </c>
      <c r="D5" s="6" cm="1">
        <f t="array" ref="D5">IF(ISBLANK(INDEX($P$2:$Y$60, MATCH(1, ($P$2:$P$60=$A5) * ($Q$2:$Q$60=$B5), 0), MATCH(D$3, $P$1:$Y$1, 0))), "-", INDEX($P$2:$Y$60, MATCH(1, ($P$2:$P$60=$A5) * ($Q$2:$Q$60=$B5), 0), MATCH(D$3, $P$1:$Y$1, 0)))</f>
        <v>15</v>
      </c>
      <c r="E5" cm="1">
        <f t="array" ref="E5">INDEX($P$2:$X$60, MATCH(1, ($P$2:$P$60=$A5) * ($Q$2:$Q$60=$B5), 0), MATCH(E$3, $P$1:$X$1, 0))</f>
        <v>3.7118329999999999</v>
      </c>
      <c r="F5" cm="1">
        <f t="array" ref="F5">INDEX($P$2:$X$60, MATCH(1, ($P$2:$P$60=$A5) * ($Q$2:$Q$60=$B5), 0), MATCH(F$3, $P$1:$X$1, 0))</f>
        <v>0.42259600000000003</v>
      </c>
      <c r="G5" cm="1">
        <f t="array" ref="G5">INDEX($P$2:$X$60, MATCH(1, ($P$2:$P$60=$A5) * ($Q$2:$Q$60=$B5), 0), MATCH(G$3, $P$1:$X$1, 0))</f>
        <v>0.20930399999999999</v>
      </c>
      <c r="H5" cm="1">
        <f t="array" ref="H5">INDEX($P$2:$X$60, MATCH(1, ($P$2:$P$60=$A5) * ($Q$2:$Q$60=$B5), 0), MATCH(H$3, $P$1:$X$1, 0))</f>
        <v>0.213615</v>
      </c>
      <c r="I5" cm="1">
        <f t="array" ref="I5">INDEX($P$2:$X$60, MATCH(1, ($P$2:$P$60=$A5) * ($Q$2:$Q$60=$B5), 0), MATCH(I$3, $P$1:$X$1, 0))</f>
        <v>2.0190536253487754</v>
      </c>
      <c r="J5" cm="1">
        <f t="array" ref="J5">INDEX($P$2:$X$60, MATCH(1, ($P$2:$P$60=$A5) * ($Q$2:$Q$60=$B5), 0), MATCH(J$3, $P$1:$X$1, 0))</f>
        <v>17.734171348851433</v>
      </c>
      <c r="K5" cm="1">
        <f t="array" ref="K5">INDEX($P$2:$X$60, MATCH(1, ($P$2:$P$60=$A5) * ($Q$2:$Q$60=$B5), 0), MATCH(K$3, $P$1:$X$1, 0))</f>
        <v>1.0205968352253183</v>
      </c>
      <c r="L5" t="b" cm="1">
        <f t="array" ref="L5">INDEX($AA$2:$AC$60, MATCH(1, ($P$2:$P$60=$A5) * ($Q$2:$Q$60=$B5), 0), MATCH(I$3, $AA$1:$AC$1, 0))</f>
        <v>1</v>
      </c>
      <c r="M5" t="b" cm="1">
        <f t="array" ref="M5">INDEX($AA$2:$AC$60, MATCH(1, ($P$2:$P$60=$A5) * ($Q$2:$Q$60=$B5), 0), MATCH(J$3, $AA$1:$AC$1, 0))</f>
        <v>1</v>
      </c>
      <c r="N5" t="b" cm="1">
        <f t="array" ref="N5">INDEX($AA$2:$AC$60, MATCH(1, ($P$2:$P$60=$A5) * ($Q$2:$Q$60=$B5), 0), MATCH(K$3, $AA$1:$AC$1, 0))</f>
        <v>0</v>
      </c>
      <c r="P5" s="6" t="s">
        <v>65</v>
      </c>
      <c r="Q5" s="6" t="s">
        <v>29</v>
      </c>
      <c r="R5">
        <f>small!M4</f>
        <v>1.3155E-2</v>
      </c>
      <c r="S5">
        <f>small!N4</f>
        <v>5.4882E-2</v>
      </c>
      <c r="T5">
        <f>small!O4</f>
        <v>1.4890000000000001E-3</v>
      </c>
      <c r="U5">
        <f>small!P4</f>
        <v>1.1920999999999999E-2</v>
      </c>
      <c r="V5">
        <f>small!Q4</f>
        <v>4.1719498289623713</v>
      </c>
      <c r="W5">
        <f>small!R4</f>
        <v>0.11318890155834284</v>
      </c>
      <c r="X5">
        <f>small!S4</f>
        <v>0.90619536297985548</v>
      </c>
      <c r="Y5">
        <v>3</v>
      </c>
      <c r="AA5" t="b">
        <f>small!T27</f>
        <v>1</v>
      </c>
      <c r="AB5" t="b">
        <f>small!U27</f>
        <v>1</v>
      </c>
      <c r="AC5" t="b">
        <f>small!V27</f>
        <v>0</v>
      </c>
      <c r="AJ5" s="5" t="s">
        <v>24</v>
      </c>
      <c r="AK5">
        <v>3</v>
      </c>
      <c r="AL5">
        <v>3</v>
      </c>
    </row>
    <row r="6" spans="1:38" x14ac:dyDescent="0.2">
      <c r="A6" t="s">
        <v>69</v>
      </c>
      <c r="B6" s="3" t="s">
        <v>25</v>
      </c>
      <c r="C6" s="8" t="s">
        <v>70</v>
      </c>
      <c r="D6" s="6" cm="1">
        <f t="array" ref="D6">IF(ISBLANK(INDEX($P$2:$Y$60, MATCH(1, ($P$2:$P$60=$A6) * ($Q$2:$Q$60=$B6), 0), MATCH(D$3, $P$1:$Y$1, 0))), "-", INDEX($P$2:$Y$60, MATCH(1, ($P$2:$P$60=$A6) * ($Q$2:$Q$60=$B6), 0), MATCH(D$3, $P$1:$Y$1, 0)))</f>
        <v>189</v>
      </c>
      <c r="E6" t="e" cm="1">
        <f t="array" ref="E6">INDEX($P$2:$X$60, MATCH(1, ($P$2:$P$60=$A6) * ($Q$2:$Q$60=$B6), 0), MATCH(E$3, $P$1:$X$1, 0))</f>
        <v>#N/A</v>
      </c>
      <c r="F6" t="e" cm="1">
        <f t="array" ref="F6">INDEX($P$2:$X$60, MATCH(1, ($P$2:$P$60=$A6) * ($Q$2:$Q$60=$B6), 0), MATCH(F$3, $P$1:$X$1, 0))</f>
        <v>#N/A</v>
      </c>
      <c r="G6" cm="1">
        <f t="array" ref="G6">INDEX($P$2:$X$60, MATCH(1, ($P$2:$P$60=$A6) * ($Q$2:$Q$60=$B6), 0), MATCH(G$3, $P$1:$X$1, 0))</f>
        <v>39.469213000000003</v>
      </c>
      <c r="H6" cm="1">
        <f t="array" ref="H6">INDEX($P$2:$X$60, MATCH(1, ($P$2:$P$60=$A6) * ($Q$2:$Q$60=$B6), 0), MATCH(H$3, $P$1:$X$1, 0))</f>
        <v>39.521869000000002</v>
      </c>
      <c r="I6" t="str" cm="1">
        <f t="array" ref="I6">INDEX($P$2:$X$60, MATCH(1, ($P$2:$P$60=$A6) * ($Q$2:$Q$60=$B6), 0), MATCH(I$3, $P$1:$X$1, 0))</f>
        <v>DNF</v>
      </c>
      <c r="J6" t="str" cm="1">
        <f t="array" ref="J6">INDEX($P$2:$X$60, MATCH(1, ($P$2:$P$60=$A6) * ($Q$2:$Q$60=$B6), 0), MATCH(J$3, $P$1:$X$1, 0))</f>
        <v>DNF</v>
      </c>
      <c r="K6" cm="1">
        <f t="array" ref="K6">INDEX($P$2:$X$60, MATCH(1, ($P$2:$P$60=$A6) * ($Q$2:$Q$60=$B6), 0), MATCH(K$3, $P$1:$X$1, 0))</f>
        <v>1.0013341031147491</v>
      </c>
      <c r="L6" t="b" cm="1">
        <f t="array" ref="L6">INDEX($AA$2:$AC$60, MATCH(1, ($P$2:$P$60=$A6) * ($Q$2:$Q$60=$B6), 0), MATCH(I$3, $AA$1:$AC$1, 0))</f>
        <v>1</v>
      </c>
      <c r="M6" t="b" cm="1">
        <f t="array" ref="M6">INDEX($AA$2:$AC$60, MATCH(1, ($P$2:$P$60=$A6) * ($Q$2:$Q$60=$B6), 0), MATCH(J$3, $AA$1:$AC$1, 0))</f>
        <v>1</v>
      </c>
      <c r="N6" t="b" cm="1">
        <f t="array" ref="N6">INDEX($AA$2:$AC$60, MATCH(1, ($P$2:$P$60=$A6) * ($Q$2:$Q$60=$B6), 0), MATCH(K$3, $AA$1:$AC$1, 0))</f>
        <v>0</v>
      </c>
      <c r="P6" s="6" t="s">
        <v>65</v>
      </c>
      <c r="Q6" s="6" t="s">
        <v>33</v>
      </c>
      <c r="R6">
        <f>small!M5</f>
        <v>1.2475E-2</v>
      </c>
      <c r="S6">
        <f>small!N5</f>
        <v>4.3912E-2</v>
      </c>
      <c r="T6">
        <f>small!O5</f>
        <v>3.1059999999999998E-3</v>
      </c>
      <c r="U6">
        <f>small!P5</f>
        <v>1.1039E-2</v>
      </c>
      <c r="V6">
        <f>small!Q5</f>
        <v>3.52</v>
      </c>
      <c r="W6">
        <f>small!R5</f>
        <v>0.24897795591182365</v>
      </c>
      <c r="X6">
        <f>small!S5</f>
        <v>0.88488977955911829</v>
      </c>
      <c r="Y6">
        <v>3</v>
      </c>
      <c r="AA6" t="b">
        <f>small!T28</f>
        <v>1</v>
      </c>
      <c r="AB6" t="b">
        <f>small!U28</f>
        <v>0</v>
      </c>
      <c r="AC6" t="b">
        <f>small!V28</f>
        <v>0</v>
      </c>
      <c r="AJ6" s="5" t="s">
        <v>28</v>
      </c>
      <c r="AK6">
        <v>3</v>
      </c>
      <c r="AL6">
        <v>3</v>
      </c>
    </row>
    <row r="7" spans="1:38" hidden="1" x14ac:dyDescent="0.2">
      <c r="A7" t="s">
        <v>65</v>
      </c>
      <c r="B7" s="3" t="s">
        <v>29</v>
      </c>
      <c r="C7" s="11" t="s">
        <v>66</v>
      </c>
      <c r="D7" s="6" cm="1">
        <f t="array" ref="D7">IF(ISBLANK(INDEX($P$2:$Y$60, MATCH(1, ($P$2:$P$60=$A7) * ($Q$2:$Q$60=$B7), 0), MATCH(D$3, $P$1:$Y$1, 0))), "", INDEX($P$2:$Y$60, MATCH(1, ($P$2:$P$60=$A7) * ($Q$2:$Q$60=$B7), 0), MATCH(D$3, $P$1:$Y$1, 0)))</f>
        <v>3</v>
      </c>
      <c r="E7" cm="1">
        <f t="array" ref="E7">INDEX($P$2:$X$60, MATCH(1, ($P$2:$P$60=$A7) * ($Q$2:$Q$60=$B7), 0), MATCH(E$3, $P$1:$X$1, 0))</f>
        <v>1.4890000000000001E-3</v>
      </c>
      <c r="F7" cm="1">
        <f t="array" ref="F7">INDEX($P$2:$X$60, MATCH(1, ($P$2:$P$60=$A7) * ($Q$2:$Q$60=$B7), 0), MATCH(F$3, $P$1:$X$1, 0))</f>
        <v>5.4882E-2</v>
      </c>
      <c r="G7" cm="1">
        <f t="array" ref="G7">INDEX($P$2:$X$60, MATCH(1, ($P$2:$P$60=$A7) * ($Q$2:$Q$60=$B7), 0), MATCH(G$3, $P$1:$X$1, 0))</f>
        <v>1.3155E-2</v>
      </c>
      <c r="H7" cm="1">
        <f t="array" ref="H7">INDEX($P$2:$X$60, MATCH(1, ($P$2:$P$60=$A7) * ($Q$2:$Q$60=$B7), 0), MATCH(H$3, $P$1:$X$1, 0))</f>
        <v>1.1920999999999999E-2</v>
      </c>
      <c r="I7" cm="1">
        <f t="array" ref="I7">INDEX($P$2:$X$60, MATCH(1, ($P$2:$P$60=$A7) * ($Q$2:$Q$60=$B7), 0), MATCH(I$3, $P$1:$X$1, 0))</f>
        <v>4.1719498289623713</v>
      </c>
      <c r="J7" cm="1">
        <f t="array" ref="J7">INDEX($P$2:$X$60, MATCH(1, ($P$2:$P$60=$A7) * ($Q$2:$Q$60=$B7), 0), MATCH(J$3, $P$1:$X$1, 0))</f>
        <v>0.11318890155834284</v>
      </c>
      <c r="K7" cm="1">
        <f t="array" ref="K7">INDEX($P$2:$X$60, MATCH(1, ($P$2:$P$60=$A7) * ($Q$2:$Q$60=$B7), 0), MATCH(K$3, $P$1:$X$1, 0))</f>
        <v>0.90619536297985548</v>
      </c>
      <c r="L7" t="b" cm="1">
        <f t="array" ref="L7">INDEX($AA$2:$AC$60, MATCH(1, ($P$2:$P$60=$A7) * ($Q$2:$Q$60=$B7), 0), MATCH(I$3, $AA$1:$AC$1, 0))</f>
        <v>1</v>
      </c>
      <c r="M7" t="b" cm="1">
        <f t="array" ref="M7">INDEX($AA$2:$AC$60, MATCH(1, ($P$2:$P$60=$A7) * ($Q$2:$Q$60=$B7), 0), MATCH(J$3, $AA$1:$AC$1, 0))</f>
        <v>1</v>
      </c>
      <c r="N7" t="b" cm="1">
        <f t="array" ref="N7">INDEX($AA$2:$AC$60, MATCH(1, ($P$2:$P$60=$A7) * ($Q$2:$Q$60=$B7), 0), MATCH(K$3, $AA$1:$AC$1, 0))</f>
        <v>0</v>
      </c>
      <c r="P7" s="6" t="s">
        <v>65</v>
      </c>
      <c r="Q7" s="6" t="s">
        <v>35</v>
      </c>
      <c r="R7">
        <f>small!M6</f>
        <v>8.9149999999999993E-3</v>
      </c>
      <c r="S7">
        <f>small!N6</f>
        <v>3.5820999999999999E-2</v>
      </c>
      <c r="T7">
        <f>small!O6</f>
        <v>2.1310000000000001E-3</v>
      </c>
      <c r="U7">
        <f>small!P6</f>
        <v>8.5599999999999999E-3</v>
      </c>
      <c r="V7">
        <f>small!Q6</f>
        <v>4.0180594503645546</v>
      </c>
      <c r="W7">
        <f>small!R6</f>
        <v>0.23903533370723504</v>
      </c>
      <c r="X7">
        <f>small!S6</f>
        <v>0.96017947279865401</v>
      </c>
      <c r="Y7">
        <v>2</v>
      </c>
      <c r="AA7" t="b">
        <f>small!T29</f>
        <v>1</v>
      </c>
      <c r="AB7" t="b">
        <f>small!U29</f>
        <v>0</v>
      </c>
      <c r="AC7" t="b">
        <f>small!V29</f>
        <v>0</v>
      </c>
      <c r="AJ7" s="5" t="s">
        <v>32</v>
      </c>
      <c r="AK7">
        <v>3</v>
      </c>
      <c r="AL7">
        <v>3</v>
      </c>
    </row>
    <row r="8" spans="1:38" x14ac:dyDescent="0.2">
      <c r="A8" t="s">
        <v>67</v>
      </c>
      <c r="B8" s="3" t="s">
        <v>29</v>
      </c>
      <c r="C8" s="11" t="s">
        <v>71</v>
      </c>
      <c r="D8" s="6" cm="1">
        <f t="array" ref="D8">IF(ISBLANK(INDEX($P$2:$Y$60, MATCH(1, ($P$2:$P$60=$A8) * ($Q$2:$Q$60=$B8), 0), MATCH(D$3, $P$1:$Y$1, 0))), "-", INDEX($P$2:$Y$60, MATCH(1, ($P$2:$P$60=$A8) * ($Q$2:$Q$60=$B8), 0), MATCH(D$3, $P$1:$Y$1, 0)))</f>
        <v>4</v>
      </c>
      <c r="E8" cm="1">
        <f t="array" ref="E8">INDEX($P$2:$X$60, MATCH(1, ($P$2:$P$60=$A8) * ($Q$2:$Q$60=$B8), 0), MATCH(E$3, $P$1:$X$1, 0))</f>
        <v>4.8585609999999999</v>
      </c>
      <c r="F8" cm="1">
        <f t="array" ref="F8">INDEX($P$2:$X$60, MATCH(1, ($P$2:$P$60=$A8) * ($Q$2:$Q$60=$B8), 0), MATCH(F$3, $P$1:$X$1, 0))</f>
        <v>8.6501999999999996E-2</v>
      </c>
      <c r="G8" cm="1">
        <f t="array" ref="G8">INDEX($P$2:$X$60, MATCH(1, ($P$2:$P$60=$A8) * ($Q$2:$Q$60=$B8), 0), MATCH(G$3, $P$1:$X$1, 0))</f>
        <v>2.0128E-2</v>
      </c>
      <c r="H8" cm="1">
        <f t="array" ref="H8">INDEX($P$2:$X$60, MATCH(1, ($P$2:$P$60=$A8) * ($Q$2:$Q$60=$B8), 0), MATCH(H$3, $P$1:$X$1, 0))</f>
        <v>1.6421000000000002E-2</v>
      </c>
      <c r="I8" cm="1">
        <f t="array" ref="I8">INDEX($P$2:$X$60, MATCH(1, ($P$2:$P$60=$A8) * ($Q$2:$Q$60=$B8), 0), MATCH(I$3, $P$1:$X$1, 0))</f>
        <v>4.2975953895071539</v>
      </c>
      <c r="J8" cm="1">
        <f t="array" ref="J8">INDEX($P$2:$X$60, MATCH(1, ($P$2:$P$60=$A8) * ($Q$2:$Q$60=$B8), 0), MATCH(J$3, $P$1:$X$1, 0))</f>
        <v>241.38319753577105</v>
      </c>
      <c r="K8" cm="1">
        <f t="array" ref="K8">INDEX($P$2:$X$60, MATCH(1, ($P$2:$P$60=$A8) * ($Q$2:$Q$60=$B8), 0), MATCH(K$3, $P$1:$X$1, 0))</f>
        <v>0.81582869634340227</v>
      </c>
      <c r="L8" t="b" cm="1">
        <f t="array" ref="L8">INDEX($AA$2:$AC$60, MATCH(1, ($P$2:$P$60=$A8) * ($Q$2:$Q$60=$B8), 0), MATCH(I$3, $AA$1:$AC$1, 0))</f>
        <v>1</v>
      </c>
      <c r="M8" t="b" cm="1">
        <f t="array" ref="M8">INDEX($AA$2:$AC$60, MATCH(1, ($P$2:$P$60=$A8) * ($Q$2:$Q$60=$B8), 0), MATCH(J$3, $AA$1:$AC$1, 0))</f>
        <v>1</v>
      </c>
      <c r="N8" t="b" cm="1">
        <f t="array" ref="N8">INDEX($AA$2:$AC$60, MATCH(1, ($P$2:$P$60=$A8) * ($Q$2:$Q$60=$B8), 0), MATCH(K$3, $AA$1:$AC$1, 0))</f>
        <v>0</v>
      </c>
      <c r="P8" s="6" t="s">
        <v>65</v>
      </c>
      <c r="Q8" s="6" t="s">
        <v>37</v>
      </c>
      <c r="R8">
        <f>small!M7</f>
        <v>2.8225E-2</v>
      </c>
      <c r="S8">
        <f>small!N7</f>
        <v>0.31134699999999998</v>
      </c>
      <c r="T8">
        <f>small!O7</f>
        <v>6.1700000000000001E-3</v>
      </c>
      <c r="U8">
        <f>small!P7</f>
        <v>2.4934000000000001E-2</v>
      </c>
      <c r="V8">
        <f>small!Q7</f>
        <v>11.030894596988485</v>
      </c>
      <c r="W8">
        <f>small!R7</f>
        <v>0.21860053144375555</v>
      </c>
      <c r="X8">
        <f>small!S7</f>
        <v>0.88340124003542964</v>
      </c>
      <c r="Y8">
        <v>9</v>
      </c>
      <c r="AA8" t="b">
        <f>small!T30</f>
        <v>1</v>
      </c>
      <c r="AB8" t="b">
        <f>small!U30</f>
        <v>1</v>
      </c>
      <c r="AC8" t="b">
        <f>small!V30</f>
        <v>0</v>
      </c>
      <c r="AJ8" s="5" t="s">
        <v>34</v>
      </c>
      <c r="AK8">
        <v>2</v>
      </c>
      <c r="AL8">
        <v>2</v>
      </c>
    </row>
    <row r="9" spans="1:38" x14ac:dyDescent="0.2">
      <c r="A9" t="s">
        <v>69</v>
      </c>
      <c r="B9" s="3" t="s">
        <v>29</v>
      </c>
      <c r="C9" s="11" t="s">
        <v>89</v>
      </c>
      <c r="D9" s="6" cm="1">
        <f t="array" ref="D9">IF(ISBLANK(INDEX($P$2:$Y$60, MATCH(1, ($P$2:$P$60=$A9) * ($Q$2:$Q$60=$B9), 0), MATCH(D$3, $P$1:$Y$1, 0))), "-", INDEX($P$2:$Y$60, MATCH(1, ($P$2:$P$60=$A9) * ($Q$2:$Q$60=$B9), 0), MATCH(D$3, $P$1:$Y$1, 0)))</f>
        <v>9</v>
      </c>
      <c r="E9" cm="1">
        <f t="array" ref="E9">INDEX($P$2:$X$60, MATCH(1, ($P$2:$P$60=$A9) * ($Q$2:$Q$60=$B9), 0), MATCH(E$3, $P$1:$X$1, 0))</f>
        <v>58.664898000000001</v>
      </c>
      <c r="F9" cm="1">
        <f t="array" ref="F9">INDEX($P$2:$X$60, MATCH(1, ($P$2:$P$60=$A9) * ($Q$2:$Q$60=$B9), 0), MATCH(F$3, $P$1:$X$1, 0))</f>
        <v>0.22487099999999999</v>
      </c>
      <c r="G9" cm="1">
        <f t="array" ref="G9">INDEX($P$2:$X$60, MATCH(1, ($P$2:$P$60=$A9) * ($Q$2:$Q$60=$B9), 0), MATCH(G$3, $P$1:$X$1, 0))</f>
        <v>3.7756999999999999E-2</v>
      </c>
      <c r="H9" cm="1">
        <f t="array" ref="H9">INDEX($P$2:$X$60, MATCH(1, ($P$2:$P$60=$A9) * ($Q$2:$Q$60=$B9), 0), MATCH(H$3, $P$1:$X$1, 0))</f>
        <v>3.5411999999999999E-2</v>
      </c>
      <c r="I9" cm="1">
        <f t="array" ref="I9">INDEX($P$2:$X$60, MATCH(1, ($P$2:$P$60=$A9) * ($Q$2:$Q$60=$B9), 0), MATCH(I$3, $P$1:$X$1, 0))</f>
        <v>5.9557433058770561</v>
      </c>
      <c r="J9" cm="1">
        <f t="array" ref="J9">INDEX($P$2:$X$60, MATCH(1, ($P$2:$P$60=$A9) * ($Q$2:$Q$60=$B9), 0), MATCH(J$3, $P$1:$X$1, 0))</f>
        <v>1553.7489207299309</v>
      </c>
      <c r="K9" cm="1">
        <f t="array" ref="K9">INDEX($P$2:$X$60, MATCH(1, ($P$2:$P$60=$A9) * ($Q$2:$Q$60=$B9), 0), MATCH(K$3, $P$1:$X$1, 0))</f>
        <v>0.93789231135948303</v>
      </c>
      <c r="L9" t="b" cm="1">
        <f t="array" ref="L9">INDEX($AA$2:$AC$60, MATCH(1, ($P$2:$P$60=$A9) * ($Q$2:$Q$60=$B9), 0), MATCH(I$3, $AA$1:$AC$1, 0))</f>
        <v>1</v>
      </c>
      <c r="M9" t="b" cm="1">
        <f t="array" ref="M9">INDEX($AA$2:$AC$60, MATCH(1, ($P$2:$P$60=$A9) * ($Q$2:$Q$60=$B9), 0), MATCH(J$3, $AA$1:$AC$1, 0))</f>
        <v>1</v>
      </c>
      <c r="N9" t="b" cm="1">
        <f t="array" ref="N9">INDEX($AA$2:$AC$60, MATCH(1, ($P$2:$P$60=$A9) * ($Q$2:$Q$60=$B9), 0), MATCH(K$3, $AA$1:$AC$1, 0))</f>
        <v>0</v>
      </c>
      <c r="P9" s="6" t="s">
        <v>65</v>
      </c>
      <c r="Q9" s="6" t="s">
        <v>38</v>
      </c>
      <c r="R9">
        <f>small!M8</f>
        <v>1.1313999999999999E-2</v>
      </c>
      <c r="S9">
        <f>small!N8</f>
        <v>7.0066000000000003E-2</v>
      </c>
      <c r="T9">
        <f>small!O8</f>
        <v>2.4269999999999999E-3</v>
      </c>
      <c r="U9">
        <f>small!P8</f>
        <v>9.2339999999999992E-3</v>
      </c>
      <c r="V9">
        <f>small!Q8</f>
        <v>6.1928584055152918</v>
      </c>
      <c r="W9">
        <f>small!R8</f>
        <v>0.21451299275234223</v>
      </c>
      <c r="X9">
        <f>small!S8</f>
        <v>0.81615697366095097</v>
      </c>
      <c r="Y9">
        <v>3</v>
      </c>
      <c r="AA9" t="b">
        <f>small!T31</f>
        <v>1</v>
      </c>
      <c r="AB9" t="b">
        <f>small!U31</f>
        <v>1</v>
      </c>
      <c r="AC9" t="b">
        <f>small!V31</f>
        <v>0</v>
      </c>
      <c r="AJ9" s="5" t="s">
        <v>36</v>
      </c>
      <c r="AK9">
        <v>9</v>
      </c>
      <c r="AL9">
        <v>9</v>
      </c>
    </row>
    <row r="10" spans="1:38" hidden="1" x14ac:dyDescent="0.2">
      <c r="A10" t="s">
        <v>65</v>
      </c>
      <c r="B10" s="3" t="s">
        <v>33</v>
      </c>
      <c r="C10" t="s">
        <v>66</v>
      </c>
      <c r="D10" s="6" cm="1">
        <f t="array" ref="D10">IF(ISBLANK(INDEX($P$2:$Y$60, MATCH(1, ($P$2:$P$60=$A10) * ($Q$2:$Q$60=$B10), 0), MATCH(D$3, $P$1:$Y$1, 0))), "", INDEX($P$2:$Y$60, MATCH(1, ($P$2:$P$60=$A10) * ($Q$2:$Q$60=$B10), 0), MATCH(D$3, $P$1:$Y$1, 0)))</f>
        <v>3</v>
      </c>
      <c r="E10" cm="1">
        <f t="array" ref="E10">INDEX($P$2:$X$60, MATCH(1, ($P$2:$P$60=$A10) * ($Q$2:$Q$60=$B10), 0), MATCH(E$3, $P$1:$X$1, 0))</f>
        <v>3.1059999999999998E-3</v>
      </c>
      <c r="F10" cm="1">
        <f t="array" ref="F10">INDEX($P$2:$X$60, MATCH(1, ($P$2:$P$60=$A10) * ($Q$2:$Q$60=$B10), 0), MATCH(F$3, $P$1:$X$1, 0))</f>
        <v>4.3912E-2</v>
      </c>
      <c r="G10" cm="1">
        <f t="array" ref="G10">INDEX($P$2:$X$60, MATCH(1, ($P$2:$P$60=$A10) * ($Q$2:$Q$60=$B10), 0), MATCH(G$3, $P$1:$X$1, 0))</f>
        <v>1.2475E-2</v>
      </c>
      <c r="H10" cm="1">
        <f t="array" ref="H10">INDEX($P$2:$X$60, MATCH(1, ($P$2:$P$60=$A10) * ($Q$2:$Q$60=$B10), 0), MATCH(H$3, $P$1:$X$1, 0))</f>
        <v>1.1039E-2</v>
      </c>
      <c r="I10" cm="1">
        <f t="array" ref="I10">INDEX($P$2:$X$60, MATCH(1, ($P$2:$P$60=$A10) * ($Q$2:$Q$60=$B10), 0), MATCH(I$3, $P$1:$X$1, 0))</f>
        <v>3.52</v>
      </c>
      <c r="J10" cm="1">
        <f t="array" ref="J10">INDEX($P$2:$X$60, MATCH(1, ($P$2:$P$60=$A10) * ($Q$2:$Q$60=$B10), 0), MATCH(J$3, $P$1:$X$1, 0))</f>
        <v>0.24897795591182365</v>
      </c>
      <c r="K10" cm="1">
        <f t="array" ref="K10">INDEX($P$2:$X$60, MATCH(1, ($P$2:$P$60=$A10) * ($Q$2:$Q$60=$B10), 0), MATCH(K$3, $P$1:$X$1, 0))</f>
        <v>0.88488977955911829</v>
      </c>
      <c r="L10" t="b" cm="1">
        <f t="array" ref="L10">INDEX($AA$2:$AC$60, MATCH(1, ($P$2:$P$60=$A10) * ($Q$2:$Q$60=$B10), 0), MATCH(I$3, $AA$1:$AC$1, 0))</f>
        <v>1</v>
      </c>
      <c r="M10" t="b" cm="1">
        <f t="array" ref="M10">INDEX($AA$2:$AC$60, MATCH(1, ($P$2:$P$60=$A10) * ($Q$2:$Q$60=$B10), 0), MATCH(J$3, $AA$1:$AC$1, 0))</f>
        <v>0</v>
      </c>
      <c r="N10" t="b" cm="1">
        <f t="array" ref="N10">INDEX($AA$2:$AC$60, MATCH(1, ($P$2:$P$60=$A10) * ($Q$2:$Q$60=$B10), 0), MATCH(K$3, $AA$1:$AC$1, 0))</f>
        <v>0</v>
      </c>
      <c r="P10" s="6" t="s">
        <v>65</v>
      </c>
      <c r="Q10" s="6" t="s">
        <v>40</v>
      </c>
      <c r="R10">
        <f>small!M9</f>
        <v>2.3838000000000002E-2</v>
      </c>
      <c r="S10">
        <f>small!N9</f>
        <v>0.17114599999999999</v>
      </c>
      <c r="T10">
        <f>small!O9</f>
        <v>2.7550000000000001E-3</v>
      </c>
      <c r="U10">
        <f>small!P9</f>
        <v>1.8013999999999999E-2</v>
      </c>
      <c r="V10">
        <f>small!Q9</f>
        <v>7.1795452638644175</v>
      </c>
      <c r="W10">
        <f>small!R9</f>
        <v>0.11557177615571776</v>
      </c>
      <c r="X10">
        <f>small!S9</f>
        <v>0.75568420169477291</v>
      </c>
      <c r="Y10">
        <v>5</v>
      </c>
      <c r="AA10" t="b">
        <f>small!T32</f>
        <v>1</v>
      </c>
      <c r="AB10" t="b">
        <f>small!U32</f>
        <v>1</v>
      </c>
      <c r="AC10" t="b">
        <f>small!V32</f>
        <v>0</v>
      </c>
      <c r="AJ10" s="5" t="s">
        <v>2</v>
      </c>
      <c r="AK10">
        <v>3</v>
      </c>
      <c r="AL10">
        <v>3</v>
      </c>
    </row>
    <row r="11" spans="1:38" x14ac:dyDescent="0.2">
      <c r="A11" t="s">
        <v>67</v>
      </c>
      <c r="B11" s="3" t="s">
        <v>33</v>
      </c>
      <c r="C11" t="s">
        <v>74</v>
      </c>
      <c r="D11" s="6" cm="1">
        <f t="array" ref="D11">IF(ISBLANK(INDEX($P$2:$Y$60, MATCH(1, ($P$2:$P$60=$A11) * ($Q$2:$Q$60=$B11), 0), MATCH(D$3, $P$1:$Y$1, 0))), "-", INDEX($P$2:$Y$60, MATCH(1, ($P$2:$P$60=$A11) * ($Q$2:$Q$60=$B11), 0), MATCH(D$3, $P$1:$Y$1, 0)))</f>
        <v>3</v>
      </c>
      <c r="E11" cm="1">
        <f t="array" ref="E11">INDEX($P$2:$X$60, MATCH(1, ($P$2:$P$60=$A11) * ($Q$2:$Q$60=$B11), 0), MATCH(E$3, $P$1:$X$1, 0))</f>
        <v>33.197488999999997</v>
      </c>
      <c r="F11" cm="1">
        <f t="array" ref="F11">INDEX($P$2:$X$60, MATCH(1, ($P$2:$P$60=$A11) * ($Q$2:$Q$60=$B11), 0), MATCH(F$3, $P$1:$X$1, 0))</f>
        <v>0.187528</v>
      </c>
      <c r="G11" cm="1">
        <f t="array" ref="G11">INDEX($P$2:$X$60, MATCH(1, ($P$2:$P$60=$A11) * ($Q$2:$Q$60=$B11), 0), MATCH(G$3, $P$1:$X$1, 0))</f>
        <v>4.7767999999999998E-2</v>
      </c>
      <c r="H11" cm="1">
        <f t="array" ref="H11">INDEX($P$2:$X$60, MATCH(1, ($P$2:$P$60=$A11) * ($Q$2:$Q$60=$B11), 0), MATCH(H$3, $P$1:$X$1, 0))</f>
        <v>4.5340999999999999E-2</v>
      </c>
      <c r="I11" cm="1">
        <f t="array" ref="I11">INDEX($P$2:$X$60, MATCH(1, ($P$2:$P$60=$A11) * ($Q$2:$Q$60=$B11), 0), MATCH(I$3, $P$1:$X$1, 0))</f>
        <v>3.9258080723496902</v>
      </c>
      <c r="J11" cm="1">
        <f t="array" ref="J11">INDEX($P$2:$X$60, MATCH(1, ($P$2:$P$60=$A11) * ($Q$2:$Q$60=$B11), 0), MATCH(J$3, $P$1:$X$1, 0))</f>
        <v>694.97339222910728</v>
      </c>
      <c r="K11" cm="1">
        <f t="array" ref="K11">INDEX($P$2:$X$60, MATCH(1, ($P$2:$P$60=$A11) * ($Q$2:$Q$60=$B11), 0), MATCH(K$3, $P$1:$X$1, 0))</f>
        <v>0.94919192765030991</v>
      </c>
      <c r="L11" t="b" cm="1">
        <f t="array" ref="L11">INDEX($AA$2:$AC$60, MATCH(1, ($P$2:$P$60=$A11) * ($Q$2:$Q$60=$B11), 0), MATCH(I$3, $AA$1:$AC$1, 0))</f>
        <v>1</v>
      </c>
      <c r="M11" t="b" cm="1">
        <f t="array" ref="M11">INDEX($AA$2:$AC$60, MATCH(1, ($P$2:$P$60=$A11) * ($Q$2:$Q$60=$B11), 0), MATCH(J$3, $AA$1:$AC$1, 0))</f>
        <v>1</v>
      </c>
      <c r="N11" t="b" cm="1">
        <f t="array" ref="N11">INDEX($AA$2:$AC$60, MATCH(1, ($P$2:$P$60=$A11) * ($Q$2:$Q$60=$B11), 0), MATCH(K$3, $AA$1:$AC$1, 0))</f>
        <v>0</v>
      </c>
      <c r="P11" s="6" t="s">
        <v>65</v>
      </c>
      <c r="Q11" s="6" t="s">
        <v>42</v>
      </c>
      <c r="R11">
        <f>small!M10</f>
        <v>6.463E-3</v>
      </c>
      <c r="S11">
        <f>small!N10</f>
        <v>4.7777E-2</v>
      </c>
      <c r="T11">
        <f>small!O10</f>
        <v>1.9889999999999999E-3</v>
      </c>
      <c r="U11">
        <f>small!P10</f>
        <v>5.2269999999999999E-3</v>
      </c>
      <c r="V11">
        <f>small!Q10</f>
        <v>7.3923874361751505</v>
      </c>
      <c r="W11">
        <f>small!R10</f>
        <v>0.30775181804115737</v>
      </c>
      <c r="X11">
        <f>small!S10</f>
        <v>0.80875754293671664</v>
      </c>
      <c r="Y11">
        <v>3</v>
      </c>
      <c r="AA11" t="b">
        <f>small!T33</f>
        <v>1</v>
      </c>
      <c r="AB11" t="b">
        <f>small!U33</f>
        <v>1</v>
      </c>
      <c r="AC11" t="b">
        <f>small!V33</f>
        <v>0</v>
      </c>
      <c r="AJ11" s="5" t="s">
        <v>39</v>
      </c>
      <c r="AK11">
        <v>5</v>
      </c>
      <c r="AL11">
        <v>3</v>
      </c>
    </row>
    <row r="12" spans="1:38" x14ac:dyDescent="0.2">
      <c r="A12" t="s">
        <v>69</v>
      </c>
      <c r="B12" s="3" t="s">
        <v>33</v>
      </c>
      <c r="C12" t="s">
        <v>75</v>
      </c>
      <c r="D12" s="6" cm="1">
        <f t="array" ref="D12">IF(ISBLANK(INDEX($P$2:$Y$60, MATCH(1, ($P$2:$P$60=$A12) * ($Q$2:$Q$60=$B12), 0), MATCH(D$3, $P$1:$Y$1, 0))), "-", INDEX($P$2:$Y$60, MATCH(1, ($P$2:$P$60=$A12) * ($Q$2:$Q$60=$B12), 0), MATCH(D$3, $P$1:$Y$1, 0)))</f>
        <v>4</v>
      </c>
      <c r="E12" t="e" cm="1">
        <f t="array" ref="E12">INDEX($P$2:$X$60, MATCH(1, ($P$2:$P$60=$A12) * ($Q$2:$Q$60=$B12), 0), MATCH(E$3, $P$1:$X$1, 0))</f>
        <v>#N/A</v>
      </c>
      <c r="F12" cm="1">
        <f t="array" ref="F12">INDEX($P$2:$X$60, MATCH(1, ($P$2:$P$60=$A12) * ($Q$2:$Q$60=$B12), 0), MATCH(F$3, $P$1:$X$1, 0))</f>
        <v>0.669624</v>
      </c>
      <c r="G12" cm="1">
        <f t="array" ref="G12">INDEX($P$2:$X$60, MATCH(1, ($P$2:$P$60=$A12) * ($Q$2:$Q$60=$B12), 0), MATCH(G$3, $P$1:$X$1, 0))</f>
        <v>0.177232</v>
      </c>
      <c r="H12" cm="1">
        <f t="array" ref="H12">INDEX($P$2:$X$60, MATCH(1, ($P$2:$P$60=$A12) * ($Q$2:$Q$60=$B12), 0), MATCH(H$3, $P$1:$X$1, 0))</f>
        <v>0.172121</v>
      </c>
      <c r="I12" cm="1">
        <f t="array" ref="I12">INDEX($P$2:$X$60, MATCH(1, ($P$2:$P$60=$A12) * ($Q$2:$Q$60=$B12), 0), MATCH(I$3, $P$1:$X$1, 0))</f>
        <v>3.778234178929313</v>
      </c>
      <c r="J12" t="str" cm="1">
        <f t="array" ref="J12">INDEX($P$2:$X$60, MATCH(1, ($P$2:$P$60=$A12) * ($Q$2:$Q$60=$B12), 0), MATCH(J$3, $P$1:$X$1, 0))</f>
        <v>DNF</v>
      </c>
      <c r="K12" cm="1">
        <f t="array" ref="K12">INDEX($P$2:$X$60, MATCH(1, ($P$2:$P$60=$A12) * ($Q$2:$Q$60=$B12), 0), MATCH(K$3, $P$1:$X$1, 0))</f>
        <v>0.97116209262435671</v>
      </c>
      <c r="L12" t="b" cm="1">
        <f t="array" ref="L12">INDEX($AA$2:$AC$60, MATCH(1, ($P$2:$P$60=$A12) * ($Q$2:$Q$60=$B12), 0), MATCH(I$3, $AA$1:$AC$1, 0))</f>
        <v>1</v>
      </c>
      <c r="M12" t="b" cm="1">
        <f t="array" ref="M12">INDEX($AA$2:$AC$60, MATCH(1, ($P$2:$P$60=$A12) * ($Q$2:$Q$60=$B12), 0), MATCH(J$3, $AA$1:$AC$1, 0))</f>
        <v>1</v>
      </c>
      <c r="N12" t="b" cm="1">
        <f t="array" ref="N12">INDEX($AA$2:$AC$60, MATCH(1, ($P$2:$P$60=$A12) * ($Q$2:$Q$60=$B12), 0), MATCH(K$3, $AA$1:$AC$1, 0))</f>
        <v>0</v>
      </c>
      <c r="P12" s="6" t="s">
        <v>65</v>
      </c>
      <c r="Q12" s="6" t="s">
        <v>44</v>
      </c>
      <c r="R12">
        <f>small!M11</f>
        <v>1.3899E-2</v>
      </c>
      <c r="S12">
        <f>small!N11</f>
        <v>0.32746900000000001</v>
      </c>
      <c r="T12">
        <f>small!O11</f>
        <v>4.0720000000000001E-3</v>
      </c>
      <c r="U12">
        <f>small!P11</f>
        <v>8.5550000000000001E-3</v>
      </c>
      <c r="V12">
        <f>small!Q11</f>
        <v>23.560615871645442</v>
      </c>
      <c r="W12">
        <f>small!R11</f>
        <v>0.29297071731779267</v>
      </c>
      <c r="X12">
        <f>small!S11</f>
        <v>0.61551190733146266</v>
      </c>
      <c r="Y12">
        <v>17</v>
      </c>
      <c r="AA12" t="b">
        <f>small!T34</f>
        <v>1</v>
      </c>
      <c r="AB12" t="b">
        <f>small!U34</f>
        <v>1</v>
      </c>
      <c r="AC12" t="b">
        <f>small!V34</f>
        <v>0</v>
      </c>
      <c r="AJ12" s="5" t="s">
        <v>41</v>
      </c>
      <c r="AK12">
        <v>3</v>
      </c>
      <c r="AL12">
        <v>3</v>
      </c>
    </row>
    <row r="13" spans="1:38" hidden="1" x14ac:dyDescent="0.2">
      <c r="A13" t="s">
        <v>65</v>
      </c>
      <c r="B13" s="3" t="s">
        <v>35</v>
      </c>
      <c r="C13" t="s">
        <v>66</v>
      </c>
      <c r="D13" s="6" cm="1">
        <f t="array" ref="D13">IF(ISBLANK(INDEX($P$2:$Y$60, MATCH(1, ($P$2:$P$60=$A13) * ($Q$2:$Q$60=$B13), 0), MATCH(D$3, $P$1:$Y$1, 0))), "", INDEX($P$2:$Y$60, MATCH(1, ($P$2:$P$60=$A13) * ($Q$2:$Q$60=$B13), 0), MATCH(D$3, $P$1:$Y$1, 0)))</f>
        <v>2</v>
      </c>
      <c r="E13" cm="1">
        <f t="array" ref="E13">INDEX($P$2:$X$60, MATCH(1, ($P$2:$P$60=$A13) * ($Q$2:$Q$60=$B13), 0), MATCH(E$3, $P$1:$X$1, 0))</f>
        <v>2.1310000000000001E-3</v>
      </c>
      <c r="F13" cm="1">
        <f t="array" ref="F13">INDEX($P$2:$X$60, MATCH(1, ($P$2:$P$60=$A13) * ($Q$2:$Q$60=$B13), 0), MATCH(F$3, $P$1:$X$1, 0))</f>
        <v>3.5820999999999999E-2</v>
      </c>
      <c r="G13" cm="1">
        <f t="array" ref="G13">INDEX($P$2:$X$60, MATCH(1, ($P$2:$P$60=$A13) * ($Q$2:$Q$60=$B13), 0), MATCH(G$3, $P$1:$X$1, 0))</f>
        <v>8.9149999999999993E-3</v>
      </c>
      <c r="H13" cm="1">
        <f t="array" ref="H13">INDEX($P$2:$X$60, MATCH(1, ($P$2:$P$60=$A13) * ($Q$2:$Q$60=$B13), 0), MATCH(H$3, $P$1:$X$1, 0))</f>
        <v>8.5599999999999999E-3</v>
      </c>
      <c r="I13" cm="1">
        <f t="array" ref="I13">INDEX($P$2:$X$60, MATCH(1, ($P$2:$P$60=$A13) * ($Q$2:$Q$60=$B13), 0), MATCH(I$3, $P$1:$X$1, 0))</f>
        <v>4.0180594503645546</v>
      </c>
      <c r="J13" cm="1">
        <f t="array" ref="J13">INDEX($P$2:$X$60, MATCH(1, ($P$2:$P$60=$A13) * ($Q$2:$Q$60=$B13), 0), MATCH(J$3, $P$1:$X$1, 0))</f>
        <v>0.23903533370723504</v>
      </c>
      <c r="K13" cm="1">
        <f t="array" ref="K13">INDEX($P$2:$X$60, MATCH(1, ($P$2:$P$60=$A13) * ($Q$2:$Q$60=$B13), 0), MATCH(K$3, $P$1:$X$1, 0))</f>
        <v>0.96017947279865401</v>
      </c>
      <c r="L13" t="b" cm="1">
        <f t="array" ref="L13">INDEX($AA$2:$AC$60, MATCH(1, ($P$2:$P$60=$A13) * ($Q$2:$Q$60=$B13), 0), MATCH(I$3, $AA$1:$AC$1, 0))</f>
        <v>1</v>
      </c>
      <c r="M13" t="b" cm="1">
        <f t="array" ref="M13">INDEX($AA$2:$AC$60, MATCH(1, ($P$2:$P$60=$A13) * ($Q$2:$Q$60=$B13), 0), MATCH(J$3, $AA$1:$AC$1, 0))</f>
        <v>0</v>
      </c>
      <c r="N13" t="b" cm="1">
        <f t="array" ref="N13">INDEX($AA$2:$AC$60, MATCH(1, ($P$2:$P$60=$A13) * ($Q$2:$Q$60=$B13), 0), MATCH(K$3, $AA$1:$AC$1, 0))</f>
        <v>0</v>
      </c>
      <c r="P13" s="6" t="s">
        <v>65</v>
      </c>
      <c r="Q13" s="6" t="s">
        <v>47</v>
      </c>
      <c r="R13">
        <f>small!M12</f>
        <v>1.4302E-2</v>
      </c>
      <c r="S13">
        <f>small!N12</f>
        <v>7.6815999999999995E-2</v>
      </c>
      <c r="T13">
        <f>small!O12</f>
        <v>2.519E-3</v>
      </c>
      <c r="U13">
        <f>small!P12</f>
        <v>1.2097999999999999E-2</v>
      </c>
      <c r="V13">
        <f>small!Q12</f>
        <v>5.370997063347783</v>
      </c>
      <c r="W13">
        <f>small!R12</f>
        <v>0.17612921269752482</v>
      </c>
      <c r="X13">
        <f>small!S12</f>
        <v>0.84589567892602424</v>
      </c>
      <c r="Y13">
        <v>3</v>
      </c>
      <c r="AA13" t="b">
        <f>small!T35</f>
        <v>1</v>
      </c>
      <c r="AB13" t="b">
        <f>small!U35</f>
        <v>1</v>
      </c>
      <c r="AC13" t="b">
        <f>small!V35</f>
        <v>0</v>
      </c>
      <c r="AJ13" s="5" t="s">
        <v>43</v>
      </c>
      <c r="AK13">
        <v>17</v>
      </c>
      <c r="AL13">
        <v>17</v>
      </c>
    </row>
    <row r="14" spans="1:38" x14ac:dyDescent="0.2">
      <c r="A14" t="s">
        <v>67</v>
      </c>
      <c r="B14" s="3" t="s">
        <v>35</v>
      </c>
      <c r="C14" t="s">
        <v>76</v>
      </c>
      <c r="D14" s="6" cm="1">
        <f t="array" ref="D14">IF(ISBLANK(INDEX($P$2:$Y$60, MATCH(1, ($P$2:$P$60=$A14) * ($Q$2:$Q$60=$B14), 0), MATCH(D$3, $P$1:$Y$1, 0))), "-", INDEX($P$2:$Y$60, MATCH(1, ($P$2:$P$60=$A14) * ($Q$2:$Q$60=$B14), 0), MATCH(D$3, $P$1:$Y$1, 0)))</f>
        <v>5</v>
      </c>
      <c r="E14" cm="1">
        <f t="array" ref="E14">INDEX($P$2:$X$60, MATCH(1, ($P$2:$P$60=$A14) * ($Q$2:$Q$60=$B14), 0), MATCH(E$3, $P$1:$X$1, 0))</f>
        <v>139.447811</v>
      </c>
      <c r="F14" cm="1">
        <f t="array" ref="F14">INDEX($P$2:$X$60, MATCH(1, ($P$2:$P$60=$A14) * ($Q$2:$Q$60=$B14), 0), MATCH(F$3, $P$1:$X$1, 0))</f>
        <v>0.56497600000000003</v>
      </c>
      <c r="G14" cm="1">
        <f t="array" ref="G14">INDEX($P$2:$X$60, MATCH(1, ($P$2:$P$60=$A14) * ($Q$2:$Q$60=$B14), 0), MATCH(G$3, $P$1:$X$1, 0))</f>
        <v>8.3239999999999995E-2</v>
      </c>
      <c r="H14" cm="1">
        <f t="array" ref="H14">INDEX($P$2:$X$60, MATCH(1, ($P$2:$P$60=$A14) * ($Q$2:$Q$60=$B14), 0), MATCH(H$3, $P$1:$X$1, 0))</f>
        <v>7.5221999999999997E-2</v>
      </c>
      <c r="I14" cm="1">
        <f t="array" ref="I14">INDEX($P$2:$X$60, MATCH(1, ($P$2:$P$60=$A14) * ($Q$2:$Q$60=$B14), 0), MATCH(I$3, $P$1:$X$1, 0))</f>
        <v>6.7873137914464206</v>
      </c>
      <c r="J14" cm="1">
        <f t="array" ref="J14">INDEX($P$2:$X$60, MATCH(1, ($P$2:$P$60=$A14) * ($Q$2:$Q$60=$B14), 0), MATCH(J$3, $P$1:$X$1, 0))</f>
        <v>1675.2500120134553</v>
      </c>
      <c r="K14" cm="1">
        <f t="array" ref="K14">INDEX($P$2:$X$60, MATCH(1, ($P$2:$P$60=$A14) * ($Q$2:$Q$60=$B14), 0), MATCH(K$3, $P$1:$X$1, 0))</f>
        <v>0.90367611725132146</v>
      </c>
      <c r="L14" t="b" cm="1">
        <f t="array" ref="L14">INDEX($AA$2:$AC$60, MATCH(1, ($P$2:$P$60=$A14) * ($Q$2:$Q$60=$B14), 0), MATCH(I$3, $AA$1:$AC$1, 0))</f>
        <v>1</v>
      </c>
      <c r="M14" t="b" cm="1">
        <f t="array" ref="M14">INDEX($AA$2:$AC$60, MATCH(1, ($P$2:$P$60=$A14) * ($Q$2:$Q$60=$B14), 0), MATCH(J$3, $AA$1:$AC$1, 0))</f>
        <v>1</v>
      </c>
      <c r="N14" t="b" cm="1">
        <f t="array" ref="N14">INDEX($AA$2:$AC$60, MATCH(1, ($P$2:$P$60=$A14) * ($Q$2:$Q$60=$B14), 0), MATCH(K$3, $AA$1:$AC$1, 0))</f>
        <v>0</v>
      </c>
      <c r="P14" s="6" t="s">
        <v>65</v>
      </c>
      <c r="Q14" s="6" t="s">
        <v>49</v>
      </c>
      <c r="R14">
        <f>small!M13</f>
        <v>1.1875E-2</v>
      </c>
      <c r="S14">
        <f>small!N13</f>
        <v>3.7601000000000002E-2</v>
      </c>
      <c r="T14">
        <f>small!O13</f>
        <v>2.0479999999999999E-3</v>
      </c>
      <c r="U14">
        <f>small!P13</f>
        <v>9.5499999999999995E-3</v>
      </c>
      <c r="V14">
        <f>small!Q13</f>
        <v>3.1664000000000003</v>
      </c>
      <c r="W14">
        <f>small!R13</f>
        <v>0.17246315789473685</v>
      </c>
      <c r="X14">
        <f>small!S13</f>
        <v>0.80421052631578938</v>
      </c>
      <c r="Y14">
        <v>2</v>
      </c>
      <c r="AA14" t="b">
        <f>small!T36</f>
        <v>1</v>
      </c>
      <c r="AB14" t="b">
        <f>small!U36</f>
        <v>0</v>
      </c>
      <c r="AC14" t="b">
        <f>small!V36</f>
        <v>0</v>
      </c>
      <c r="AJ14" s="5" t="s">
        <v>46</v>
      </c>
      <c r="AK14">
        <v>3</v>
      </c>
      <c r="AL14">
        <v>3</v>
      </c>
    </row>
    <row r="15" spans="1:38" x14ac:dyDescent="0.2">
      <c r="A15" t="s">
        <v>69</v>
      </c>
      <c r="B15" s="3" t="s">
        <v>35</v>
      </c>
      <c r="C15" t="s">
        <v>77</v>
      </c>
      <c r="D15" s="6" cm="1">
        <f t="array" ref="D15">IF(ISBLANK(INDEX($P$2:$Y$60, MATCH(1, ($P$2:$P$60=$A15) * ($Q$2:$Q$60=$B15), 0), MATCH(D$3, $P$1:$Y$1, 0))), "-", INDEX($P$2:$Y$60, MATCH(1, ($P$2:$P$60=$A15) * ($Q$2:$Q$60=$B15), 0), MATCH(D$3, $P$1:$Y$1, 0)))</f>
        <v>22</v>
      </c>
      <c r="E15" t="e" cm="1">
        <f t="array" ref="E15">INDEX($P$2:$X$60, MATCH(1, ($P$2:$P$60=$A15) * ($Q$2:$Q$60=$B15), 0), MATCH(E$3, $P$1:$X$1, 0))</f>
        <v>#N/A</v>
      </c>
      <c r="F15" cm="1">
        <f t="array" ref="F15">INDEX($P$2:$X$60, MATCH(1, ($P$2:$P$60=$A15) * ($Q$2:$Q$60=$B15), 0), MATCH(F$3, $P$1:$X$1, 0))</f>
        <v>14.777259000000001</v>
      </c>
      <c r="G15" cm="1">
        <f t="array" ref="G15">INDEX($P$2:$X$60, MATCH(1, ($P$2:$P$60=$A15) * ($Q$2:$Q$60=$B15), 0), MATCH(G$3, $P$1:$X$1, 0))</f>
        <v>1.1081350000000001</v>
      </c>
      <c r="H15" cm="1">
        <f t="array" ref="H15">INDEX($P$2:$X$60, MATCH(1, ($P$2:$P$60=$A15) * ($Q$2:$Q$60=$B15), 0), MATCH(H$3, $P$1:$X$1, 0))</f>
        <v>1.1151880000000001</v>
      </c>
      <c r="I15" cm="1">
        <f t="array" ref="I15">INDEX($P$2:$X$60, MATCH(1, ($P$2:$P$60=$A15) * ($Q$2:$Q$60=$B15), 0), MATCH(I$3, $P$1:$X$1, 0))</f>
        <v>13.335251571333817</v>
      </c>
      <c r="J15" t="str" cm="1">
        <f t="array" ref="J15">INDEX($P$2:$X$60, MATCH(1, ($P$2:$P$60=$A15) * ($Q$2:$Q$60=$B15), 0), MATCH(J$3, $P$1:$X$1, 0))</f>
        <v>DNF</v>
      </c>
      <c r="K15" cm="1">
        <f t="array" ref="K15">INDEX($P$2:$X$60, MATCH(1, ($P$2:$P$60=$A15) * ($Q$2:$Q$60=$B15), 0), MATCH(K$3, $P$1:$X$1, 0))</f>
        <v>1.0063647479774576</v>
      </c>
      <c r="L15" t="b" cm="1">
        <f t="array" ref="L15">INDEX($AA$2:$AC$60, MATCH(1, ($P$2:$P$60=$A15) * ($Q$2:$Q$60=$B15), 0), MATCH(I$3, $AA$1:$AC$1, 0))</f>
        <v>1</v>
      </c>
      <c r="M15" t="b" cm="1">
        <f t="array" ref="M15">INDEX($AA$2:$AC$60, MATCH(1, ($P$2:$P$60=$A15) * ($Q$2:$Q$60=$B15), 0), MATCH(J$3, $AA$1:$AC$1, 0))</f>
        <v>1</v>
      </c>
      <c r="N15" t="b" cm="1">
        <f t="array" ref="N15">INDEX($AA$2:$AC$60, MATCH(1, ($P$2:$P$60=$A15) * ($Q$2:$Q$60=$B15), 0), MATCH(K$3, $AA$1:$AC$1, 0))</f>
        <v>0</v>
      </c>
      <c r="P15" s="6" t="s">
        <v>65</v>
      </c>
      <c r="Q15" s="6" t="s">
        <v>50</v>
      </c>
      <c r="R15">
        <f>small!M14</f>
        <v>1.1764E-2</v>
      </c>
      <c r="S15">
        <f>small!N14</f>
        <v>9.8845000000000002E-2</v>
      </c>
      <c r="T15">
        <f>small!O14</f>
        <v>3.7420000000000001E-3</v>
      </c>
      <c r="U15">
        <f>small!P14</f>
        <v>9.8010000000000007E-3</v>
      </c>
      <c r="V15">
        <f>small!Q14</f>
        <v>8.4023291397483852</v>
      </c>
      <c r="W15">
        <f>small!R14</f>
        <v>0.3180890853451207</v>
      </c>
      <c r="X15">
        <f>small!S14</f>
        <v>0.83313498809928599</v>
      </c>
      <c r="Y15">
        <v>5</v>
      </c>
      <c r="AA15" t="b">
        <f>small!T37</f>
        <v>1</v>
      </c>
      <c r="AB15" t="b">
        <f>small!U37</f>
        <v>0</v>
      </c>
      <c r="AC15" t="b">
        <f>small!V37</f>
        <v>0</v>
      </c>
      <c r="AJ15" s="5" t="s">
        <v>45</v>
      </c>
      <c r="AK15">
        <v>2</v>
      </c>
      <c r="AL15">
        <v>2</v>
      </c>
    </row>
    <row r="16" spans="1:38" hidden="1" x14ac:dyDescent="0.2">
      <c r="A16" t="s">
        <v>65</v>
      </c>
      <c r="B16" s="3" t="s">
        <v>37</v>
      </c>
      <c r="C16" s="11" t="s">
        <v>71</v>
      </c>
      <c r="D16" s="6" cm="1">
        <f t="array" ref="D16">IF(ISBLANK(INDEX($P$2:$Y$60, MATCH(1, ($P$2:$P$60=$A16) * ($Q$2:$Q$60=$B16), 0), MATCH(D$3, $P$1:$Y$1, 0))), "", INDEX($P$2:$Y$60, MATCH(1, ($P$2:$P$60=$A16) * ($Q$2:$Q$60=$B16), 0), MATCH(D$3, $P$1:$Y$1, 0)))</f>
        <v>9</v>
      </c>
      <c r="E16" cm="1">
        <f t="array" ref="E16">INDEX($P$2:$X$60, MATCH(1, ($P$2:$P$60=$A16) * ($Q$2:$Q$60=$B16), 0), MATCH(E$3, $P$1:$X$1, 0))</f>
        <v>6.1700000000000001E-3</v>
      </c>
      <c r="F16" cm="1">
        <f t="array" ref="F16">INDEX($P$2:$X$60, MATCH(1, ($P$2:$P$60=$A16) * ($Q$2:$Q$60=$B16), 0), MATCH(F$3, $P$1:$X$1, 0))</f>
        <v>0.31134699999999998</v>
      </c>
      <c r="G16" cm="1">
        <f t="array" ref="G16">INDEX($P$2:$X$60, MATCH(1, ($P$2:$P$60=$A16) * ($Q$2:$Q$60=$B16), 0), MATCH(G$3, $P$1:$X$1, 0))</f>
        <v>2.8225E-2</v>
      </c>
      <c r="H16" cm="1">
        <f t="array" ref="H16">INDEX($P$2:$X$60, MATCH(1, ($P$2:$P$60=$A16) * ($Q$2:$Q$60=$B16), 0), MATCH(H$3, $P$1:$X$1, 0))</f>
        <v>2.4934000000000001E-2</v>
      </c>
      <c r="I16" cm="1">
        <f t="array" ref="I16">INDEX($P$2:$X$60, MATCH(1, ($P$2:$P$60=$A16) * ($Q$2:$Q$60=$B16), 0), MATCH(I$3, $P$1:$X$1, 0))</f>
        <v>11.030894596988485</v>
      </c>
      <c r="J16" cm="1">
        <f t="array" ref="J16">INDEX($P$2:$X$60, MATCH(1, ($P$2:$P$60=$A16) * ($Q$2:$Q$60=$B16), 0), MATCH(J$3, $P$1:$X$1, 0))</f>
        <v>0.21860053144375555</v>
      </c>
      <c r="K16" cm="1">
        <f t="array" ref="K16">INDEX($P$2:$X$60, MATCH(1, ($P$2:$P$60=$A16) * ($Q$2:$Q$60=$B16), 0), MATCH(K$3, $P$1:$X$1, 0))</f>
        <v>0.88340124003542964</v>
      </c>
      <c r="L16" t="b" cm="1">
        <f t="array" ref="L16">INDEX($AA$2:$AC$60, MATCH(1, ($P$2:$P$60=$A16) * ($Q$2:$Q$60=$B16), 0), MATCH(I$3, $AA$1:$AC$1, 0))</f>
        <v>1</v>
      </c>
      <c r="M16" t="b" cm="1">
        <f t="array" ref="M16">INDEX($AA$2:$AC$60, MATCH(1, ($P$2:$P$60=$A16) * ($Q$2:$Q$60=$B16), 0), MATCH(J$3, $AA$1:$AC$1, 0))</f>
        <v>1</v>
      </c>
      <c r="N16" t="b" cm="1">
        <f t="array" ref="N16">INDEX($AA$2:$AC$60, MATCH(1, ($P$2:$P$60=$A16) * ($Q$2:$Q$60=$B16), 0), MATCH(K$3, $AA$1:$AC$1, 0))</f>
        <v>0</v>
      </c>
      <c r="P16" s="6" t="s">
        <v>65</v>
      </c>
      <c r="Q16" s="6" t="s">
        <v>52</v>
      </c>
      <c r="R16">
        <f>small!M15</f>
        <v>1.6160999999999998E-2</v>
      </c>
      <c r="S16">
        <f>small!N15</f>
        <v>8.4973999999999994E-2</v>
      </c>
      <c r="T16">
        <f>small!O15</f>
        <v>2.6059999999999998E-3</v>
      </c>
      <c r="U16">
        <f>small!P15</f>
        <v>1.2428E-2</v>
      </c>
      <c r="V16">
        <f>small!Q15</f>
        <v>5.2579667099808178</v>
      </c>
      <c r="W16">
        <f>small!R15</f>
        <v>0.16125239774766414</v>
      </c>
      <c r="X16">
        <f>small!S15</f>
        <v>0.76901181857558332</v>
      </c>
      <c r="Y16">
        <v>3</v>
      </c>
      <c r="AA16" t="b">
        <f>small!T38</f>
        <v>1</v>
      </c>
      <c r="AB16" t="b">
        <f>small!U38</f>
        <v>1</v>
      </c>
      <c r="AC16" t="b">
        <f>small!V38</f>
        <v>0</v>
      </c>
      <c r="AJ16" s="5" t="s">
        <v>48</v>
      </c>
      <c r="AK16">
        <v>5</v>
      </c>
      <c r="AL16">
        <v>5</v>
      </c>
    </row>
    <row r="17" spans="1:38" x14ac:dyDescent="0.2">
      <c r="A17" t="s">
        <v>67</v>
      </c>
      <c r="B17" s="3" t="s">
        <v>37</v>
      </c>
      <c r="C17" s="11" t="s">
        <v>73</v>
      </c>
      <c r="D17" s="6" cm="1">
        <f t="array" ref="D17">IF(ISBLANK(INDEX($P$2:$Y$60, MATCH(1, ($P$2:$P$60=$A17) * ($Q$2:$Q$60=$B17), 0), MATCH(D$3, $P$1:$Y$1, 0))), "-", INDEX($P$2:$Y$60, MATCH(1, ($P$2:$P$60=$A17) * ($Q$2:$Q$60=$B17), 0), MATCH(D$3, $P$1:$Y$1, 0)))</f>
        <v>1</v>
      </c>
      <c r="E17" t="e" cm="1">
        <f t="array" ref="E17">INDEX($P$2:$X$60, MATCH(1, ($P$2:$P$60=$A17) * ($Q$2:$Q$60=$B17), 0), MATCH(E$3, $P$1:$X$1, 0))</f>
        <v>#N/A</v>
      </c>
      <c r="F17" cm="1">
        <f t="array" ref="F17">INDEX($P$2:$X$60, MATCH(1, ($P$2:$P$60=$A17) * ($Q$2:$Q$60=$B17), 0), MATCH(F$3, $P$1:$X$1, 0))</f>
        <v>5.4288999999999997E-2</v>
      </c>
      <c r="G17" cm="1">
        <f t="array" ref="G17">INDEX($P$2:$X$60, MATCH(1, ($P$2:$P$60=$A17) * ($Q$2:$Q$60=$B17), 0), MATCH(G$3, $P$1:$X$1, 0))</f>
        <v>1.9879999999999998E-2</v>
      </c>
      <c r="H17" cm="1">
        <f t="array" ref="H17">INDEX($P$2:$X$60, MATCH(1, ($P$2:$P$60=$A17) * ($Q$2:$Q$60=$B17), 0), MATCH(H$3, $P$1:$X$1, 0))</f>
        <v>1.6522999999999999E-2</v>
      </c>
      <c r="I17" cm="1">
        <f t="array" ref="I17">INDEX($P$2:$X$60, MATCH(1, ($P$2:$P$60=$A17) * ($Q$2:$Q$60=$B17), 0), MATCH(I$3, $P$1:$X$1, 0))</f>
        <v>2.7308350100603622</v>
      </c>
      <c r="J17" t="str" cm="1">
        <f t="array" ref="J17">INDEX($P$2:$X$60, MATCH(1, ($P$2:$P$60=$A17) * ($Q$2:$Q$60=$B17), 0), MATCH(J$3, $P$1:$X$1, 0))</f>
        <v>DNF</v>
      </c>
      <c r="K17" cm="1">
        <f t="array" ref="K17">INDEX($P$2:$X$60, MATCH(1, ($P$2:$P$60=$A17) * ($Q$2:$Q$60=$B17), 0), MATCH(K$3, $P$1:$X$1, 0))</f>
        <v>0.83113682092555341</v>
      </c>
      <c r="L17" t="b" cm="1">
        <f t="array" ref="L17">INDEX($AA$2:$AC$60, MATCH(1, ($P$2:$P$60=$A17) * ($Q$2:$Q$60=$B17), 0), MATCH(I$3, $AA$1:$AC$1, 0))</f>
        <v>1</v>
      </c>
      <c r="M17" t="b" cm="1">
        <f t="array" ref="M17">INDEX($AA$2:$AC$60, MATCH(1, ($P$2:$P$60=$A17) * ($Q$2:$Q$60=$B17), 0), MATCH(J$3, $AA$1:$AC$1, 0))</f>
        <v>1</v>
      </c>
      <c r="N17" t="b" cm="1">
        <f t="array" ref="N17">INDEX($AA$2:$AC$60, MATCH(1, ($P$2:$P$60=$A17) * ($Q$2:$Q$60=$B17), 0), MATCH(K$3, $AA$1:$AC$1, 0))</f>
        <v>0</v>
      </c>
      <c r="P17" s="6" t="s">
        <v>65</v>
      </c>
      <c r="Q17" s="6" t="s">
        <v>54</v>
      </c>
      <c r="R17">
        <f>small!M16</f>
        <v>8.5100000000000002E-3</v>
      </c>
      <c r="S17">
        <f>small!N16</f>
        <v>6.8136000000000002E-2</v>
      </c>
      <c r="T17">
        <f>small!O16</f>
        <v>2.5100000000000001E-3</v>
      </c>
      <c r="U17">
        <f>small!P16</f>
        <v>8.6239999999999997E-3</v>
      </c>
      <c r="V17">
        <f>small!Q16</f>
        <v>8.0065804935370153</v>
      </c>
      <c r="W17">
        <f>small!R16</f>
        <v>0.29494712103407755</v>
      </c>
      <c r="X17">
        <f>small!S16</f>
        <v>1.0133960047003525</v>
      </c>
      <c r="Y17">
        <v>5</v>
      </c>
      <c r="AA17" t="b">
        <f>small!T39</f>
        <v>1</v>
      </c>
      <c r="AB17" t="b">
        <f>small!U39</f>
        <v>0</v>
      </c>
      <c r="AC17" t="b">
        <f>small!V39</f>
        <v>0</v>
      </c>
      <c r="AJ17" s="5" t="s">
        <v>51</v>
      </c>
      <c r="AK17">
        <v>3</v>
      </c>
      <c r="AL17">
        <v>3</v>
      </c>
    </row>
    <row r="18" spans="1:38" x14ac:dyDescent="0.2">
      <c r="A18" t="s">
        <v>69</v>
      </c>
      <c r="B18" s="3" t="s">
        <v>37</v>
      </c>
      <c r="C18" s="11" t="s">
        <v>78</v>
      </c>
      <c r="D18" s="6" cm="1">
        <f t="array" ref="D18">IF(ISBLANK(INDEX($P$2:$Y$60, MATCH(1, ($P$2:$P$60=$A18) * ($Q$2:$Q$60=$B18), 0), MATCH(D$3, $P$1:$Y$1, 0))), "-", INDEX($P$2:$Y$60, MATCH(1, ($P$2:$P$60=$A18) * ($Q$2:$Q$60=$B18), 0), MATCH(D$3, $P$1:$Y$1, 0)))</f>
        <v>1</v>
      </c>
      <c r="E18" t="e" cm="1">
        <f t="array" ref="E18">INDEX($P$2:$X$60, MATCH(1, ($P$2:$P$60=$A18) * ($Q$2:$Q$60=$B18), 0), MATCH(E$3, $P$1:$X$1, 0))</f>
        <v>#N/A</v>
      </c>
      <c r="F18" cm="1">
        <f t="array" ref="F18">INDEX($P$2:$X$60, MATCH(1, ($P$2:$P$60=$A18) * ($Q$2:$Q$60=$B18), 0), MATCH(F$3, $P$1:$X$1, 0))</f>
        <v>5.9309000000000001E-2</v>
      </c>
      <c r="G18" cm="1">
        <f t="array" ref="G18">INDEX($P$2:$X$60, MATCH(1, ($P$2:$P$60=$A18) * ($Q$2:$Q$60=$B18), 0), MATCH(G$3, $P$1:$X$1, 0))</f>
        <v>2.3800000000000002E-2</v>
      </c>
      <c r="H18" cm="1">
        <f t="array" ref="H18">INDEX($P$2:$X$60, MATCH(1, ($P$2:$P$60=$A18) * ($Q$2:$Q$60=$B18), 0), MATCH(H$3, $P$1:$X$1, 0))</f>
        <v>1.9702000000000001E-2</v>
      </c>
      <c r="I18" cm="1">
        <f t="array" ref="I18">INDEX($P$2:$X$60, MATCH(1, ($P$2:$P$60=$A18) * ($Q$2:$Q$60=$B18), 0), MATCH(I$3, $P$1:$X$1, 0))</f>
        <v>2.4919747899159663</v>
      </c>
      <c r="J18" t="str" cm="1">
        <f t="array" ref="J18">INDEX($P$2:$X$60, MATCH(1, ($P$2:$P$60=$A18) * ($Q$2:$Q$60=$B18), 0), MATCH(J$3, $P$1:$X$1, 0))</f>
        <v>DNF</v>
      </c>
      <c r="K18" cm="1">
        <f t="array" ref="K18">INDEX($P$2:$X$60, MATCH(1, ($P$2:$P$60=$A18) * ($Q$2:$Q$60=$B18), 0), MATCH(K$3, $P$1:$X$1, 0))</f>
        <v>0.82781512605042018</v>
      </c>
      <c r="L18" t="b" cm="1">
        <f t="array" ref="L18">INDEX($AA$2:$AC$60, MATCH(1, ($P$2:$P$60=$A18) * ($Q$2:$Q$60=$B18), 0), MATCH(I$3, $AA$1:$AC$1, 0))</f>
        <v>1</v>
      </c>
      <c r="M18" t="b" cm="1">
        <f t="array" ref="M18">INDEX($AA$2:$AC$60, MATCH(1, ($P$2:$P$60=$A18) * ($Q$2:$Q$60=$B18), 0), MATCH(J$3, $AA$1:$AC$1, 0))</f>
        <v>1</v>
      </c>
      <c r="N18" t="b" cm="1">
        <f t="array" ref="N18">INDEX($AA$2:$AC$60, MATCH(1, ($P$2:$P$60=$A18) * ($Q$2:$Q$60=$B18), 0), MATCH(K$3, $AA$1:$AC$1, 0))</f>
        <v>0</v>
      </c>
      <c r="P18" s="6" t="s">
        <v>65</v>
      </c>
      <c r="Q18" s="6" t="s">
        <v>55</v>
      </c>
      <c r="R18">
        <f>small!M17</f>
        <v>6.8710000000000004E-3</v>
      </c>
      <c r="S18">
        <f>small!N17</f>
        <v>3.0762000000000001E-2</v>
      </c>
      <c r="T18">
        <f>small!O17</f>
        <v>1.4760000000000001E-3</v>
      </c>
      <c r="U18">
        <f>small!P17</f>
        <v>4.9890000000000004E-3</v>
      </c>
      <c r="V18">
        <f>small!Q17</f>
        <v>4.4770775724057632</v>
      </c>
      <c r="W18">
        <f>small!R17</f>
        <v>0.21481589288313202</v>
      </c>
      <c r="X18">
        <f>small!S17</f>
        <v>0.72609518265172468</v>
      </c>
      <c r="Y18">
        <v>2</v>
      </c>
      <c r="AA18" t="b">
        <f>small!T40</f>
        <v>1</v>
      </c>
      <c r="AB18" t="b">
        <f>small!U40</f>
        <v>1</v>
      </c>
      <c r="AC18" t="b">
        <f>small!V40</f>
        <v>0</v>
      </c>
      <c r="AJ18" s="5" t="s">
        <v>26</v>
      </c>
      <c r="AK18">
        <v>5</v>
      </c>
      <c r="AL18">
        <v>5</v>
      </c>
    </row>
    <row r="19" spans="1:38" hidden="1" x14ac:dyDescent="0.2">
      <c r="A19" t="s">
        <v>65</v>
      </c>
      <c r="B19" s="3" t="s">
        <v>38</v>
      </c>
      <c r="C19" t="s">
        <v>66</v>
      </c>
      <c r="D19" s="6" cm="1">
        <f t="array" ref="D19">IF(ISBLANK(INDEX($P$2:$Y$60, MATCH(1, ($P$2:$P$60=$A19) * ($Q$2:$Q$60=$B19), 0), MATCH(D$3, $P$1:$Y$1, 0))), "", INDEX($P$2:$Y$60, MATCH(1, ($P$2:$P$60=$A19) * ($Q$2:$Q$60=$B19), 0), MATCH(D$3, $P$1:$Y$1, 0)))</f>
        <v>3</v>
      </c>
      <c r="E19" cm="1">
        <f t="array" ref="E19">INDEX($P$2:$X$60, MATCH(1, ($P$2:$P$60=$A19) * ($Q$2:$Q$60=$B19), 0), MATCH(E$3, $P$1:$X$1, 0))</f>
        <v>2.4269999999999999E-3</v>
      </c>
      <c r="F19" cm="1">
        <f t="array" ref="F19">INDEX($P$2:$X$60, MATCH(1, ($P$2:$P$60=$A19) * ($Q$2:$Q$60=$B19), 0), MATCH(F$3, $P$1:$X$1, 0))</f>
        <v>7.0066000000000003E-2</v>
      </c>
      <c r="G19" cm="1">
        <f t="array" ref="G19">INDEX($P$2:$X$60, MATCH(1, ($P$2:$P$60=$A19) * ($Q$2:$Q$60=$B19), 0), MATCH(G$3, $P$1:$X$1, 0))</f>
        <v>1.1313999999999999E-2</v>
      </c>
      <c r="H19" cm="1">
        <f t="array" ref="H19">INDEX($P$2:$X$60, MATCH(1, ($P$2:$P$60=$A19) * ($Q$2:$Q$60=$B19), 0), MATCH(H$3, $P$1:$X$1, 0))</f>
        <v>9.2339999999999992E-3</v>
      </c>
      <c r="I19" cm="1">
        <f t="array" ref="I19">INDEX($P$2:$X$60, MATCH(1, ($P$2:$P$60=$A19) * ($Q$2:$Q$60=$B19), 0), MATCH(I$3, $P$1:$X$1, 0))</f>
        <v>6.1928584055152918</v>
      </c>
      <c r="J19" cm="1">
        <f t="array" ref="J19">INDEX($P$2:$X$60, MATCH(1, ($P$2:$P$60=$A19) * ($Q$2:$Q$60=$B19), 0), MATCH(J$3, $P$1:$X$1, 0))</f>
        <v>0.21451299275234223</v>
      </c>
      <c r="K19" cm="1">
        <f t="array" ref="K19">INDEX($P$2:$X$60, MATCH(1, ($P$2:$P$60=$A19) * ($Q$2:$Q$60=$B19), 0), MATCH(K$3, $P$1:$X$1, 0))</f>
        <v>0.81615697366095097</v>
      </c>
      <c r="L19" t="b" cm="1">
        <f t="array" ref="L19">INDEX($AA$2:$AC$60, MATCH(1, ($P$2:$P$60=$A19) * ($Q$2:$Q$60=$B19), 0), MATCH(I$3, $AA$1:$AC$1, 0))</f>
        <v>1</v>
      </c>
      <c r="M19" t="b" cm="1">
        <f t="array" ref="M19">INDEX($AA$2:$AC$60, MATCH(1, ($P$2:$P$60=$A19) * ($Q$2:$Q$60=$B19), 0), MATCH(J$3, $AA$1:$AC$1, 0))</f>
        <v>1</v>
      </c>
      <c r="N19" t="b" cm="1">
        <f t="array" ref="N19">INDEX($AA$2:$AC$60, MATCH(1, ($P$2:$P$60=$A19) * ($Q$2:$Q$60=$B19), 0), MATCH(K$3, $AA$1:$AC$1, 0))</f>
        <v>0</v>
      </c>
      <c r="P19" s="6" t="s">
        <v>65</v>
      </c>
      <c r="Q19" s="6" t="s">
        <v>56</v>
      </c>
      <c r="R19">
        <f>small!M18</f>
        <v>1.1426E-2</v>
      </c>
      <c r="S19">
        <f>small!N18</f>
        <v>0.15992999999999999</v>
      </c>
      <c r="T19">
        <f>small!O18</f>
        <v>2.8660000000000001E-3</v>
      </c>
      <c r="U19">
        <f>small!P18</f>
        <v>8.2719999999999998E-3</v>
      </c>
      <c r="V19">
        <f>small!Q18</f>
        <v>13.997024330474355</v>
      </c>
      <c r="W19">
        <f>small!R18</f>
        <v>0.25083143707334149</v>
      </c>
      <c r="X19">
        <f>small!S18</f>
        <v>0.72396289165062133</v>
      </c>
      <c r="Y19">
        <v>7</v>
      </c>
      <c r="AA19" t="b">
        <f>small!T41</f>
        <v>1</v>
      </c>
      <c r="AB19" t="b">
        <f>small!U41</f>
        <v>1</v>
      </c>
      <c r="AC19" t="b">
        <f>small!V41</f>
        <v>0</v>
      </c>
      <c r="AJ19" s="5" t="s">
        <v>30</v>
      </c>
      <c r="AK19">
        <v>2</v>
      </c>
      <c r="AL19">
        <v>2</v>
      </c>
    </row>
    <row r="20" spans="1:38" x14ac:dyDescent="0.2">
      <c r="A20" t="s">
        <v>67</v>
      </c>
      <c r="B20" s="3" t="s">
        <v>38</v>
      </c>
      <c r="C20" t="s">
        <v>74</v>
      </c>
      <c r="D20" s="6" cm="1">
        <f t="array" ref="D20">IF(ISBLANK(INDEX($P$2:$Y$60, MATCH(1, ($P$2:$P$60=$A20) * ($Q$2:$Q$60=$B20), 0), MATCH(D$3, $P$1:$Y$1, 0))), "-", INDEX($P$2:$Y$60, MATCH(1, ($P$2:$P$60=$A20) * ($Q$2:$Q$60=$B20), 0), MATCH(D$3, $P$1:$Y$1, 0)))</f>
        <v>3</v>
      </c>
      <c r="E20" cm="1">
        <f t="array" ref="E20">INDEX($P$2:$X$60, MATCH(1, ($P$2:$P$60=$A20) * ($Q$2:$Q$60=$B20), 0), MATCH(E$3, $P$1:$X$1, 0))</f>
        <v>13.838817000000001</v>
      </c>
      <c r="F20" cm="1">
        <f t="array" ref="F20">INDEX($P$2:$X$60, MATCH(1, ($P$2:$P$60=$A20) * ($Q$2:$Q$60=$B20), 0), MATCH(F$3, $P$1:$X$1, 0))</f>
        <v>0.76590000000000003</v>
      </c>
      <c r="G20" cm="1">
        <f t="array" ref="G20">INDEX($P$2:$X$60, MATCH(1, ($P$2:$P$60=$A20) * ($Q$2:$Q$60=$B20), 0), MATCH(G$3, $P$1:$X$1, 0))</f>
        <v>0.29500500000000002</v>
      </c>
      <c r="H20" cm="1">
        <f t="array" ref="H20">INDEX($P$2:$X$60, MATCH(1, ($P$2:$P$60=$A20) * ($Q$2:$Q$60=$B20), 0), MATCH(H$3, $P$1:$X$1, 0))</f>
        <v>0.29999700000000001</v>
      </c>
      <c r="I20" cm="1">
        <f t="array" ref="I20">INDEX($P$2:$X$60, MATCH(1, ($P$2:$P$60=$A20) * ($Q$2:$Q$60=$B20), 0), MATCH(I$3, $P$1:$X$1, 0))</f>
        <v>2.5962271825901255</v>
      </c>
      <c r="J20" cm="1">
        <f t="array" ref="J20">INDEX($P$2:$X$60, MATCH(1, ($P$2:$P$60=$A20) * ($Q$2:$Q$60=$B20), 0), MATCH(J$3, $P$1:$X$1, 0))</f>
        <v>46.910448975441092</v>
      </c>
      <c r="K20" cm="1">
        <f t="array" ref="K20">INDEX($P$2:$X$60, MATCH(1, ($P$2:$P$60=$A20) * ($Q$2:$Q$60=$B20), 0), MATCH(K$3, $P$1:$X$1, 0))</f>
        <v>1.0169217470890324</v>
      </c>
      <c r="L20" t="b" cm="1">
        <f t="array" ref="L20">INDEX($AA$2:$AC$60, MATCH(1, ($P$2:$P$60=$A20) * ($Q$2:$Q$60=$B20), 0), MATCH(I$3, $AA$1:$AC$1, 0))</f>
        <v>1</v>
      </c>
      <c r="M20" t="b" cm="1">
        <f t="array" ref="M20">INDEX($AA$2:$AC$60, MATCH(1, ($P$2:$P$60=$A20) * ($Q$2:$Q$60=$B20), 0), MATCH(J$3, $AA$1:$AC$1, 0))</f>
        <v>1</v>
      </c>
      <c r="N20" t="b" cm="1">
        <f t="array" ref="N20">INDEX($AA$2:$AC$60, MATCH(1, ($P$2:$P$60=$A20) * ($Q$2:$Q$60=$B20), 0), MATCH(K$3, $AA$1:$AC$1, 0))</f>
        <v>0</v>
      </c>
      <c r="AJ20" s="5" t="s">
        <v>53</v>
      </c>
      <c r="AK20">
        <v>7</v>
      </c>
      <c r="AL20">
        <v>7</v>
      </c>
    </row>
    <row r="21" spans="1:38" x14ac:dyDescent="0.2">
      <c r="A21" t="s">
        <v>69</v>
      </c>
      <c r="B21" s="3" t="s">
        <v>38</v>
      </c>
      <c r="C21" t="s">
        <v>105</v>
      </c>
      <c r="D21" s="6" cm="1">
        <f t="array" ref="D21">IF(ISBLANK(INDEX($P$2:$Y$60, MATCH(1, ($P$2:$P$60=$A21) * ($Q$2:$Q$60=$B21), 0), MATCH(D$3, $P$1:$Y$1, 0))), "-", INDEX($P$2:$Y$60, MATCH(1, ($P$2:$P$60=$A21) * ($Q$2:$Q$60=$B21), 0), MATCH(D$3, $P$1:$Y$1, 0)))</f>
        <v>3</v>
      </c>
      <c r="E21" cm="1">
        <f t="array" ref="E21">INDEX($P$2:$X$60, MATCH(1, ($P$2:$P$60=$A21) * ($Q$2:$Q$60=$B21), 0), MATCH(E$3, $P$1:$X$1, 0))</f>
        <v>40.566226999999998</v>
      </c>
      <c r="F21" cm="1">
        <f t="array" ref="F21">INDEX($P$2:$X$60, MATCH(1, ($P$2:$P$60=$A21) * ($Q$2:$Q$60=$B21), 0), MATCH(F$3, $P$1:$X$1, 0))</f>
        <v>1.0160309999999999</v>
      </c>
      <c r="G21" cm="1">
        <f t="array" ref="G21">INDEX($P$2:$X$60, MATCH(1, ($P$2:$P$60=$A21) * ($Q$2:$Q$60=$B21), 0), MATCH(G$3, $P$1:$X$1, 0))</f>
        <v>0.83143599999999995</v>
      </c>
      <c r="H21" cm="1">
        <f t="array" ref="H21">INDEX($P$2:$X$60, MATCH(1, ($P$2:$P$60=$A21) * ($Q$2:$Q$60=$B21), 0), MATCH(H$3, $P$1:$X$1, 0))</f>
        <v>0.78751300000000002</v>
      </c>
      <c r="I21" cm="1">
        <f t="array" ref="I21">INDEX($P$2:$X$60, MATCH(1, ($P$2:$P$60=$A21) * ($Q$2:$Q$60=$B21), 0), MATCH(I$3, $P$1:$X$1, 0))</f>
        <v>1.2220194939839024</v>
      </c>
      <c r="J21" cm="1">
        <f t="array" ref="J21">INDEX($P$2:$X$60, MATCH(1, ($P$2:$P$60=$A21) * ($Q$2:$Q$60=$B21), 0), MATCH(J$3, $P$1:$X$1, 0))</f>
        <v>48.790558744148676</v>
      </c>
      <c r="K21" cm="1">
        <f t="array" ref="K21">INDEX($P$2:$X$60, MATCH(1, ($P$2:$P$60=$A21) * ($Q$2:$Q$60=$B21), 0), MATCH(K$3, $P$1:$X$1, 0))</f>
        <v>0.94717212148619989</v>
      </c>
      <c r="L21" t="b" cm="1">
        <f t="array" ref="L21">INDEX($AA$2:$AC$60, MATCH(1, ($P$2:$P$60=$A21) * ($Q$2:$Q$60=$B21), 0), MATCH(I$3, $AA$1:$AC$1, 0))</f>
        <v>1</v>
      </c>
      <c r="M21" t="b" cm="1">
        <f t="array" ref="M21">INDEX($AA$2:$AC$60, MATCH(1, ($P$2:$P$60=$A21) * ($Q$2:$Q$60=$B21), 0), MATCH(J$3, $AA$1:$AC$1, 0))</f>
        <v>1</v>
      </c>
      <c r="N21" t="b" cm="1">
        <f t="array" ref="N21">INDEX($AA$2:$AC$60, MATCH(1, ($P$2:$P$60=$A21) * ($Q$2:$Q$60=$B21), 0), MATCH(K$3, $AA$1:$AC$1, 0))</f>
        <v>0</v>
      </c>
    </row>
    <row r="22" spans="1:38" hidden="1" x14ac:dyDescent="0.2">
      <c r="A22" t="s">
        <v>65</v>
      </c>
      <c r="B22" s="3" t="s">
        <v>40</v>
      </c>
      <c r="C22" t="s">
        <v>66</v>
      </c>
      <c r="D22" s="6" cm="1">
        <f t="array" ref="D22">IF(ISBLANK(INDEX($P$2:$Y$60, MATCH(1, ($P$2:$P$60=$A22) * ($Q$2:$Q$60=$B22), 0), MATCH(D$3, $P$1:$Y$1, 0))), "", INDEX($P$2:$Y$60, MATCH(1, ($P$2:$P$60=$A22) * ($Q$2:$Q$60=$B22), 0), MATCH(D$3, $P$1:$Y$1, 0)))</f>
        <v>5</v>
      </c>
      <c r="E22" cm="1">
        <f t="array" ref="E22">INDEX($P$2:$X$60, MATCH(1, ($P$2:$P$60=$A22) * ($Q$2:$Q$60=$B22), 0), MATCH(E$3, $P$1:$X$1, 0))</f>
        <v>2.7550000000000001E-3</v>
      </c>
      <c r="F22" cm="1">
        <f t="array" ref="F22">INDEX($P$2:$X$60, MATCH(1, ($P$2:$P$60=$A22) * ($Q$2:$Q$60=$B22), 0), MATCH(F$3, $P$1:$X$1, 0))</f>
        <v>0.17114599999999999</v>
      </c>
      <c r="G22" cm="1">
        <f t="array" ref="G22">INDEX($P$2:$X$60, MATCH(1, ($P$2:$P$60=$A22) * ($Q$2:$Q$60=$B22), 0), MATCH(G$3, $P$1:$X$1, 0))</f>
        <v>2.3838000000000002E-2</v>
      </c>
      <c r="H22" cm="1">
        <f t="array" ref="H22">INDEX($P$2:$X$60, MATCH(1, ($P$2:$P$60=$A22) * ($Q$2:$Q$60=$B22), 0), MATCH(H$3, $P$1:$X$1, 0))</f>
        <v>1.8013999999999999E-2</v>
      </c>
      <c r="I22" cm="1">
        <f t="array" ref="I22">INDEX($P$2:$X$60, MATCH(1, ($P$2:$P$60=$A22) * ($Q$2:$Q$60=$B22), 0), MATCH(I$3, $P$1:$X$1, 0))</f>
        <v>7.1795452638644175</v>
      </c>
      <c r="J22" cm="1">
        <f t="array" ref="J22">INDEX($P$2:$X$60, MATCH(1, ($P$2:$P$60=$A22) * ($Q$2:$Q$60=$B22), 0), MATCH(J$3, $P$1:$X$1, 0))</f>
        <v>0.11557177615571776</v>
      </c>
      <c r="K22" cm="1">
        <f t="array" ref="K22">INDEX($P$2:$X$60, MATCH(1, ($P$2:$P$60=$A22) * ($Q$2:$Q$60=$B22), 0), MATCH(K$3, $P$1:$X$1, 0))</f>
        <v>0.75568420169477291</v>
      </c>
      <c r="L22" t="b" cm="1">
        <f t="array" ref="L22">INDEX($AA$2:$AC$60, MATCH(1, ($P$2:$P$60=$A22) * ($Q$2:$Q$60=$B22), 0), MATCH(I$3, $AA$1:$AC$1, 0))</f>
        <v>1</v>
      </c>
      <c r="M22" t="b" cm="1">
        <f t="array" ref="M22">INDEX($AA$2:$AC$60, MATCH(1, ($P$2:$P$60=$A22) * ($Q$2:$Q$60=$B22), 0), MATCH(J$3, $AA$1:$AC$1, 0))</f>
        <v>1</v>
      </c>
      <c r="N22" t="b" cm="1">
        <f t="array" ref="N22">INDEX($AA$2:$AC$60, MATCH(1, ($P$2:$P$60=$A22) * ($Q$2:$Q$60=$B22), 0), MATCH(K$3, $AA$1:$AC$1, 0))</f>
        <v>0</v>
      </c>
    </row>
    <row r="23" spans="1:38" x14ac:dyDescent="0.2">
      <c r="A23" t="s">
        <v>67</v>
      </c>
      <c r="B23" s="3" t="s">
        <v>40</v>
      </c>
      <c r="C23" t="s">
        <v>76</v>
      </c>
      <c r="D23" s="6" cm="1">
        <f t="array" ref="D23">IF(ISBLANK(INDEX($P$2:$Y$60, MATCH(1, ($P$2:$P$60=$A23) * ($Q$2:$Q$60=$B23), 0), MATCH(D$3, $P$1:$Y$1, 0))), "-", INDEX($P$2:$Y$60, MATCH(1, ($P$2:$P$60=$A23) * ($Q$2:$Q$60=$B23), 0), MATCH(D$3, $P$1:$Y$1, 0)))</f>
        <v>11</v>
      </c>
      <c r="E23" t="e" cm="1">
        <f t="array" ref="E23">INDEX($P$2:$X$60, MATCH(1, ($P$2:$P$60=$A23) * ($Q$2:$Q$60=$B23), 0), MATCH(E$3, $P$1:$X$1, 0))</f>
        <v>#N/A</v>
      </c>
      <c r="F23" cm="1">
        <f t="array" ref="F23">INDEX($P$2:$X$60, MATCH(1, ($P$2:$P$60=$A23) * ($Q$2:$Q$60=$B23), 0), MATCH(F$3, $P$1:$X$1, 0))</f>
        <v>5.7115309999999999</v>
      </c>
      <c r="G23" cm="1">
        <f t="array" ref="G23">INDEX($P$2:$X$60, MATCH(1, ($P$2:$P$60=$A23) * ($Q$2:$Q$60=$B23), 0), MATCH(G$3, $P$1:$X$1, 0))</f>
        <v>1.06881</v>
      </c>
      <c r="H23" cm="1">
        <f t="array" ref="H23">INDEX($P$2:$X$60, MATCH(1, ($P$2:$P$60=$A23) * ($Q$2:$Q$60=$B23), 0), MATCH(H$3, $P$1:$X$1, 0))</f>
        <v>1.109318</v>
      </c>
      <c r="I23" cm="1">
        <f t="array" ref="I23">INDEX($P$2:$X$60, MATCH(1, ($P$2:$P$60=$A23) * ($Q$2:$Q$60=$B23), 0), MATCH(I$3, $P$1:$X$1, 0))</f>
        <v>5.343822569025364</v>
      </c>
      <c r="J23" t="str" cm="1">
        <f t="array" ref="J23">INDEX($P$2:$X$60, MATCH(1, ($P$2:$P$60=$A23) * ($Q$2:$Q$60=$B23), 0), MATCH(J$3, $P$1:$X$1, 0))</f>
        <v>DNF</v>
      </c>
      <c r="K23" cm="1">
        <f t="array" ref="K23">INDEX($P$2:$X$60, MATCH(1, ($P$2:$P$60=$A23) * ($Q$2:$Q$60=$B23), 0), MATCH(K$3, $P$1:$X$1, 0))</f>
        <v>1.0379000944976189</v>
      </c>
      <c r="L23" t="b" cm="1">
        <f t="array" ref="L23">INDEX($AA$2:$AC$60, MATCH(1, ($P$2:$P$60=$A23) * ($Q$2:$Q$60=$B23), 0), MATCH(I$3, $AA$1:$AC$1, 0))</f>
        <v>1</v>
      </c>
      <c r="M23" t="b" cm="1">
        <f t="array" ref="M23">INDEX($AA$2:$AC$60, MATCH(1, ($P$2:$P$60=$A23) * ($Q$2:$Q$60=$B23), 0), MATCH(J$3, $AA$1:$AC$1, 0))</f>
        <v>1</v>
      </c>
      <c r="N23" t="b" cm="1">
        <f t="array" ref="N23">INDEX($AA$2:$AC$60, MATCH(1, ($P$2:$P$60=$A23) * ($Q$2:$Q$60=$B23), 0), MATCH(K$3, $AA$1:$AC$1, 0))</f>
        <v>0</v>
      </c>
      <c r="P23" s="6" t="s">
        <v>31</v>
      </c>
      <c r="Q23" s="6"/>
    </row>
    <row r="24" spans="1:38" x14ac:dyDescent="0.2">
      <c r="A24" t="s">
        <v>69</v>
      </c>
      <c r="B24" s="3" t="s">
        <v>40</v>
      </c>
      <c r="C24" t="s">
        <v>68</v>
      </c>
      <c r="D24" s="6" cm="1">
        <f t="array" ref="D24">IF(ISBLANK(INDEX($P$2:$Y$60, MATCH(1, ($P$2:$P$60=$A24) * ($Q$2:$Q$60=$B24), 0), MATCH(D$3, $P$1:$Y$1, 0))), "-", INDEX($P$2:$Y$60, MATCH(1, ($P$2:$P$60=$A24) * ($Q$2:$Q$60=$B24), 0), MATCH(D$3, $P$1:$Y$1, 0)))</f>
        <v>14</v>
      </c>
      <c r="E24" t="e" cm="1">
        <f t="array" ref="E24">INDEX($P$2:$X$60, MATCH(1, ($P$2:$P$60=$A24) * ($Q$2:$Q$60=$B24), 0), MATCH(E$3, $P$1:$X$1, 0))</f>
        <v>#N/A</v>
      </c>
      <c r="F24" cm="1">
        <f t="array" ref="F24">INDEX($P$2:$X$60, MATCH(1, ($P$2:$P$60=$A24) * ($Q$2:$Q$60=$B24), 0), MATCH(F$3, $P$1:$X$1, 0))</f>
        <v>318.531181</v>
      </c>
      <c r="G24" cm="1">
        <f t="array" ref="G24">INDEX($P$2:$X$60, MATCH(1, ($P$2:$P$60=$A24) * ($Q$2:$Q$60=$B24), 0), MATCH(G$3, $P$1:$X$1, 0))</f>
        <v>31.674879000000001</v>
      </c>
      <c r="H24" cm="1">
        <f t="array" ref="H24">INDEX($P$2:$X$60, MATCH(1, ($P$2:$P$60=$A24) * ($Q$2:$Q$60=$B24), 0), MATCH(H$3, $P$1:$X$1, 0))</f>
        <v>31.570931000000002</v>
      </c>
      <c r="I24" cm="1">
        <f t="array" ref="I24">INDEX($P$2:$X$60, MATCH(1, ($P$2:$P$60=$A24) * ($Q$2:$Q$60=$B24), 0), MATCH(I$3, $P$1:$X$1, 0))</f>
        <v>10.056271438321833</v>
      </c>
      <c r="J24" t="str" cm="1">
        <f t="array" ref="J24">INDEX($P$2:$X$60, MATCH(1, ($P$2:$P$60=$A24) * ($Q$2:$Q$60=$B24), 0), MATCH(J$3, $P$1:$X$1, 0))</f>
        <v>DNF</v>
      </c>
      <c r="K24" cm="1">
        <f t="array" ref="K24">INDEX($P$2:$X$60, MATCH(1, ($P$2:$P$60=$A24) * ($Q$2:$Q$60=$B24), 0), MATCH(K$3, $P$1:$X$1, 0))</f>
        <v>0.99671828264916185</v>
      </c>
      <c r="L24" t="b" cm="1">
        <f t="array" ref="L24">INDEX($AA$2:$AC$60, MATCH(1, ($P$2:$P$60=$A24) * ($Q$2:$Q$60=$B24), 0), MATCH(I$3, $AA$1:$AC$1, 0))</f>
        <v>1</v>
      </c>
      <c r="M24" t="b" cm="1">
        <f t="array" ref="M24">INDEX($AA$2:$AC$60, MATCH(1, ($P$2:$P$60=$A24) * ($Q$2:$Q$60=$B24), 0), MATCH(J$3, $AA$1:$AC$1, 0))</f>
        <v>1</v>
      </c>
      <c r="N24" t="b" cm="1">
        <f t="array" ref="N24">INDEX($AA$2:$AC$60, MATCH(1, ($P$2:$P$60=$A24) * ($Q$2:$Q$60=$B24), 0), MATCH(K$3, $AA$1:$AC$1, 0))</f>
        <v>0</v>
      </c>
      <c r="P24" s="6" t="s">
        <v>67</v>
      </c>
      <c r="Q24" s="6" t="s">
        <v>25</v>
      </c>
      <c r="R24">
        <f>medium!M3</f>
        <v>0.20930399999999999</v>
      </c>
      <c r="S24">
        <f>medium!N3</f>
        <v>0.42259600000000003</v>
      </c>
      <c r="T24">
        <f>medium!O3</f>
        <v>3.7118329999999999</v>
      </c>
      <c r="U24">
        <f>medium!P3</f>
        <v>0.213615</v>
      </c>
      <c r="V24">
        <f>medium!Q3</f>
        <v>2.0190536253487754</v>
      </c>
      <c r="W24">
        <f>medium!R3</f>
        <v>17.734171348851433</v>
      </c>
      <c r="X24">
        <f>medium!S3</f>
        <v>1.0205968352253183</v>
      </c>
      <c r="Y24">
        <v>15</v>
      </c>
      <c r="AA24" t="b">
        <f>medium!T26</f>
        <v>1</v>
      </c>
      <c r="AB24" t="b">
        <f>medium!U26</f>
        <v>1</v>
      </c>
      <c r="AC24" t="b">
        <f>medium!V26</f>
        <v>0</v>
      </c>
      <c r="AJ24" t="s">
        <v>59</v>
      </c>
      <c r="AK24" t="s">
        <v>1</v>
      </c>
    </row>
    <row r="25" spans="1:38" hidden="1" x14ac:dyDescent="0.2">
      <c r="A25" t="s">
        <v>65</v>
      </c>
      <c r="B25" s="3" t="s">
        <v>42</v>
      </c>
      <c r="C25" s="11" t="s">
        <v>66</v>
      </c>
      <c r="D25" s="6" cm="1">
        <f t="array" ref="D25">IF(ISBLANK(INDEX($P$2:$Y$60, MATCH(1, ($P$2:$P$60=$A25) * ($Q$2:$Q$60=$B25), 0), MATCH(D$3, $P$1:$Y$1, 0))), "", INDEX($P$2:$Y$60, MATCH(1, ($P$2:$P$60=$A25) * ($Q$2:$Q$60=$B25), 0), MATCH(D$3, $P$1:$Y$1, 0)))</f>
        <v>3</v>
      </c>
      <c r="E25" cm="1">
        <f t="array" ref="E25">INDEX($P$2:$X$60, MATCH(1, ($P$2:$P$60=$A25) * ($Q$2:$Q$60=$B25), 0), MATCH(E$3, $P$1:$X$1, 0))</f>
        <v>1.9889999999999999E-3</v>
      </c>
      <c r="F25" cm="1">
        <f t="array" ref="F25">INDEX($P$2:$X$60, MATCH(1, ($P$2:$P$60=$A25) * ($Q$2:$Q$60=$B25), 0), MATCH(F$3, $P$1:$X$1, 0))</f>
        <v>4.7777E-2</v>
      </c>
      <c r="G25" cm="1">
        <f t="array" ref="G25">INDEX($P$2:$X$60, MATCH(1, ($P$2:$P$60=$A25) * ($Q$2:$Q$60=$B25), 0), MATCH(G$3, $P$1:$X$1, 0))</f>
        <v>6.463E-3</v>
      </c>
      <c r="H25" cm="1">
        <f t="array" ref="H25">INDEX($P$2:$X$60, MATCH(1, ($P$2:$P$60=$A25) * ($Q$2:$Q$60=$B25), 0), MATCH(H$3, $P$1:$X$1, 0))</f>
        <v>5.2269999999999999E-3</v>
      </c>
      <c r="I25" cm="1">
        <f t="array" ref="I25">INDEX($P$2:$X$60, MATCH(1, ($P$2:$P$60=$A25) * ($Q$2:$Q$60=$B25), 0), MATCH(I$3, $P$1:$X$1, 0))</f>
        <v>7.3923874361751505</v>
      </c>
      <c r="J25" cm="1">
        <f t="array" ref="J25">INDEX($P$2:$X$60, MATCH(1, ($P$2:$P$60=$A25) * ($Q$2:$Q$60=$B25), 0), MATCH(J$3, $P$1:$X$1, 0))</f>
        <v>0.30775181804115737</v>
      </c>
      <c r="K25" cm="1">
        <f t="array" ref="K25">INDEX($P$2:$X$60, MATCH(1, ($P$2:$P$60=$A25) * ($Q$2:$Q$60=$B25), 0), MATCH(K$3, $P$1:$X$1, 0))</f>
        <v>0.80875754293671664</v>
      </c>
      <c r="L25" t="b" cm="1">
        <f t="array" ref="L25">INDEX($AA$2:$AC$60, MATCH(1, ($P$2:$P$60=$A25) * ($Q$2:$Q$60=$B25), 0), MATCH(I$3, $AA$1:$AC$1, 0))</f>
        <v>1</v>
      </c>
      <c r="M25" t="b" cm="1">
        <f t="array" ref="M25">INDEX($AA$2:$AC$60, MATCH(1, ($P$2:$P$60=$A25) * ($Q$2:$Q$60=$B25), 0), MATCH(J$3, $AA$1:$AC$1, 0))</f>
        <v>1</v>
      </c>
      <c r="N25" t="b" cm="1">
        <f t="array" ref="N25">INDEX($AA$2:$AC$60, MATCH(1, ($P$2:$P$60=$A25) * ($Q$2:$Q$60=$B25), 0), MATCH(K$3, $AA$1:$AC$1, 0))</f>
        <v>0</v>
      </c>
      <c r="P25" s="6" t="s">
        <v>67</v>
      </c>
      <c r="Q25" s="6" t="s">
        <v>29</v>
      </c>
      <c r="R25">
        <f>medium!M4</f>
        <v>2.0128E-2</v>
      </c>
      <c r="S25">
        <f>medium!N4</f>
        <v>8.6501999999999996E-2</v>
      </c>
      <c r="T25">
        <f>medium!O4</f>
        <v>4.8585609999999999</v>
      </c>
      <c r="U25">
        <f>medium!P4</f>
        <v>1.6421000000000002E-2</v>
      </c>
      <c r="V25">
        <f>medium!Q4</f>
        <v>4.2975953895071539</v>
      </c>
      <c r="W25">
        <f>medium!R4</f>
        <v>241.38319753577105</v>
      </c>
      <c r="X25">
        <f>medium!S4</f>
        <v>0.81582869634340227</v>
      </c>
      <c r="Y25">
        <v>4</v>
      </c>
      <c r="AA25" t="b">
        <f>medium!T27</f>
        <v>1</v>
      </c>
      <c r="AB25" t="b">
        <f>medium!U27</f>
        <v>1</v>
      </c>
      <c r="AC25" t="b">
        <f>medium!V27</f>
        <v>0</v>
      </c>
      <c r="AJ25" t="s">
        <v>19</v>
      </c>
      <c r="AK25" t="s">
        <v>20</v>
      </c>
    </row>
    <row r="26" spans="1:38" x14ac:dyDescent="0.2">
      <c r="A26" t="s">
        <v>67</v>
      </c>
      <c r="B26" s="3" t="s">
        <v>42</v>
      </c>
      <c r="C26" s="11" t="s">
        <v>90</v>
      </c>
      <c r="D26" s="6" cm="1">
        <f t="array" ref="D26">IF(ISBLANK(INDEX($P$2:$Y$60, MATCH(1, ($P$2:$P$60=$A26) * ($Q$2:$Q$60=$B26), 0), MATCH(D$3, $P$1:$Y$1, 0))), "-", INDEX($P$2:$Y$60, MATCH(1, ($P$2:$P$60=$A26) * ($Q$2:$Q$60=$B26), 0), MATCH(D$3, $P$1:$Y$1, 0)))</f>
        <v>3</v>
      </c>
      <c r="E26" cm="1">
        <f t="array" ref="E26">INDEX($P$2:$X$60, MATCH(1, ($P$2:$P$60=$A26) * ($Q$2:$Q$60=$B26), 0), MATCH(E$3, $P$1:$X$1, 0))</f>
        <v>17.674676000000002</v>
      </c>
      <c r="F26" cm="1">
        <f t="array" ref="F26">INDEX($P$2:$X$60, MATCH(1, ($P$2:$P$60=$A26) * ($Q$2:$Q$60=$B26), 0), MATCH(F$3, $P$1:$X$1, 0))</f>
        <v>5.8332000000000002E-2</v>
      </c>
      <c r="G26" cm="1">
        <f t="array" ref="G26">INDEX($P$2:$X$60, MATCH(1, ($P$2:$P$60=$A26) * ($Q$2:$Q$60=$B26), 0), MATCH(G$3, $P$1:$X$1, 0))</f>
        <v>9.9919999999999991E-3</v>
      </c>
      <c r="H26" cm="1">
        <f t="array" ref="H26">INDEX($P$2:$X$60, MATCH(1, ($P$2:$P$60=$A26) * ($Q$2:$Q$60=$B26), 0), MATCH(H$3, $P$1:$X$1, 0))</f>
        <v>8.3560000000000006E-3</v>
      </c>
      <c r="I26" cm="1">
        <f t="array" ref="I26">INDEX($P$2:$X$60, MATCH(1, ($P$2:$P$60=$A26) * ($Q$2:$Q$60=$B26), 0), MATCH(I$3, $P$1:$X$1, 0))</f>
        <v>5.8378702962369902</v>
      </c>
      <c r="J26" cm="1">
        <f t="array" ref="J26">INDEX($P$2:$X$60, MATCH(1, ($P$2:$P$60=$A26) * ($Q$2:$Q$60=$B26), 0), MATCH(J$3, $P$1:$X$1, 0))</f>
        <v>1768.8827061649322</v>
      </c>
      <c r="K26" cm="1">
        <f t="array" ref="K26">INDEX($P$2:$X$60, MATCH(1, ($P$2:$P$60=$A26) * ($Q$2:$Q$60=$B26), 0), MATCH(K$3, $P$1:$X$1, 0))</f>
        <v>0.8362690152121699</v>
      </c>
      <c r="L26" t="b" cm="1">
        <f t="array" ref="L26">INDEX($AA$2:$AC$60, MATCH(1, ($P$2:$P$60=$A26) * ($Q$2:$Q$60=$B26), 0), MATCH(I$3, $AA$1:$AC$1, 0))</f>
        <v>1</v>
      </c>
      <c r="M26" t="b" cm="1">
        <f t="array" ref="M26">INDEX($AA$2:$AC$60, MATCH(1, ($P$2:$P$60=$A26) * ($Q$2:$Q$60=$B26), 0), MATCH(J$3, $AA$1:$AC$1, 0))</f>
        <v>1</v>
      </c>
      <c r="N26" t="b" cm="1">
        <f t="array" ref="N26">INDEX($AA$2:$AC$60, MATCH(1, ($P$2:$P$60=$A26) * ($Q$2:$Q$60=$B26), 0), MATCH(K$3, $AA$1:$AC$1, 0))</f>
        <v>0</v>
      </c>
      <c r="P26" s="6" t="s">
        <v>67</v>
      </c>
      <c r="Q26" s="6" t="s">
        <v>33</v>
      </c>
      <c r="R26">
        <f>medium!M5</f>
        <v>4.7767999999999998E-2</v>
      </c>
      <c r="S26">
        <f>medium!N5</f>
        <v>0.187528</v>
      </c>
      <c r="T26">
        <f>medium!O5</f>
        <v>33.197488999999997</v>
      </c>
      <c r="U26">
        <f>medium!P5</f>
        <v>4.5340999999999999E-2</v>
      </c>
      <c r="V26">
        <f>medium!Q5</f>
        <v>3.9258080723496902</v>
      </c>
      <c r="W26">
        <f>medium!R5</f>
        <v>694.97339222910728</v>
      </c>
      <c r="X26">
        <f>medium!S5</f>
        <v>0.94919192765030991</v>
      </c>
      <c r="Y26">
        <v>3</v>
      </c>
      <c r="AA26" t="b">
        <f>medium!T28</f>
        <v>1</v>
      </c>
      <c r="AB26" t="b">
        <f>medium!U28</f>
        <v>1</v>
      </c>
      <c r="AC26" t="b">
        <f>medium!V28</f>
        <v>0</v>
      </c>
      <c r="AJ26" s="5" t="s">
        <v>24</v>
      </c>
      <c r="AK26">
        <v>15</v>
      </c>
      <c r="AL26">
        <v>15</v>
      </c>
    </row>
    <row r="27" spans="1:38" x14ac:dyDescent="0.2">
      <c r="A27" t="s">
        <v>69</v>
      </c>
      <c r="B27" s="3" t="s">
        <v>42</v>
      </c>
      <c r="C27" s="11" t="s">
        <v>72</v>
      </c>
      <c r="D27" s="6" cm="1">
        <f t="array" ref="D27">IF(ISBLANK(INDEX($P$2:$Y$60, MATCH(1, ($P$2:$P$60=$A27) * ($Q$2:$Q$60=$B27), 0), MATCH(D$3, $P$1:$Y$1, 0))), "-", INDEX($P$2:$Y$60, MATCH(1, ($P$2:$P$60=$A27) * ($Q$2:$Q$60=$B27), 0), MATCH(D$3, $P$1:$Y$1, 0)))</f>
        <v>5</v>
      </c>
      <c r="E27" cm="1">
        <f t="array" ref="E27">INDEX($P$2:$X$60, MATCH(1, ($P$2:$P$60=$A27) * ($Q$2:$Q$60=$B27), 0), MATCH(E$3, $P$1:$X$1, 0))</f>
        <v>257.40468099999998</v>
      </c>
      <c r="F27" cm="1">
        <f t="array" ref="F27">INDEX($P$2:$X$60, MATCH(1, ($P$2:$P$60=$A27) * ($Q$2:$Q$60=$B27), 0), MATCH(F$3, $P$1:$X$1, 0))</f>
        <v>0.12911900000000001</v>
      </c>
      <c r="G27" cm="1">
        <f t="array" ref="G27">INDEX($P$2:$X$60, MATCH(1, ($P$2:$P$60=$A27) * ($Q$2:$Q$60=$B27), 0), MATCH(G$3, $P$1:$X$1, 0))</f>
        <v>1.3561E-2</v>
      </c>
      <c r="H27" cm="1">
        <f t="array" ref="H27">INDEX($P$2:$X$60, MATCH(1, ($P$2:$P$60=$A27) * ($Q$2:$Q$60=$B27), 0), MATCH(H$3, $P$1:$X$1, 0))</f>
        <v>1.2593E-2</v>
      </c>
      <c r="I27" cm="1">
        <f t="array" ref="I27">INDEX($P$2:$X$60, MATCH(1, ($P$2:$P$60=$A27) * ($Q$2:$Q$60=$B27), 0), MATCH(I$3, $P$1:$X$1, 0))</f>
        <v>9.5213479831870806</v>
      </c>
      <c r="J27" cm="1">
        <f t="array" ref="J27">INDEX($P$2:$X$60, MATCH(1, ($P$2:$P$60=$A27) * ($Q$2:$Q$60=$B27), 0), MATCH(J$3, $P$1:$X$1, 0))</f>
        <v>18981.24629452105</v>
      </c>
      <c r="K27" cm="1">
        <f t="array" ref="K27">INDEX($P$2:$X$60, MATCH(1, ($P$2:$P$60=$A27) * ($Q$2:$Q$60=$B27), 0), MATCH(K$3, $P$1:$X$1, 0))</f>
        <v>0.92861883341936435</v>
      </c>
      <c r="L27" t="b" cm="1">
        <f t="array" ref="L27">INDEX($AA$2:$AC$60, MATCH(1, ($P$2:$P$60=$A27) * ($Q$2:$Q$60=$B27), 0), MATCH(I$3, $AA$1:$AC$1, 0))</f>
        <v>1</v>
      </c>
      <c r="M27" t="b" cm="1">
        <f t="array" ref="M27">INDEX($AA$2:$AC$60, MATCH(1, ($P$2:$P$60=$A27) * ($Q$2:$Q$60=$B27), 0), MATCH(J$3, $AA$1:$AC$1, 0))</f>
        <v>1</v>
      </c>
      <c r="N27" t="b" cm="1">
        <f t="array" ref="N27">INDEX($AA$2:$AC$60, MATCH(1, ($P$2:$P$60=$A27) * ($Q$2:$Q$60=$B27), 0), MATCH(K$3, $AA$1:$AC$1, 0))</f>
        <v>0</v>
      </c>
      <c r="P27" s="6" t="s">
        <v>67</v>
      </c>
      <c r="Q27" s="6" t="s">
        <v>35</v>
      </c>
      <c r="R27">
        <f>medium!M6</f>
        <v>8.3239999999999995E-2</v>
      </c>
      <c r="S27">
        <f>medium!N6</f>
        <v>0.56497600000000003</v>
      </c>
      <c r="T27">
        <f>medium!O6</f>
        <v>139.447811</v>
      </c>
      <c r="U27">
        <f>medium!P6</f>
        <v>7.5221999999999997E-2</v>
      </c>
      <c r="V27">
        <f>medium!Q6</f>
        <v>6.7873137914464206</v>
      </c>
      <c r="W27">
        <f>medium!R6</f>
        <v>1675.2500120134553</v>
      </c>
      <c r="X27">
        <f>medium!S6</f>
        <v>0.90367611725132146</v>
      </c>
      <c r="Y27">
        <v>5</v>
      </c>
      <c r="AA27" t="b">
        <f>medium!T29</f>
        <v>1</v>
      </c>
      <c r="AB27" t="b">
        <f>medium!U29</f>
        <v>1</v>
      </c>
      <c r="AC27" t="b">
        <f>medium!V29</f>
        <v>0</v>
      </c>
      <c r="AF27" s="17"/>
      <c r="AG27" s="17"/>
      <c r="AJ27" s="5" t="s">
        <v>28</v>
      </c>
      <c r="AK27">
        <v>9</v>
      </c>
      <c r="AL27">
        <v>9</v>
      </c>
    </row>
    <row r="28" spans="1:38" hidden="1" x14ac:dyDescent="0.2">
      <c r="A28" t="s">
        <v>65</v>
      </c>
      <c r="B28" s="3" t="s">
        <v>44</v>
      </c>
      <c r="C28" t="s">
        <v>66</v>
      </c>
      <c r="D28" s="6" cm="1">
        <f t="array" ref="D28">IF(ISBLANK(INDEX($P$2:$Y$60, MATCH(1, ($P$2:$P$60=$A28) * ($Q$2:$Q$60=$B28), 0), MATCH(D$3, $P$1:$Y$1, 0))), "", INDEX($P$2:$Y$60, MATCH(1, ($P$2:$P$60=$A28) * ($Q$2:$Q$60=$B28), 0), MATCH(D$3, $P$1:$Y$1, 0)))</f>
        <v>17</v>
      </c>
      <c r="E28" cm="1">
        <f t="array" ref="E28">INDEX($P$2:$X$60, MATCH(1, ($P$2:$P$60=$A28) * ($Q$2:$Q$60=$B28), 0), MATCH(E$3, $P$1:$X$1, 0))</f>
        <v>4.0720000000000001E-3</v>
      </c>
      <c r="F28" cm="1">
        <f t="array" ref="F28">INDEX($P$2:$X$60, MATCH(1, ($P$2:$P$60=$A28) * ($Q$2:$Q$60=$B28), 0), MATCH(F$3, $P$1:$X$1, 0))</f>
        <v>0.32746900000000001</v>
      </c>
      <c r="G28" cm="1">
        <f t="array" ref="G28">INDEX($P$2:$X$60, MATCH(1, ($P$2:$P$60=$A28) * ($Q$2:$Q$60=$B28), 0), MATCH(G$3, $P$1:$X$1, 0))</f>
        <v>1.3899E-2</v>
      </c>
      <c r="H28" cm="1">
        <f t="array" ref="H28">INDEX($P$2:$X$60, MATCH(1, ($P$2:$P$60=$A28) * ($Q$2:$Q$60=$B28), 0), MATCH(H$3, $P$1:$X$1, 0))</f>
        <v>8.5550000000000001E-3</v>
      </c>
      <c r="I28" cm="1">
        <f t="array" ref="I28">INDEX($P$2:$X$60, MATCH(1, ($P$2:$P$60=$A28) * ($Q$2:$Q$60=$B28), 0), MATCH(I$3, $P$1:$X$1, 0))</f>
        <v>23.560615871645442</v>
      </c>
      <c r="J28" cm="1">
        <f t="array" ref="J28">INDEX($P$2:$X$60, MATCH(1, ($P$2:$P$60=$A28) * ($Q$2:$Q$60=$B28), 0), MATCH(J$3, $P$1:$X$1, 0))</f>
        <v>0.29297071731779267</v>
      </c>
      <c r="K28" cm="1">
        <f t="array" ref="K28">INDEX($P$2:$X$60, MATCH(1, ($P$2:$P$60=$A28) * ($Q$2:$Q$60=$B28), 0), MATCH(K$3, $P$1:$X$1, 0))</f>
        <v>0.61551190733146266</v>
      </c>
      <c r="L28" t="b" cm="1">
        <f t="array" ref="L28">INDEX($AA$2:$AC$60, MATCH(1, ($P$2:$P$60=$A28) * ($Q$2:$Q$60=$B28), 0), MATCH(I$3, $AA$1:$AC$1, 0))</f>
        <v>1</v>
      </c>
      <c r="M28" t="b" cm="1">
        <f t="array" ref="M28">INDEX($AA$2:$AC$60, MATCH(1, ($P$2:$P$60=$A28) * ($Q$2:$Q$60=$B28), 0), MATCH(J$3, $AA$1:$AC$1, 0))</f>
        <v>1</v>
      </c>
      <c r="N28" t="b" cm="1">
        <f t="array" ref="N28">INDEX($AA$2:$AC$60, MATCH(1, ($P$2:$P$60=$A28) * ($Q$2:$Q$60=$B28), 0), MATCH(K$3, $AA$1:$AC$1, 0))</f>
        <v>0</v>
      </c>
      <c r="P28" s="6" t="s">
        <v>67</v>
      </c>
      <c r="Q28" s="6" t="s">
        <v>37</v>
      </c>
      <c r="R28">
        <f>medium!M7</f>
        <v>1.9879999999999998E-2</v>
      </c>
      <c r="S28">
        <f>medium!N7</f>
        <v>5.4288999999999997E-2</v>
      </c>
      <c r="T28" t="e">
        <f>medium!O7</f>
        <v>#N/A</v>
      </c>
      <c r="U28">
        <f>medium!P7</f>
        <v>1.6522999999999999E-2</v>
      </c>
      <c r="V28">
        <f>medium!Q7</f>
        <v>2.7308350100603622</v>
      </c>
      <c r="W28" t="str">
        <f>medium!R7</f>
        <v>DNF</v>
      </c>
      <c r="X28">
        <f>medium!S7</f>
        <v>0.83113682092555341</v>
      </c>
      <c r="Y28">
        <v>1</v>
      </c>
      <c r="AA28" t="b">
        <f>medium!T30</f>
        <v>1</v>
      </c>
      <c r="AB28" t="b">
        <f>medium!U30</f>
        <v>1</v>
      </c>
      <c r="AC28" t="b">
        <f>medium!V30</f>
        <v>0</v>
      </c>
      <c r="AF28" s="17"/>
      <c r="AG28" s="17"/>
      <c r="AJ28" s="5" t="s">
        <v>32</v>
      </c>
      <c r="AK28">
        <v>3</v>
      </c>
      <c r="AL28">
        <v>3</v>
      </c>
    </row>
    <row r="29" spans="1:38" x14ac:dyDescent="0.2">
      <c r="A29" t="s">
        <v>67</v>
      </c>
      <c r="B29" s="3" t="s">
        <v>44</v>
      </c>
      <c r="C29" t="s">
        <v>74</v>
      </c>
      <c r="D29" s="6" t="str" cm="1">
        <f t="array" ref="D29">IF(ISBLANK(INDEX($P$2:$Y$60, MATCH(1, ($P$2:$P$60=$A29) * ($Q$2:$Q$60=$B29), 0), MATCH(D$3, $P$1:$Y$1, 0))), "-", INDEX($P$2:$Y$60, MATCH(1, ($P$2:$P$60=$A29) * ($Q$2:$Q$60=$B29), 0), MATCH(D$3, $P$1:$Y$1, 0)))</f>
        <v>-</v>
      </c>
      <c r="E29" t="e" cm="1">
        <f t="array" ref="E29">INDEX($P$2:$X$60, MATCH(1, ($P$2:$P$60=$A29) * ($Q$2:$Q$60=$B29), 0), MATCH(E$3, $P$1:$X$1, 0))</f>
        <v>#N/A</v>
      </c>
      <c r="F29" t="e" cm="1">
        <f t="array" ref="F29">INDEX($P$2:$X$60, MATCH(1, ($P$2:$P$60=$A29) * ($Q$2:$Q$60=$B29), 0), MATCH(F$3, $P$1:$X$1, 0))</f>
        <v>#N/A</v>
      </c>
      <c r="G29" cm="1">
        <f t="array" ref="G29">INDEX($P$2:$X$60, MATCH(1, ($P$2:$P$60=$A29) * ($Q$2:$Q$60=$B29), 0), MATCH(G$3, $P$1:$X$1, 0))</f>
        <v>181.487921</v>
      </c>
      <c r="H29" cm="1">
        <f t="array" ref="H29">INDEX($P$2:$X$60, MATCH(1, ($P$2:$P$60=$A29) * ($Q$2:$Q$60=$B29), 0), MATCH(H$3, $P$1:$X$1, 0))</f>
        <v>178.27417199999999</v>
      </c>
      <c r="I29" t="str" cm="1">
        <f t="array" ref="I29">INDEX($P$2:$X$60, MATCH(1, ($P$2:$P$60=$A29) * ($Q$2:$Q$60=$B29), 0), MATCH(I$3, $P$1:$X$1, 0))</f>
        <v>DNF</v>
      </c>
      <c r="J29" t="str" cm="1">
        <f t="array" ref="J29">INDEX($P$2:$X$60, MATCH(1, ($P$2:$P$60=$A29) * ($Q$2:$Q$60=$B29), 0), MATCH(J$3, $P$1:$X$1, 0))</f>
        <v>DNF</v>
      </c>
      <c r="K29" cm="1">
        <f t="array" ref="K29">INDEX($P$2:$X$60, MATCH(1, ($P$2:$P$60=$A29) * ($Q$2:$Q$60=$B29), 0), MATCH(K$3, $P$1:$X$1, 0))</f>
        <v>0.98229221546925971</v>
      </c>
      <c r="L29" t="b" cm="1">
        <f t="array" ref="L29">INDEX($AA$2:$AC$60, MATCH(1, ($P$2:$P$60=$A29) * ($Q$2:$Q$60=$B29), 0), MATCH(I$3, $AA$1:$AC$1, 0))</f>
        <v>1</v>
      </c>
      <c r="M29" t="b" cm="1">
        <f t="array" ref="M29">INDEX($AA$2:$AC$60, MATCH(1, ($P$2:$P$60=$A29) * ($Q$2:$Q$60=$B29), 0), MATCH(J$3, $AA$1:$AC$1, 0))</f>
        <v>1</v>
      </c>
      <c r="N29" t="b" cm="1">
        <f t="array" ref="N29">INDEX($AA$2:$AC$60, MATCH(1, ($P$2:$P$60=$A29) * ($Q$2:$Q$60=$B29), 0), MATCH(K$3, $AA$1:$AC$1, 0))</f>
        <v>0</v>
      </c>
      <c r="P29" s="6" t="s">
        <v>67</v>
      </c>
      <c r="Q29" s="6" t="s">
        <v>38</v>
      </c>
      <c r="R29">
        <f>medium!M8</f>
        <v>0.29500500000000002</v>
      </c>
      <c r="S29">
        <f>medium!N8</f>
        <v>0.76590000000000003</v>
      </c>
      <c r="T29">
        <f>medium!O8</f>
        <v>13.838817000000001</v>
      </c>
      <c r="U29">
        <f>medium!P8</f>
        <v>0.29999700000000001</v>
      </c>
      <c r="V29">
        <f>medium!Q8</f>
        <v>2.5962271825901255</v>
      </c>
      <c r="W29">
        <f>medium!R8</f>
        <v>46.910448975441092</v>
      </c>
      <c r="X29">
        <f>medium!S8</f>
        <v>1.0169217470890324</v>
      </c>
      <c r="Y29">
        <v>3</v>
      </c>
      <c r="AA29" t="b">
        <f>medium!T31</f>
        <v>1</v>
      </c>
      <c r="AB29" t="b">
        <f>medium!U31</f>
        <v>1</v>
      </c>
      <c r="AC29" t="b">
        <f>medium!V31</f>
        <v>0</v>
      </c>
      <c r="AF29" s="17"/>
      <c r="AG29" s="17"/>
      <c r="AJ29" s="5" t="s">
        <v>34</v>
      </c>
      <c r="AK29">
        <v>5</v>
      </c>
      <c r="AL29">
        <v>5</v>
      </c>
    </row>
    <row r="30" spans="1:38" x14ac:dyDescent="0.2">
      <c r="A30" t="s">
        <v>69</v>
      </c>
      <c r="B30" s="3" t="s">
        <v>44</v>
      </c>
      <c r="C30" t="s">
        <v>76</v>
      </c>
      <c r="D30" s="6" t="str" cm="1">
        <f t="array" ref="D30">IF(ISBLANK(INDEX($P$2:$Y$60, MATCH(1, ($P$2:$P$60=$A30) * ($Q$2:$Q$60=$B30), 0), MATCH(D$3, $P$1:$Y$1, 0))), "-", INDEX($P$2:$Y$60, MATCH(1, ($P$2:$P$60=$A30) * ($Q$2:$Q$60=$B30), 0), MATCH(D$3, $P$1:$Y$1, 0)))</f>
        <v>-</v>
      </c>
      <c r="E30" t="e" cm="1">
        <f t="array" ref="E30">INDEX($P$2:$X$60, MATCH(1, ($P$2:$P$60=$A30) * ($Q$2:$Q$60=$B30), 0), MATCH(E$3, $P$1:$X$1, 0))</f>
        <v>#N/A</v>
      </c>
      <c r="F30" t="e" cm="1">
        <f t="array" ref="F30">INDEX($P$2:$X$60, MATCH(1, ($P$2:$P$60=$A30) * ($Q$2:$Q$60=$B30), 0), MATCH(F$3, $P$1:$X$1, 0))</f>
        <v>#N/A</v>
      </c>
      <c r="G30" cm="1">
        <f t="array" ref="G30">INDEX($P$2:$X$60, MATCH(1, ($P$2:$P$60=$A30) * ($Q$2:$Q$60=$B30), 0), MATCH(G$3, $P$1:$X$1, 0))</f>
        <v>450.077224</v>
      </c>
      <c r="H30" cm="1">
        <f t="array" ref="H30">INDEX($P$2:$X$60, MATCH(1, ($P$2:$P$60=$A30) * ($Q$2:$Q$60=$B30), 0), MATCH(H$3, $P$1:$X$1, 0))</f>
        <v>454.28804400000001</v>
      </c>
      <c r="I30" t="str" cm="1">
        <f t="array" ref="I30">INDEX($P$2:$X$60, MATCH(1, ($P$2:$P$60=$A30) * ($Q$2:$Q$60=$B30), 0), MATCH(I$3, $P$1:$X$1, 0))</f>
        <v>DNF</v>
      </c>
      <c r="J30" t="str" cm="1">
        <f t="array" ref="J30">INDEX($P$2:$X$60, MATCH(1, ($P$2:$P$60=$A30) * ($Q$2:$Q$60=$B30), 0), MATCH(J$3, $P$1:$X$1, 0))</f>
        <v>DNF</v>
      </c>
      <c r="K30" cm="1">
        <f t="array" ref="K30">INDEX($P$2:$X$60, MATCH(1, ($P$2:$P$60=$A30) * ($Q$2:$Q$60=$B30), 0), MATCH(K$3, $P$1:$X$1, 0))</f>
        <v>1.0093557722440982</v>
      </c>
      <c r="L30" t="b" cm="1">
        <f t="array" ref="L30">INDEX($AA$2:$AC$60, MATCH(1, ($P$2:$P$60=$A30) * ($Q$2:$Q$60=$B30), 0), MATCH(I$3, $AA$1:$AC$1, 0))</f>
        <v>1</v>
      </c>
      <c r="M30" t="b" cm="1">
        <f t="array" ref="M30">INDEX($AA$2:$AC$60, MATCH(1, ($P$2:$P$60=$A30) * ($Q$2:$Q$60=$B30), 0), MATCH(J$3, $AA$1:$AC$1, 0))</f>
        <v>1</v>
      </c>
      <c r="N30" t="b" cm="1">
        <f t="array" ref="N30">INDEX($AA$2:$AC$60, MATCH(1, ($P$2:$P$60=$A30) * ($Q$2:$Q$60=$B30), 0), MATCH(K$3, $AA$1:$AC$1, 0))</f>
        <v>0</v>
      </c>
      <c r="P30" s="6" t="s">
        <v>67</v>
      </c>
      <c r="Q30" s="6" t="s">
        <v>40</v>
      </c>
      <c r="R30">
        <f>medium!M9</f>
        <v>1.06881</v>
      </c>
      <c r="S30">
        <f>medium!N9</f>
        <v>5.7115309999999999</v>
      </c>
      <c r="T30" t="e">
        <f>medium!O9</f>
        <v>#N/A</v>
      </c>
      <c r="U30">
        <f>medium!P9</f>
        <v>1.109318</v>
      </c>
      <c r="V30">
        <f>medium!Q9</f>
        <v>5.343822569025364</v>
      </c>
      <c r="W30" t="str">
        <f>medium!R9</f>
        <v>DNF</v>
      </c>
      <c r="X30">
        <f>medium!S9</f>
        <v>1.0379000944976189</v>
      </c>
      <c r="Y30">
        <v>11</v>
      </c>
      <c r="AA30" t="b">
        <f>medium!T32</f>
        <v>1</v>
      </c>
      <c r="AB30" t="b">
        <f>medium!U32</f>
        <v>1</v>
      </c>
      <c r="AC30" t="b">
        <f>medium!V32</f>
        <v>0</v>
      </c>
      <c r="AF30" s="17"/>
      <c r="AG30" s="17"/>
      <c r="AJ30" s="5" t="s">
        <v>36</v>
      </c>
      <c r="AK30">
        <v>1</v>
      </c>
      <c r="AL30">
        <v>1</v>
      </c>
    </row>
    <row r="31" spans="1:38" hidden="1" x14ac:dyDescent="0.2">
      <c r="A31" t="s">
        <v>65</v>
      </c>
      <c r="B31" s="3" t="s">
        <v>47</v>
      </c>
      <c r="C31" s="11" t="s">
        <v>71</v>
      </c>
      <c r="D31" s="6" cm="1">
        <f t="array" ref="D31">IF(ISBLANK(INDEX($P$2:$Y$60, MATCH(1, ($P$2:$P$60=$A31) * ($Q$2:$Q$60=$B31), 0), MATCH(D$3, $P$1:$Y$1, 0))), "", INDEX($P$2:$Y$60, MATCH(1, ($P$2:$P$60=$A31) * ($Q$2:$Q$60=$B31), 0), MATCH(D$3, $P$1:$Y$1, 0)))</f>
        <v>3</v>
      </c>
      <c r="E31" cm="1">
        <f t="array" ref="E31">INDEX($P$2:$X$60, MATCH(1, ($P$2:$P$60=$A31) * ($Q$2:$Q$60=$B31), 0), MATCH(E$3, $P$1:$X$1, 0))</f>
        <v>2.519E-3</v>
      </c>
      <c r="F31" cm="1">
        <f t="array" ref="F31">INDEX($P$2:$X$60, MATCH(1, ($P$2:$P$60=$A31) * ($Q$2:$Q$60=$B31), 0), MATCH(F$3, $P$1:$X$1, 0))</f>
        <v>7.6815999999999995E-2</v>
      </c>
      <c r="G31" cm="1">
        <f t="array" ref="G31">INDEX($P$2:$X$60, MATCH(1, ($P$2:$P$60=$A31) * ($Q$2:$Q$60=$B31), 0), MATCH(G$3, $P$1:$X$1, 0))</f>
        <v>1.4302E-2</v>
      </c>
      <c r="H31" cm="1">
        <f t="array" ref="H31">INDEX($P$2:$X$60, MATCH(1, ($P$2:$P$60=$A31) * ($Q$2:$Q$60=$B31), 0), MATCH(H$3, $P$1:$X$1, 0))</f>
        <v>1.2097999999999999E-2</v>
      </c>
      <c r="I31" cm="1">
        <f t="array" ref="I31">INDEX($P$2:$X$60, MATCH(1, ($P$2:$P$60=$A31) * ($Q$2:$Q$60=$B31), 0), MATCH(I$3, $P$1:$X$1, 0))</f>
        <v>5.370997063347783</v>
      </c>
      <c r="J31" cm="1">
        <f t="array" ref="J31">INDEX($P$2:$X$60, MATCH(1, ($P$2:$P$60=$A31) * ($Q$2:$Q$60=$B31), 0), MATCH(J$3, $P$1:$X$1, 0))</f>
        <v>0.17612921269752482</v>
      </c>
      <c r="K31" cm="1">
        <f t="array" ref="K31">INDEX($P$2:$X$60, MATCH(1, ($P$2:$P$60=$A31) * ($Q$2:$Q$60=$B31), 0), MATCH(K$3, $P$1:$X$1, 0))</f>
        <v>0.84589567892602424</v>
      </c>
      <c r="L31" t="b" cm="1">
        <f t="array" ref="L31">INDEX($AA$2:$AC$60, MATCH(1, ($P$2:$P$60=$A31) * ($Q$2:$Q$60=$B31), 0), MATCH(I$3, $AA$1:$AC$1, 0))</f>
        <v>1</v>
      </c>
      <c r="M31" t="b" cm="1">
        <f t="array" ref="M31">INDEX($AA$2:$AC$60, MATCH(1, ($P$2:$P$60=$A31) * ($Q$2:$Q$60=$B31), 0), MATCH(J$3, $AA$1:$AC$1, 0))</f>
        <v>1</v>
      </c>
      <c r="N31" t="b" cm="1">
        <f t="array" ref="N31">INDEX($AA$2:$AC$60, MATCH(1, ($P$2:$P$60=$A31) * ($Q$2:$Q$60=$B31), 0), MATCH(K$3, $AA$1:$AC$1, 0))</f>
        <v>0</v>
      </c>
      <c r="P31" s="6" t="s">
        <v>67</v>
      </c>
      <c r="Q31" s="6" t="s">
        <v>42</v>
      </c>
      <c r="R31">
        <f>medium!M10</f>
        <v>9.9919999999999991E-3</v>
      </c>
      <c r="S31">
        <f>medium!N10</f>
        <v>5.8332000000000002E-2</v>
      </c>
      <c r="T31">
        <f>medium!O10</f>
        <v>17.674676000000002</v>
      </c>
      <c r="U31">
        <f>medium!P10</f>
        <v>8.3560000000000006E-3</v>
      </c>
      <c r="V31">
        <f>medium!Q10</f>
        <v>5.8378702962369902</v>
      </c>
      <c r="W31">
        <f>medium!R10</f>
        <v>1768.8827061649322</v>
      </c>
      <c r="X31">
        <f>medium!S10</f>
        <v>0.8362690152121699</v>
      </c>
      <c r="Y31">
        <v>3</v>
      </c>
      <c r="AA31" t="b">
        <f>medium!T33</f>
        <v>1</v>
      </c>
      <c r="AB31" t="b">
        <f>medium!U33</f>
        <v>1</v>
      </c>
      <c r="AC31" t="b">
        <f>medium!V33</f>
        <v>0</v>
      </c>
      <c r="AF31" s="17"/>
      <c r="AG31" s="17"/>
      <c r="AJ31" s="5" t="s">
        <v>2</v>
      </c>
      <c r="AK31">
        <v>3</v>
      </c>
      <c r="AL31">
        <v>3</v>
      </c>
    </row>
    <row r="32" spans="1:38" x14ac:dyDescent="0.2">
      <c r="A32" t="s">
        <v>67</v>
      </c>
      <c r="B32" s="3" t="s">
        <v>47</v>
      </c>
      <c r="C32" s="11" t="s">
        <v>72</v>
      </c>
      <c r="D32" s="6" cm="1">
        <f t="array" ref="D32">IF(ISBLANK(INDEX($P$2:$Y$60, MATCH(1, ($P$2:$P$60=$A32) * ($Q$2:$Q$60=$B32), 0), MATCH(D$3, $P$1:$Y$1, 0))), "-", INDEX($P$2:$Y$60, MATCH(1, ($P$2:$P$60=$A32) * ($Q$2:$Q$60=$B32), 0), MATCH(D$3, $P$1:$Y$1, 0)))</f>
        <v>16</v>
      </c>
      <c r="E32" t="e" cm="1">
        <f t="array" ref="E32">INDEX($P$2:$X$60, MATCH(1, ($P$2:$P$60=$A32) * ($Q$2:$Q$60=$B32), 0), MATCH(E$3, $P$1:$X$1, 0))</f>
        <v>#N/A</v>
      </c>
      <c r="F32" cm="1">
        <f t="array" ref="F32">INDEX($P$2:$X$60, MATCH(1, ($P$2:$P$60=$A32) * ($Q$2:$Q$60=$B32), 0), MATCH(F$3, $P$1:$X$1, 0))</f>
        <v>0.83453699999999997</v>
      </c>
      <c r="G32" cm="1">
        <f t="array" ref="G32">INDEX($P$2:$X$60, MATCH(1, ($P$2:$P$60=$A32) * ($Q$2:$Q$60=$B32), 0), MATCH(G$3, $P$1:$X$1, 0))</f>
        <v>5.4668000000000001E-2</v>
      </c>
      <c r="H32" cm="1">
        <f t="array" ref="H32">INDEX($P$2:$X$60, MATCH(1, ($P$2:$P$60=$A32) * ($Q$2:$Q$60=$B32), 0), MATCH(H$3, $P$1:$X$1, 0))</f>
        <v>5.2683000000000001E-2</v>
      </c>
      <c r="I32" cm="1">
        <f t="array" ref="I32">INDEX($P$2:$X$60, MATCH(1, ($P$2:$P$60=$A32) * ($Q$2:$Q$60=$B32), 0), MATCH(I$3, $P$1:$X$1, 0))</f>
        <v>15.265548401258505</v>
      </c>
      <c r="J32" t="str" cm="1">
        <f t="array" ref="J32">INDEX($P$2:$X$60, MATCH(1, ($P$2:$P$60=$A32) * ($Q$2:$Q$60=$B32), 0), MATCH(J$3, $P$1:$X$1, 0))</f>
        <v>DNF</v>
      </c>
      <c r="K32" cm="1">
        <f t="array" ref="K32">INDEX($P$2:$X$60, MATCH(1, ($P$2:$P$60=$A32) * ($Q$2:$Q$60=$B32), 0), MATCH(K$3, $P$1:$X$1, 0))</f>
        <v>0.96368991000219506</v>
      </c>
      <c r="L32" t="b" cm="1">
        <f t="array" ref="L32">INDEX($AA$2:$AC$60, MATCH(1, ($P$2:$P$60=$A32) * ($Q$2:$Q$60=$B32), 0), MATCH(I$3, $AA$1:$AC$1, 0))</f>
        <v>1</v>
      </c>
      <c r="M32" t="b" cm="1">
        <f t="array" ref="M32">INDEX($AA$2:$AC$60, MATCH(1, ($P$2:$P$60=$A32) * ($Q$2:$Q$60=$B32), 0), MATCH(J$3, $AA$1:$AC$1, 0))</f>
        <v>1</v>
      </c>
      <c r="N32" t="b" cm="1">
        <f t="array" ref="N32">INDEX($AA$2:$AC$60, MATCH(1, ($P$2:$P$60=$A32) * ($Q$2:$Q$60=$B32), 0), MATCH(K$3, $AA$1:$AC$1, 0))</f>
        <v>0</v>
      </c>
      <c r="P32" s="6" t="s">
        <v>67</v>
      </c>
      <c r="Q32" s="6" t="s">
        <v>44</v>
      </c>
      <c r="R32">
        <f>medium!M11</f>
        <v>181.487921</v>
      </c>
      <c r="S32" t="e">
        <f>medium!N11</f>
        <v>#N/A</v>
      </c>
      <c r="T32" t="e">
        <f>medium!O11</f>
        <v>#N/A</v>
      </c>
      <c r="U32">
        <f>medium!P11</f>
        <v>178.27417199999999</v>
      </c>
      <c r="V32" t="str">
        <f>medium!Q11</f>
        <v>DNF</v>
      </c>
      <c r="W32" t="str">
        <f>medium!R11</f>
        <v>DNF</v>
      </c>
      <c r="X32">
        <f>medium!S11</f>
        <v>0.98229221546925971</v>
      </c>
      <c r="AA32" t="b">
        <f>medium!T34</f>
        <v>1</v>
      </c>
      <c r="AB32" t="b">
        <f>medium!U34</f>
        <v>1</v>
      </c>
      <c r="AC32" t="b">
        <f>medium!V34</f>
        <v>0</v>
      </c>
      <c r="AF32" s="17"/>
      <c r="AG32" s="17"/>
      <c r="AJ32" s="5" t="s">
        <v>39</v>
      </c>
      <c r="AK32">
        <v>11</v>
      </c>
      <c r="AL32">
        <v>11</v>
      </c>
    </row>
    <row r="33" spans="1:38" x14ac:dyDescent="0.2">
      <c r="A33" t="s">
        <v>69</v>
      </c>
      <c r="B33" s="3" t="s">
        <v>47</v>
      </c>
      <c r="C33" s="11" t="s">
        <v>73</v>
      </c>
      <c r="D33" s="6" t="str" cm="1">
        <f t="array" ref="D33">IF(ISBLANK(INDEX($P$2:$Y$60, MATCH(1, ($P$2:$P$60=$A33) * ($Q$2:$Q$60=$B33), 0), MATCH(D$3, $P$1:$Y$1, 0))), "-", INDEX($P$2:$Y$60, MATCH(1, ($P$2:$P$60=$A33) * ($Q$2:$Q$60=$B33), 0), MATCH(D$3, $P$1:$Y$1, 0)))</f>
        <v>-</v>
      </c>
      <c r="E33" t="e" cm="1">
        <f t="array" ref="E33">INDEX($P$2:$X$60, MATCH(1, ($P$2:$P$60=$A33) * ($Q$2:$Q$60=$B33), 0), MATCH(E$3, $P$1:$X$1, 0))</f>
        <v>#N/A</v>
      </c>
      <c r="F33" t="e" cm="1">
        <f t="array" ref="F33">INDEX($P$2:$X$60, MATCH(1, ($P$2:$P$60=$A33) * ($Q$2:$Q$60=$B33), 0), MATCH(F$3, $P$1:$X$1, 0))</f>
        <v>#N/A</v>
      </c>
      <c r="G33" cm="1">
        <f t="array" ref="G33">INDEX($P$2:$X$60, MATCH(1, ($P$2:$P$60=$A33) * ($Q$2:$Q$60=$B33), 0), MATCH(G$3, $P$1:$X$1, 0))</f>
        <v>0.51047799999999999</v>
      </c>
      <c r="H33" cm="1">
        <f t="array" ref="H33">INDEX($P$2:$X$60, MATCH(1, ($P$2:$P$60=$A33) * ($Q$2:$Q$60=$B33), 0), MATCH(H$3, $P$1:$X$1, 0))</f>
        <v>0.49288900000000002</v>
      </c>
      <c r="I33" t="str" cm="1">
        <f t="array" ref="I33">INDEX($P$2:$X$60, MATCH(1, ($P$2:$P$60=$A33) * ($Q$2:$Q$60=$B33), 0), MATCH(I$3, $P$1:$X$1, 0))</f>
        <v>DNF</v>
      </c>
      <c r="J33" t="str" cm="1">
        <f t="array" ref="J33">INDEX($P$2:$X$60, MATCH(1, ($P$2:$P$60=$A33) * ($Q$2:$Q$60=$B33), 0), MATCH(J$3, $P$1:$X$1, 0))</f>
        <v>DNF</v>
      </c>
      <c r="K33" cm="1">
        <f t="array" ref="K33">INDEX($P$2:$X$60, MATCH(1, ($P$2:$P$60=$A33) * ($Q$2:$Q$60=$B33), 0), MATCH(K$3, $P$1:$X$1, 0))</f>
        <v>0.9655440587057621</v>
      </c>
      <c r="L33" t="b" cm="1">
        <f t="array" ref="L33">INDEX($AA$2:$AC$60, MATCH(1, ($P$2:$P$60=$A33) * ($Q$2:$Q$60=$B33), 0), MATCH(I$3, $AA$1:$AC$1, 0))</f>
        <v>1</v>
      </c>
      <c r="M33" t="b" cm="1">
        <f t="array" ref="M33">INDEX($AA$2:$AC$60, MATCH(1, ($P$2:$P$60=$A33) * ($Q$2:$Q$60=$B33), 0), MATCH(J$3, $AA$1:$AC$1, 0))</f>
        <v>1</v>
      </c>
      <c r="N33" t="b" cm="1">
        <f t="array" ref="N33">INDEX($AA$2:$AC$60, MATCH(1, ($P$2:$P$60=$A33) * ($Q$2:$Q$60=$B33), 0), MATCH(K$3, $AA$1:$AC$1, 0))</f>
        <v>0</v>
      </c>
      <c r="P33" s="6" t="s">
        <v>67</v>
      </c>
      <c r="Q33" s="6" t="s">
        <v>47</v>
      </c>
      <c r="R33">
        <f>medium!M12</f>
        <v>5.4668000000000001E-2</v>
      </c>
      <c r="S33">
        <f>medium!N12</f>
        <v>0.83453699999999997</v>
      </c>
      <c r="T33" t="e">
        <f>medium!O12</f>
        <v>#N/A</v>
      </c>
      <c r="U33">
        <f>medium!P12</f>
        <v>5.2683000000000001E-2</v>
      </c>
      <c r="V33">
        <f>medium!Q12</f>
        <v>15.265548401258505</v>
      </c>
      <c r="W33" t="str">
        <f>medium!R12</f>
        <v>DNF</v>
      </c>
      <c r="X33">
        <f>medium!S12</f>
        <v>0.96368991000219506</v>
      </c>
      <c r="Y33">
        <v>16</v>
      </c>
      <c r="AA33" t="b">
        <f>medium!T35</f>
        <v>1</v>
      </c>
      <c r="AB33" t="b">
        <f>medium!U35</f>
        <v>1</v>
      </c>
      <c r="AC33" t="b">
        <f>medium!V35</f>
        <v>0</v>
      </c>
      <c r="AF33" s="17"/>
      <c r="AG33" s="17"/>
      <c r="AJ33" s="5" t="s">
        <v>41</v>
      </c>
      <c r="AK33">
        <v>5</v>
      </c>
      <c r="AL33">
        <v>5</v>
      </c>
    </row>
    <row r="34" spans="1:38" hidden="1" x14ac:dyDescent="0.2">
      <c r="A34" t="s">
        <v>65</v>
      </c>
      <c r="B34" s="3" t="s">
        <v>49</v>
      </c>
      <c r="C34" t="s">
        <v>66</v>
      </c>
      <c r="D34" s="6" cm="1">
        <f t="array" ref="D34">IF(ISBLANK(INDEX($P$2:$Y$60, MATCH(1, ($P$2:$P$60=$A34) * ($Q$2:$Q$60=$B34), 0), MATCH(D$3, $P$1:$Y$1, 0))), "", INDEX($P$2:$Y$60, MATCH(1, ($P$2:$P$60=$A34) * ($Q$2:$Q$60=$B34), 0), MATCH(D$3, $P$1:$Y$1, 0)))</f>
        <v>2</v>
      </c>
      <c r="E34" cm="1">
        <f t="array" ref="E34">INDEX($P$2:$X$60, MATCH(1, ($P$2:$P$60=$A34) * ($Q$2:$Q$60=$B34), 0), MATCH(E$3, $P$1:$X$1, 0))</f>
        <v>2.0479999999999999E-3</v>
      </c>
      <c r="F34" cm="1">
        <f t="array" ref="F34">INDEX($P$2:$X$60, MATCH(1, ($P$2:$P$60=$A34) * ($Q$2:$Q$60=$B34), 0), MATCH(F$3, $P$1:$X$1, 0))</f>
        <v>3.7601000000000002E-2</v>
      </c>
      <c r="G34" cm="1">
        <f t="array" ref="G34">INDEX($P$2:$X$60, MATCH(1, ($P$2:$P$60=$A34) * ($Q$2:$Q$60=$B34), 0), MATCH(G$3, $P$1:$X$1, 0))</f>
        <v>1.1875E-2</v>
      </c>
      <c r="H34" cm="1">
        <f t="array" ref="H34">INDEX($P$2:$X$60, MATCH(1, ($P$2:$P$60=$A34) * ($Q$2:$Q$60=$B34), 0), MATCH(H$3, $P$1:$X$1, 0))</f>
        <v>9.5499999999999995E-3</v>
      </c>
      <c r="I34" cm="1">
        <f t="array" ref="I34">INDEX($P$2:$X$60, MATCH(1, ($P$2:$P$60=$A34) * ($Q$2:$Q$60=$B34), 0), MATCH(I$3, $P$1:$X$1, 0))</f>
        <v>3.1664000000000003</v>
      </c>
      <c r="J34" cm="1">
        <f t="array" ref="J34">INDEX($P$2:$X$60, MATCH(1, ($P$2:$P$60=$A34) * ($Q$2:$Q$60=$B34), 0), MATCH(J$3, $P$1:$X$1, 0))</f>
        <v>0.17246315789473685</v>
      </c>
      <c r="K34" cm="1">
        <f t="array" ref="K34">INDEX($P$2:$X$60, MATCH(1, ($P$2:$P$60=$A34) * ($Q$2:$Q$60=$B34), 0), MATCH(K$3, $P$1:$X$1, 0))</f>
        <v>0.80421052631578938</v>
      </c>
      <c r="L34" t="b" cm="1">
        <f t="array" ref="L34">INDEX($AA$2:$AC$60, MATCH(1, ($P$2:$P$60=$A34) * ($Q$2:$Q$60=$B34), 0), MATCH(I$3, $AA$1:$AC$1, 0))</f>
        <v>1</v>
      </c>
      <c r="M34" t="b" cm="1">
        <f t="array" ref="M34">INDEX($AA$2:$AC$60, MATCH(1, ($P$2:$P$60=$A34) * ($Q$2:$Q$60=$B34), 0), MATCH(J$3, $AA$1:$AC$1, 0))</f>
        <v>0</v>
      </c>
      <c r="N34" t="b" cm="1">
        <f t="array" ref="N34">INDEX($AA$2:$AC$60, MATCH(1, ($P$2:$P$60=$A34) * ($Q$2:$Q$60=$B34), 0), MATCH(K$3, $AA$1:$AC$1, 0))</f>
        <v>0</v>
      </c>
      <c r="P34" s="6" t="s">
        <v>67</v>
      </c>
      <c r="Q34" s="6" t="s">
        <v>49</v>
      </c>
      <c r="R34">
        <f>medium!M13</f>
        <v>7.6637999999999998E-2</v>
      </c>
      <c r="S34">
        <f>medium!N13</f>
        <v>0.39185500000000001</v>
      </c>
      <c r="T34" t="e">
        <f>medium!O13</f>
        <v>#N/A</v>
      </c>
      <c r="U34">
        <f>medium!P13</f>
        <v>7.4971999999999997E-2</v>
      </c>
      <c r="V34">
        <f>medium!Q13</f>
        <v>5.1130640152404814</v>
      </c>
      <c r="W34" t="str">
        <f>medium!R13</f>
        <v>DNF</v>
      </c>
      <c r="X34">
        <f>medium!S13</f>
        <v>0.97826143688509615</v>
      </c>
      <c r="Y34" s="9">
        <v>2</v>
      </c>
      <c r="AA34" t="b">
        <f>medium!T36</f>
        <v>1</v>
      </c>
      <c r="AB34" t="b">
        <f>medium!U36</f>
        <v>1</v>
      </c>
      <c r="AC34" t="b">
        <f>medium!V36</f>
        <v>0</v>
      </c>
      <c r="AF34" s="17"/>
      <c r="AG34" s="17"/>
      <c r="AJ34" s="5" t="s">
        <v>46</v>
      </c>
      <c r="AK34">
        <v>16</v>
      </c>
      <c r="AL34">
        <v>16</v>
      </c>
    </row>
    <row r="35" spans="1:38" x14ac:dyDescent="0.2">
      <c r="A35" t="s">
        <v>67</v>
      </c>
      <c r="B35" s="3" t="s">
        <v>49</v>
      </c>
      <c r="C35" t="s">
        <v>74</v>
      </c>
      <c r="D35" s="6" cm="1">
        <f t="array" ref="D35">IF(ISBLANK(INDEX($P$2:$Y$60, MATCH(1, ($P$2:$P$60=$A35) * ($Q$2:$Q$60=$B35), 0), MATCH(D$3, $P$1:$Y$1, 0))), "-", INDEX($P$2:$Y$60, MATCH(1, ($P$2:$P$60=$A35) * ($Q$2:$Q$60=$B35), 0), MATCH(D$3, $P$1:$Y$1, 0)))</f>
        <v>2</v>
      </c>
      <c r="E35" t="e" cm="1">
        <f t="array" ref="E35">INDEX($P$2:$X$60, MATCH(1, ($P$2:$P$60=$A35) * ($Q$2:$Q$60=$B35), 0), MATCH(E$3, $P$1:$X$1, 0))</f>
        <v>#N/A</v>
      </c>
      <c r="F35" cm="1">
        <f t="array" ref="F35">INDEX($P$2:$X$60, MATCH(1, ($P$2:$P$60=$A35) * ($Q$2:$Q$60=$B35), 0), MATCH(F$3, $P$1:$X$1, 0))</f>
        <v>0.39185500000000001</v>
      </c>
      <c r="G35" cm="1">
        <f t="array" ref="G35">INDEX($P$2:$X$60, MATCH(1, ($P$2:$P$60=$A35) * ($Q$2:$Q$60=$B35), 0), MATCH(G$3, $P$1:$X$1, 0))</f>
        <v>7.6637999999999998E-2</v>
      </c>
      <c r="H35" cm="1">
        <f t="array" ref="H35">INDEX($P$2:$X$60, MATCH(1, ($P$2:$P$60=$A35) * ($Q$2:$Q$60=$B35), 0), MATCH(H$3, $P$1:$X$1, 0))</f>
        <v>7.4971999999999997E-2</v>
      </c>
      <c r="I35" cm="1">
        <f t="array" ref="I35">INDEX($P$2:$X$60, MATCH(1, ($P$2:$P$60=$A35) * ($Q$2:$Q$60=$B35), 0), MATCH(I$3, $P$1:$X$1, 0))</f>
        <v>5.1130640152404814</v>
      </c>
      <c r="J35" t="str" cm="1">
        <f t="array" ref="J35">INDEX($P$2:$X$60, MATCH(1, ($P$2:$P$60=$A35) * ($Q$2:$Q$60=$B35), 0), MATCH(J$3, $P$1:$X$1, 0))</f>
        <v>DNF</v>
      </c>
      <c r="K35" cm="1">
        <f t="array" ref="K35">INDEX($P$2:$X$60, MATCH(1, ($P$2:$P$60=$A35) * ($Q$2:$Q$60=$B35), 0), MATCH(K$3, $P$1:$X$1, 0))</f>
        <v>0.97826143688509615</v>
      </c>
      <c r="L35" t="b" cm="1">
        <f t="array" ref="L35">INDEX($AA$2:$AC$60, MATCH(1, ($P$2:$P$60=$A35) * ($Q$2:$Q$60=$B35), 0), MATCH(I$3, $AA$1:$AC$1, 0))</f>
        <v>1</v>
      </c>
      <c r="M35" t="b" cm="1">
        <f t="array" ref="M35">INDEX($AA$2:$AC$60, MATCH(1, ($P$2:$P$60=$A35) * ($Q$2:$Q$60=$B35), 0), MATCH(J$3, $AA$1:$AC$1, 0))</f>
        <v>1</v>
      </c>
      <c r="N35" t="b" cm="1">
        <f t="array" ref="N35">INDEX($AA$2:$AC$60, MATCH(1, ($P$2:$P$60=$A35) * ($Q$2:$Q$60=$B35), 0), MATCH(K$3, $AA$1:$AC$1, 0))</f>
        <v>0</v>
      </c>
      <c r="P35" s="6" t="s">
        <v>67</v>
      </c>
      <c r="Q35" s="6" t="s">
        <v>50</v>
      </c>
      <c r="R35">
        <f>medium!M14</f>
        <v>9.3256000000000006E-2</v>
      </c>
      <c r="S35">
        <f>medium!N14</f>
        <v>0.953685</v>
      </c>
      <c r="T35" t="e">
        <f>medium!O14</f>
        <v>#N/A</v>
      </c>
      <c r="U35">
        <f>medium!P14</f>
        <v>8.8609999999999994E-2</v>
      </c>
      <c r="V35">
        <f>medium!Q14</f>
        <v>10.226526979497297</v>
      </c>
      <c r="W35" t="str">
        <f>medium!R14</f>
        <v>DNF</v>
      </c>
      <c r="X35">
        <f>medium!S14</f>
        <v>0.95018014926653505</v>
      </c>
      <c r="Y35" s="9">
        <v>5</v>
      </c>
      <c r="AA35" t="b">
        <f>medium!T37</f>
        <v>1</v>
      </c>
      <c r="AB35" t="b">
        <f>medium!U37</f>
        <v>1</v>
      </c>
      <c r="AC35" t="b">
        <f>medium!V37</f>
        <v>0</v>
      </c>
      <c r="AF35" s="17"/>
      <c r="AG35" s="17"/>
      <c r="AJ35" s="5" t="s">
        <v>45</v>
      </c>
      <c r="AK35">
        <v>2</v>
      </c>
      <c r="AL35">
        <v>2</v>
      </c>
    </row>
    <row r="36" spans="1:38" x14ac:dyDescent="0.2">
      <c r="A36" t="s">
        <v>69</v>
      </c>
      <c r="B36" s="3" t="s">
        <v>49</v>
      </c>
      <c r="C36" t="s">
        <v>68</v>
      </c>
      <c r="D36" s="6" cm="1">
        <f t="array" ref="D36">IF(ISBLANK(INDEX($P$2:$Y$60, MATCH(1, ($P$2:$P$60=$A36) * ($Q$2:$Q$60=$B36), 0), MATCH(D$3, $P$1:$Y$1, 0))), "-", INDEX($P$2:$Y$60, MATCH(1, ($P$2:$P$60=$A36) * ($Q$2:$Q$60=$B36), 0), MATCH(D$3, $P$1:$Y$1, 0)))</f>
        <v>2</v>
      </c>
      <c r="E36" t="e" cm="1">
        <f t="array" ref="E36">INDEX($P$2:$X$60, MATCH(1, ($P$2:$P$60=$A36) * ($Q$2:$Q$60=$B36), 0), MATCH(E$3, $P$1:$X$1, 0))</f>
        <v>#N/A</v>
      </c>
      <c r="F36" cm="1">
        <f t="array" ref="F36">INDEX($P$2:$X$60, MATCH(1, ($P$2:$P$60=$A36) * ($Q$2:$Q$60=$B36), 0), MATCH(F$3, $P$1:$X$1, 0))</f>
        <v>0.74385100000000004</v>
      </c>
      <c r="G36" cm="1">
        <f t="array" ref="G36">INDEX($P$2:$X$60, MATCH(1, ($P$2:$P$60=$A36) * ($Q$2:$Q$60=$B36), 0), MATCH(G$3, $P$1:$X$1, 0))</f>
        <v>0.43233899999999997</v>
      </c>
      <c r="H36" cm="1">
        <f t="array" ref="H36">INDEX($P$2:$X$60, MATCH(1, ($P$2:$P$60=$A36) * ($Q$2:$Q$60=$B36), 0), MATCH(H$3, $P$1:$X$1, 0))</f>
        <v>0.38301600000000002</v>
      </c>
      <c r="I36" cm="1">
        <f t="array" ref="I36">INDEX($P$2:$X$60, MATCH(1, ($P$2:$P$60=$A36) * ($Q$2:$Q$60=$B36), 0), MATCH(I$3, $P$1:$X$1, 0))</f>
        <v>1.7205271789035921</v>
      </c>
      <c r="J36" t="str" cm="1">
        <f t="array" ref="J36">INDEX($P$2:$X$60, MATCH(1, ($P$2:$P$60=$A36) * ($Q$2:$Q$60=$B36), 0), MATCH(J$3, $P$1:$X$1, 0))</f>
        <v>DNF</v>
      </c>
      <c r="K36" cm="1">
        <f t="array" ref="K36">INDEX($P$2:$X$60, MATCH(1, ($P$2:$P$60=$A36) * ($Q$2:$Q$60=$B36), 0), MATCH(K$3, $P$1:$X$1, 0))</f>
        <v>0.88591591320699736</v>
      </c>
      <c r="L36" t="b" cm="1">
        <f t="array" ref="L36">INDEX($AA$2:$AC$60, MATCH(1, ($P$2:$P$60=$A36) * ($Q$2:$Q$60=$B36), 0), MATCH(I$3, $AA$1:$AC$1, 0))</f>
        <v>1</v>
      </c>
      <c r="M36" t="b" cm="1">
        <f t="array" ref="M36">INDEX($AA$2:$AC$60, MATCH(1, ($P$2:$P$60=$A36) * ($Q$2:$Q$60=$B36), 0), MATCH(J$3, $AA$1:$AC$1, 0))</f>
        <v>1</v>
      </c>
      <c r="N36" t="b" cm="1">
        <f t="array" ref="N36">INDEX($AA$2:$AC$60, MATCH(1, ($P$2:$P$60=$A36) * ($Q$2:$Q$60=$B36), 0), MATCH(K$3, $AA$1:$AC$1, 0))</f>
        <v>0</v>
      </c>
      <c r="P36" s="6" t="s">
        <v>67</v>
      </c>
      <c r="Q36" s="6" t="s">
        <v>52</v>
      </c>
      <c r="R36">
        <f>medium!M15</f>
        <v>5.2131999999999998E-2</v>
      </c>
      <c r="S36">
        <f>medium!N15</f>
        <v>0.84097900000000003</v>
      </c>
      <c r="T36" t="e">
        <f>medium!O15</f>
        <v>#N/A</v>
      </c>
      <c r="U36">
        <f>medium!P15</f>
        <v>4.7639000000000001E-2</v>
      </c>
      <c r="V36">
        <f>medium!Q15</f>
        <v>16.131723317731911</v>
      </c>
      <c r="W36" t="str">
        <f>medium!R15</f>
        <v>DNF</v>
      </c>
      <c r="X36">
        <f>medium!S15</f>
        <v>0.91381493132816705</v>
      </c>
      <c r="Y36" s="9">
        <v>16</v>
      </c>
      <c r="AA36" t="b">
        <f>medium!T38</f>
        <v>1</v>
      </c>
      <c r="AB36" t="b">
        <f>medium!U38</f>
        <v>1</v>
      </c>
      <c r="AC36" t="b">
        <f>medium!V38</f>
        <v>0</v>
      </c>
      <c r="AF36" s="17"/>
      <c r="AG36" s="17"/>
      <c r="AJ36" s="5" t="s">
        <v>48</v>
      </c>
      <c r="AK36">
        <v>5</v>
      </c>
      <c r="AL36">
        <v>5</v>
      </c>
    </row>
    <row r="37" spans="1:38" hidden="1" x14ac:dyDescent="0.2">
      <c r="A37" t="s">
        <v>65</v>
      </c>
      <c r="B37" s="3" t="s">
        <v>50</v>
      </c>
      <c r="C37" t="s">
        <v>66</v>
      </c>
      <c r="D37" s="6" cm="1">
        <f t="array" ref="D37">IF(ISBLANK(INDEX($P$2:$Y$60, MATCH(1, ($P$2:$P$60=$A37) * ($Q$2:$Q$60=$B37), 0), MATCH(D$3, $P$1:$Y$1, 0))), "", INDEX($P$2:$Y$60, MATCH(1, ($P$2:$P$60=$A37) * ($Q$2:$Q$60=$B37), 0), MATCH(D$3, $P$1:$Y$1, 0)))</f>
        <v>5</v>
      </c>
      <c r="E37" cm="1">
        <f t="array" ref="E37">INDEX($P$2:$X$60, MATCH(1, ($P$2:$P$60=$A37) * ($Q$2:$Q$60=$B37), 0), MATCH(E$3, $P$1:$X$1, 0))</f>
        <v>3.7420000000000001E-3</v>
      </c>
      <c r="F37" cm="1">
        <f t="array" ref="F37">INDEX($P$2:$X$60, MATCH(1, ($P$2:$P$60=$A37) * ($Q$2:$Q$60=$B37), 0), MATCH(F$3, $P$1:$X$1, 0))</f>
        <v>9.8845000000000002E-2</v>
      </c>
      <c r="G37" cm="1">
        <f t="array" ref="G37">INDEX($P$2:$X$60, MATCH(1, ($P$2:$P$60=$A37) * ($Q$2:$Q$60=$B37), 0), MATCH(G$3, $P$1:$X$1, 0))</f>
        <v>1.1764E-2</v>
      </c>
      <c r="H37" cm="1">
        <f t="array" ref="H37">INDEX($P$2:$X$60, MATCH(1, ($P$2:$P$60=$A37) * ($Q$2:$Q$60=$B37), 0), MATCH(H$3, $P$1:$X$1, 0))</f>
        <v>9.8010000000000007E-3</v>
      </c>
      <c r="I37" cm="1">
        <f t="array" ref="I37">INDEX($P$2:$X$60, MATCH(1, ($P$2:$P$60=$A37) * ($Q$2:$Q$60=$B37), 0), MATCH(I$3, $P$1:$X$1, 0))</f>
        <v>8.4023291397483852</v>
      </c>
      <c r="J37" cm="1">
        <f t="array" ref="J37">INDEX($P$2:$X$60, MATCH(1, ($P$2:$P$60=$A37) * ($Q$2:$Q$60=$B37), 0), MATCH(J$3, $P$1:$X$1, 0))</f>
        <v>0.3180890853451207</v>
      </c>
      <c r="K37" cm="1">
        <f t="array" ref="K37">INDEX($P$2:$X$60, MATCH(1, ($P$2:$P$60=$A37) * ($Q$2:$Q$60=$B37), 0), MATCH(K$3, $P$1:$X$1, 0))</f>
        <v>0.83313498809928599</v>
      </c>
      <c r="L37" t="b" cm="1">
        <f t="array" ref="L37">INDEX($AA$2:$AC$60, MATCH(1, ($P$2:$P$60=$A37) * ($Q$2:$Q$60=$B37), 0), MATCH(I$3, $AA$1:$AC$1, 0))</f>
        <v>1</v>
      </c>
      <c r="M37" t="b" cm="1">
        <f t="array" ref="M37">INDEX($AA$2:$AC$60, MATCH(1, ($P$2:$P$60=$A37) * ($Q$2:$Q$60=$B37), 0), MATCH(J$3, $AA$1:$AC$1, 0))</f>
        <v>0</v>
      </c>
      <c r="N37" t="b" cm="1">
        <f t="array" ref="N37">INDEX($AA$2:$AC$60, MATCH(1, ($P$2:$P$60=$A37) * ($Q$2:$Q$60=$B37), 0), MATCH(K$3, $AA$1:$AC$1, 0))</f>
        <v>0</v>
      </c>
      <c r="P37" s="6" t="s">
        <v>67</v>
      </c>
      <c r="Q37" s="6" t="s">
        <v>54</v>
      </c>
      <c r="R37">
        <f>medium!M16</f>
        <v>2.6468999999999999E-2</v>
      </c>
      <c r="S37">
        <f>medium!N16</f>
        <v>0.152309</v>
      </c>
      <c r="T37">
        <f>medium!O16</f>
        <v>0.57808099999999996</v>
      </c>
      <c r="U37">
        <f>medium!P16</f>
        <v>2.5665E-2</v>
      </c>
      <c r="V37">
        <f>medium!Q16</f>
        <v>5.7542408100041555</v>
      </c>
      <c r="W37">
        <f>medium!R16</f>
        <v>21.839925951112622</v>
      </c>
      <c r="X37">
        <f>medium!S16</f>
        <v>0.96962484415731609</v>
      </c>
      <c r="Y37" s="9">
        <v>9</v>
      </c>
      <c r="AA37" t="b">
        <f>medium!T39</f>
        <v>1</v>
      </c>
      <c r="AB37" t="b">
        <f>medium!U39</f>
        <v>1</v>
      </c>
      <c r="AC37" t="b">
        <f>medium!V39</f>
        <v>0</v>
      </c>
      <c r="AF37" s="17"/>
      <c r="AG37" s="17"/>
      <c r="AJ37" s="5" t="s">
        <v>51</v>
      </c>
      <c r="AK37">
        <v>16</v>
      </c>
      <c r="AL37">
        <v>16</v>
      </c>
    </row>
    <row r="38" spans="1:38" x14ac:dyDescent="0.2">
      <c r="A38" t="s">
        <v>67</v>
      </c>
      <c r="B38" s="3" t="s">
        <v>50</v>
      </c>
      <c r="C38" t="s">
        <v>76</v>
      </c>
      <c r="D38" s="6" cm="1">
        <f t="array" ref="D38">IF(ISBLANK(INDEX($P$2:$Y$60, MATCH(1, ($P$2:$P$60=$A38) * ($Q$2:$Q$60=$B38), 0), MATCH(D$3, $P$1:$Y$1, 0))), "-", INDEX($P$2:$Y$60, MATCH(1, ($P$2:$P$60=$A38) * ($Q$2:$Q$60=$B38), 0), MATCH(D$3, $P$1:$Y$1, 0)))</f>
        <v>5</v>
      </c>
      <c r="E38" t="e" cm="1">
        <f t="array" ref="E38">INDEX($P$2:$X$60, MATCH(1, ($P$2:$P$60=$A38) * ($Q$2:$Q$60=$B38), 0), MATCH(E$3, $P$1:$X$1, 0))</f>
        <v>#N/A</v>
      </c>
      <c r="F38" cm="1">
        <f t="array" ref="F38">INDEX($P$2:$X$60, MATCH(1, ($P$2:$P$60=$A38) * ($Q$2:$Q$60=$B38), 0), MATCH(F$3, $P$1:$X$1, 0))</f>
        <v>0.953685</v>
      </c>
      <c r="G38" cm="1">
        <f t="array" ref="G38">INDEX($P$2:$X$60, MATCH(1, ($P$2:$P$60=$A38) * ($Q$2:$Q$60=$B38), 0), MATCH(G$3, $P$1:$X$1, 0))</f>
        <v>9.3256000000000006E-2</v>
      </c>
      <c r="H38" cm="1">
        <f t="array" ref="H38">INDEX($P$2:$X$60, MATCH(1, ($P$2:$P$60=$A38) * ($Q$2:$Q$60=$B38), 0), MATCH(H$3, $P$1:$X$1, 0))</f>
        <v>8.8609999999999994E-2</v>
      </c>
      <c r="I38" cm="1">
        <f t="array" ref="I38">INDEX($P$2:$X$60, MATCH(1, ($P$2:$P$60=$A38) * ($Q$2:$Q$60=$B38), 0), MATCH(I$3, $P$1:$X$1, 0))</f>
        <v>10.226526979497297</v>
      </c>
      <c r="J38" t="str" cm="1">
        <f t="array" ref="J38">INDEX($P$2:$X$60, MATCH(1, ($P$2:$P$60=$A38) * ($Q$2:$Q$60=$B38), 0), MATCH(J$3, $P$1:$X$1, 0))</f>
        <v>DNF</v>
      </c>
      <c r="K38" cm="1">
        <f t="array" ref="K38">INDEX($P$2:$X$60, MATCH(1, ($P$2:$P$60=$A38) * ($Q$2:$Q$60=$B38), 0), MATCH(K$3, $P$1:$X$1, 0))</f>
        <v>0.95018014926653505</v>
      </c>
      <c r="L38" t="b" cm="1">
        <f t="array" ref="L38">INDEX($AA$2:$AC$60, MATCH(1, ($P$2:$P$60=$A38) * ($Q$2:$Q$60=$B38), 0), MATCH(I$3, $AA$1:$AC$1, 0))</f>
        <v>1</v>
      </c>
      <c r="M38" t="b" cm="1">
        <f t="array" ref="M38">INDEX($AA$2:$AC$60, MATCH(1, ($P$2:$P$60=$A38) * ($Q$2:$Q$60=$B38), 0), MATCH(J$3, $AA$1:$AC$1, 0))</f>
        <v>1</v>
      </c>
      <c r="N38" t="b" cm="1">
        <f t="array" ref="N38">INDEX($AA$2:$AC$60, MATCH(1, ($P$2:$P$60=$A38) * ($Q$2:$Q$60=$B38), 0), MATCH(K$3, $AA$1:$AC$1, 0))</f>
        <v>0</v>
      </c>
      <c r="P38" s="6" t="s">
        <v>67</v>
      </c>
      <c r="Q38" s="6" t="s">
        <v>55</v>
      </c>
      <c r="R38">
        <f>medium!M17</f>
        <v>2.0929E-2</v>
      </c>
      <c r="S38">
        <f>medium!N17</f>
        <v>7.9342999999999997E-2</v>
      </c>
      <c r="T38">
        <f>medium!O17</f>
        <v>0.332675</v>
      </c>
      <c r="U38">
        <f>medium!P17</f>
        <v>1.7423999999999999E-2</v>
      </c>
      <c r="V38">
        <f>medium!Q17</f>
        <v>3.7910554732667587</v>
      </c>
      <c r="W38">
        <f>medium!R17</f>
        <v>15.89540828515457</v>
      </c>
      <c r="X38">
        <f>medium!S17</f>
        <v>0.83252902670935058</v>
      </c>
      <c r="Y38" s="9">
        <v>5</v>
      </c>
      <c r="AA38" t="b">
        <f>medium!T40</f>
        <v>1</v>
      </c>
      <c r="AB38" t="b">
        <f>medium!U40</f>
        <v>1</v>
      </c>
      <c r="AC38" t="b">
        <f>medium!V40</f>
        <v>0</v>
      </c>
      <c r="AF38" s="17"/>
      <c r="AG38" s="17"/>
      <c r="AJ38" s="5" t="s">
        <v>26</v>
      </c>
      <c r="AK38">
        <v>9</v>
      </c>
      <c r="AL38">
        <v>9</v>
      </c>
    </row>
    <row r="39" spans="1:38" x14ac:dyDescent="0.2">
      <c r="A39" t="s">
        <v>69</v>
      </c>
      <c r="B39" s="3" t="s">
        <v>50</v>
      </c>
      <c r="C39" t="s">
        <v>77</v>
      </c>
      <c r="D39" s="6" cm="1">
        <f t="array" ref="D39">IF(ISBLANK(INDEX($P$2:$Y$60, MATCH(1, ($P$2:$P$60=$A39) * ($Q$2:$Q$60=$B39), 0), MATCH(D$3, $P$1:$Y$1, 0))), "-", INDEX($P$2:$Y$60, MATCH(1, ($P$2:$P$60=$A39) * ($Q$2:$Q$60=$B39), 0), MATCH(D$3, $P$1:$Y$1, 0)))</f>
        <v>7</v>
      </c>
      <c r="E39" t="e" cm="1">
        <f t="array" ref="E39">INDEX($P$2:$X$60, MATCH(1, ($P$2:$P$60=$A39) * ($Q$2:$Q$60=$B39), 0), MATCH(E$3, $P$1:$X$1, 0))</f>
        <v>#N/A</v>
      </c>
      <c r="F39" cm="1">
        <f t="array" ref="F39">INDEX($P$2:$X$60, MATCH(1, ($P$2:$P$60=$A39) * ($Q$2:$Q$60=$B39), 0), MATCH(F$3, $P$1:$X$1, 0))</f>
        <v>4.7958179999999997</v>
      </c>
      <c r="G39" cm="1">
        <f t="array" ref="G39">INDEX($P$2:$X$60, MATCH(1, ($P$2:$P$60=$A39) * ($Q$2:$Q$60=$B39), 0), MATCH(G$3, $P$1:$X$1, 0))</f>
        <v>0.85773500000000003</v>
      </c>
      <c r="H39" cm="1">
        <f t="array" ref="H39">INDEX($P$2:$X$60, MATCH(1, ($P$2:$P$60=$A39) * ($Q$2:$Q$60=$B39), 0), MATCH(H$3, $P$1:$X$1, 0))</f>
        <v>0.87324100000000004</v>
      </c>
      <c r="I39" cm="1">
        <f t="array" ref="I39">INDEX($P$2:$X$60, MATCH(1, ($P$2:$P$60=$A39) * ($Q$2:$Q$60=$B39), 0), MATCH(I$3, $P$1:$X$1, 0))</f>
        <v>5.5912583723411071</v>
      </c>
      <c r="J39" t="str" cm="1">
        <f t="array" ref="J39">INDEX($P$2:$X$60, MATCH(1, ($P$2:$P$60=$A39) * ($Q$2:$Q$60=$B39), 0), MATCH(J$3, $P$1:$X$1, 0))</f>
        <v>DNF</v>
      </c>
      <c r="K39" cm="1">
        <f t="array" ref="K39">INDEX($P$2:$X$60, MATCH(1, ($P$2:$P$60=$A39) * ($Q$2:$Q$60=$B39), 0), MATCH(K$3, $P$1:$X$1, 0))</f>
        <v>1.0180778445557195</v>
      </c>
      <c r="L39" t="b" cm="1">
        <f t="array" ref="L39">INDEX($AA$2:$AC$60, MATCH(1, ($P$2:$P$60=$A39) * ($Q$2:$Q$60=$B39), 0), MATCH(I$3, $AA$1:$AC$1, 0))</f>
        <v>1</v>
      </c>
      <c r="M39" t="b" cm="1">
        <f t="array" ref="M39">INDEX($AA$2:$AC$60, MATCH(1, ($P$2:$P$60=$A39) * ($Q$2:$Q$60=$B39), 0), MATCH(J$3, $AA$1:$AC$1, 0))</f>
        <v>1</v>
      </c>
      <c r="N39" t="b" cm="1">
        <f t="array" ref="N39">INDEX($AA$2:$AC$60, MATCH(1, ($P$2:$P$60=$A39) * ($Q$2:$Q$60=$B39), 0), MATCH(K$3, $AA$1:$AC$1, 0))</f>
        <v>0</v>
      </c>
      <c r="P39" s="6" t="s">
        <v>67</v>
      </c>
      <c r="Q39" s="6" t="s">
        <v>56</v>
      </c>
      <c r="R39">
        <f>medium!M18</f>
        <v>0.124113</v>
      </c>
      <c r="S39">
        <f>medium!N18</f>
        <v>2.6106609999999999</v>
      </c>
      <c r="T39" t="e">
        <f>medium!O18</f>
        <v>#N/A</v>
      </c>
      <c r="U39">
        <f>medium!P18</f>
        <v>0.123728</v>
      </c>
      <c r="V39">
        <f>medium!Q18</f>
        <v>21.034549160845359</v>
      </c>
      <c r="W39" t="str">
        <f>medium!R18</f>
        <v>DNF</v>
      </c>
      <c r="X39">
        <f>medium!S18</f>
        <v>0.99689798812372599</v>
      </c>
      <c r="Y39" s="9">
        <v>7</v>
      </c>
      <c r="AA39" t="b">
        <f>medium!T41</f>
        <v>1</v>
      </c>
      <c r="AB39" t="b">
        <f>medium!U41</f>
        <v>1</v>
      </c>
      <c r="AC39" t="b">
        <f>medium!V41</f>
        <v>0</v>
      </c>
      <c r="AF39" s="17"/>
      <c r="AG39" s="17"/>
      <c r="AJ39" s="5" t="s">
        <v>30</v>
      </c>
      <c r="AK39">
        <v>5</v>
      </c>
      <c r="AL39">
        <v>5</v>
      </c>
    </row>
    <row r="40" spans="1:38" hidden="1" x14ac:dyDescent="0.2">
      <c r="A40" t="s">
        <v>65</v>
      </c>
      <c r="B40" s="3" t="s">
        <v>52</v>
      </c>
      <c r="C40" s="11" t="s">
        <v>71</v>
      </c>
      <c r="D40" s="6" cm="1">
        <f t="array" ref="D40">IF(ISBLANK(INDEX($P$2:$Y$60, MATCH(1, ($P$2:$P$60=$A40) * ($Q$2:$Q$60=$B40), 0), MATCH(D$3, $P$1:$Y$1, 0))), "", INDEX($P$2:$Y$60, MATCH(1, ($P$2:$P$60=$A40) * ($Q$2:$Q$60=$B40), 0), MATCH(D$3, $P$1:$Y$1, 0)))</f>
        <v>3</v>
      </c>
      <c r="E40" cm="1">
        <f t="array" ref="E40">INDEX($P$2:$X$60, MATCH(1, ($P$2:$P$60=$A40) * ($Q$2:$Q$60=$B40), 0), MATCH(E$3, $P$1:$X$1, 0))</f>
        <v>2.6059999999999998E-3</v>
      </c>
      <c r="F40" cm="1">
        <f t="array" ref="F40">INDEX($P$2:$X$60, MATCH(1, ($P$2:$P$60=$A40) * ($Q$2:$Q$60=$B40), 0), MATCH(F$3, $P$1:$X$1, 0))</f>
        <v>8.4973999999999994E-2</v>
      </c>
      <c r="G40" cm="1">
        <f t="array" ref="G40">INDEX($P$2:$X$60, MATCH(1, ($P$2:$P$60=$A40) * ($Q$2:$Q$60=$B40), 0), MATCH(G$3, $P$1:$X$1, 0))</f>
        <v>1.6160999999999998E-2</v>
      </c>
      <c r="H40" cm="1">
        <f t="array" ref="H40">INDEX($P$2:$X$60, MATCH(1, ($P$2:$P$60=$A40) * ($Q$2:$Q$60=$B40), 0), MATCH(H$3, $P$1:$X$1, 0))</f>
        <v>1.2428E-2</v>
      </c>
      <c r="I40" cm="1">
        <f t="array" ref="I40">INDEX($P$2:$X$60, MATCH(1, ($P$2:$P$60=$A40) * ($Q$2:$Q$60=$B40), 0), MATCH(I$3, $P$1:$X$1, 0))</f>
        <v>5.2579667099808178</v>
      </c>
      <c r="J40" cm="1">
        <f t="array" ref="J40">INDEX($P$2:$X$60, MATCH(1, ($P$2:$P$60=$A40) * ($Q$2:$Q$60=$B40), 0), MATCH(J$3, $P$1:$X$1, 0))</f>
        <v>0.16125239774766414</v>
      </c>
      <c r="K40" cm="1">
        <f t="array" ref="K40">INDEX($P$2:$X$60, MATCH(1, ($P$2:$P$60=$A40) * ($Q$2:$Q$60=$B40), 0), MATCH(K$3, $P$1:$X$1, 0))</f>
        <v>0.76901181857558332</v>
      </c>
      <c r="L40" t="b" cm="1">
        <f t="array" ref="L40">INDEX($AA$2:$AC$60, MATCH(1, ($P$2:$P$60=$A40) * ($Q$2:$Q$60=$B40), 0), MATCH(I$3, $AA$1:$AC$1, 0))</f>
        <v>1</v>
      </c>
      <c r="M40" t="b" cm="1">
        <f t="array" ref="M40">INDEX($AA$2:$AC$60, MATCH(1, ($P$2:$P$60=$A40) * ($Q$2:$Q$60=$B40), 0), MATCH(J$3, $AA$1:$AC$1, 0))</f>
        <v>1</v>
      </c>
      <c r="N40" t="b" cm="1">
        <f t="array" ref="N40">INDEX($AA$2:$AC$60, MATCH(1, ($P$2:$P$60=$A40) * ($Q$2:$Q$60=$B40), 0), MATCH(K$3, $AA$1:$AC$1, 0))</f>
        <v>0</v>
      </c>
      <c r="P40" s="6"/>
      <c r="Q40" s="6"/>
      <c r="AF40" s="17"/>
      <c r="AG40" s="17"/>
      <c r="AJ40" s="5" t="s">
        <v>53</v>
      </c>
      <c r="AK40">
        <v>7</v>
      </c>
      <c r="AL40">
        <v>7</v>
      </c>
    </row>
    <row r="41" spans="1:38" x14ac:dyDescent="0.2">
      <c r="A41" t="s">
        <v>67</v>
      </c>
      <c r="B41" s="3" t="s">
        <v>52</v>
      </c>
      <c r="C41" s="11" t="s">
        <v>72</v>
      </c>
      <c r="D41" s="6" cm="1">
        <f t="array" ref="D41">IF(ISBLANK(INDEX($P$2:$Y$60, MATCH(1, ($P$2:$P$60=$A41) * ($Q$2:$Q$60=$B41), 0), MATCH(D$3, $P$1:$Y$1, 0))), "-", INDEX($P$2:$Y$60, MATCH(1, ($P$2:$P$60=$A41) * ($Q$2:$Q$60=$B41), 0), MATCH(D$3, $P$1:$Y$1, 0)))</f>
        <v>16</v>
      </c>
      <c r="E41" t="e" cm="1">
        <f t="array" ref="E41">INDEX($P$2:$X$60, MATCH(1, ($P$2:$P$60=$A41) * ($Q$2:$Q$60=$B41), 0), MATCH(E$3, $P$1:$X$1, 0))</f>
        <v>#N/A</v>
      </c>
      <c r="F41" cm="1">
        <f t="array" ref="F41">INDEX($P$2:$X$60, MATCH(1, ($P$2:$P$60=$A41) * ($Q$2:$Q$60=$B41), 0), MATCH(F$3, $P$1:$X$1, 0))</f>
        <v>0.84097900000000003</v>
      </c>
      <c r="G41" cm="1">
        <f t="array" ref="G41">INDEX($P$2:$X$60, MATCH(1, ($P$2:$P$60=$A41) * ($Q$2:$Q$60=$B41), 0), MATCH(G$3, $P$1:$X$1, 0))</f>
        <v>5.2131999999999998E-2</v>
      </c>
      <c r="H41" cm="1">
        <f t="array" ref="H41">INDEX($P$2:$X$60, MATCH(1, ($P$2:$P$60=$A41) * ($Q$2:$Q$60=$B41), 0), MATCH(H$3, $P$1:$X$1, 0))</f>
        <v>4.7639000000000001E-2</v>
      </c>
      <c r="I41" cm="1">
        <f t="array" ref="I41">INDEX($P$2:$X$60, MATCH(1, ($P$2:$P$60=$A41) * ($Q$2:$Q$60=$B41), 0), MATCH(I$3, $P$1:$X$1, 0))</f>
        <v>16.131723317731911</v>
      </c>
      <c r="J41" t="str" cm="1">
        <f t="array" ref="J41">INDEX($P$2:$X$60, MATCH(1, ($P$2:$P$60=$A41) * ($Q$2:$Q$60=$B41), 0), MATCH(J$3, $P$1:$X$1, 0))</f>
        <v>DNF</v>
      </c>
      <c r="K41" cm="1">
        <f t="array" ref="K41">INDEX($P$2:$X$60, MATCH(1, ($P$2:$P$60=$A41) * ($Q$2:$Q$60=$B41), 0), MATCH(K$3, $P$1:$X$1, 0))</f>
        <v>0.91381493132816705</v>
      </c>
      <c r="L41" t="b" cm="1">
        <f t="array" ref="L41">INDEX($AA$2:$AC$60, MATCH(1, ($P$2:$P$60=$A41) * ($Q$2:$Q$60=$B41), 0), MATCH(I$3, $AA$1:$AC$1, 0))</f>
        <v>1</v>
      </c>
      <c r="M41" t="b" cm="1">
        <f t="array" ref="M41">INDEX($AA$2:$AC$60, MATCH(1, ($P$2:$P$60=$A41) * ($Q$2:$Q$60=$B41), 0), MATCH(J$3, $AA$1:$AC$1, 0))</f>
        <v>1</v>
      </c>
      <c r="N41" t="b" cm="1">
        <f t="array" ref="N41">INDEX($AA$2:$AC$60, MATCH(1, ($P$2:$P$60=$A41) * ($Q$2:$Q$60=$B41), 0), MATCH(K$3, $AA$1:$AC$1, 0))</f>
        <v>0</v>
      </c>
      <c r="P41" s="6"/>
      <c r="Q41" s="6"/>
      <c r="AF41" s="17"/>
      <c r="AG41" s="17"/>
    </row>
    <row r="42" spans="1:38" x14ac:dyDescent="0.2">
      <c r="A42" t="s">
        <v>69</v>
      </c>
      <c r="B42" s="3" t="s">
        <v>52</v>
      </c>
      <c r="C42" s="11" t="s">
        <v>73</v>
      </c>
      <c r="D42" s="6" t="str" cm="1">
        <f t="array" ref="D42">IF(ISBLANK(INDEX($P$2:$Y$60, MATCH(1, ($P$2:$P$60=$A42) * ($Q$2:$Q$60=$B42), 0), MATCH(D$3, $P$1:$Y$1, 0))), "-", INDEX($P$2:$Y$60, MATCH(1, ($P$2:$P$60=$A42) * ($Q$2:$Q$60=$B42), 0), MATCH(D$3, $P$1:$Y$1, 0)))</f>
        <v>-</v>
      </c>
      <c r="E42" t="e" cm="1">
        <f t="array" ref="E42">INDEX($P$2:$X$60, MATCH(1, ($P$2:$P$60=$A42) * ($Q$2:$Q$60=$B42), 0), MATCH(E$3, $P$1:$X$1, 0))</f>
        <v>#N/A</v>
      </c>
      <c r="F42" t="e" cm="1">
        <f t="array" ref="F42">INDEX($P$2:$X$60, MATCH(1, ($P$2:$P$60=$A42) * ($Q$2:$Q$60=$B42), 0), MATCH(F$3, $P$1:$X$1, 0))</f>
        <v>#N/A</v>
      </c>
      <c r="G42" cm="1">
        <f t="array" ref="G42">INDEX($P$2:$X$60, MATCH(1, ($P$2:$P$60=$A42) * ($Q$2:$Q$60=$B42), 0), MATCH(G$3, $P$1:$X$1, 0))</f>
        <v>2.5157530000000001</v>
      </c>
      <c r="H42" cm="1">
        <f t="array" ref="H42">INDEX($P$2:$X$60, MATCH(1, ($P$2:$P$60=$A42) * ($Q$2:$Q$60=$B42), 0), MATCH(H$3, $P$1:$X$1, 0))</f>
        <v>2.4506489999999999</v>
      </c>
      <c r="I42" t="str" cm="1">
        <f t="array" ref="I42">INDEX($P$2:$X$60, MATCH(1, ($P$2:$P$60=$A42) * ($Q$2:$Q$60=$B42), 0), MATCH(I$3, $P$1:$X$1, 0))</f>
        <v>DNF</v>
      </c>
      <c r="J42" t="str" cm="1">
        <f t="array" ref="J42">INDEX($P$2:$X$60, MATCH(1, ($P$2:$P$60=$A42) * ($Q$2:$Q$60=$B42), 0), MATCH(J$3, $P$1:$X$1, 0))</f>
        <v>DNF</v>
      </c>
      <c r="K42" cm="1">
        <f t="array" ref="K42">INDEX($P$2:$X$60, MATCH(1, ($P$2:$P$60=$A42) * ($Q$2:$Q$60=$B42), 0), MATCH(K$3, $P$1:$X$1, 0))</f>
        <v>0.97412146581957759</v>
      </c>
      <c r="L42" t="b" cm="1">
        <f t="array" ref="L42">INDEX($AA$2:$AC$60, MATCH(1, ($P$2:$P$60=$A42) * ($Q$2:$Q$60=$B42), 0), MATCH(I$3, $AA$1:$AC$1, 0))</f>
        <v>1</v>
      </c>
      <c r="M42" t="b" cm="1">
        <f t="array" ref="M42">INDEX($AA$2:$AC$60, MATCH(1, ($P$2:$P$60=$A42) * ($Q$2:$Q$60=$B42), 0), MATCH(J$3, $AA$1:$AC$1, 0))</f>
        <v>1</v>
      </c>
      <c r="N42" t="b" cm="1">
        <f t="array" ref="N42">INDEX($AA$2:$AC$60, MATCH(1, ($P$2:$P$60=$A42) * ($Q$2:$Q$60=$B42), 0), MATCH(K$3, $AA$1:$AC$1, 0))</f>
        <v>0</v>
      </c>
      <c r="P42" s="6"/>
      <c r="Q42" s="6"/>
      <c r="AF42" s="17"/>
      <c r="AG42" s="17"/>
    </row>
    <row r="43" spans="1:38" hidden="1" x14ac:dyDescent="0.2">
      <c r="A43" t="s">
        <v>65</v>
      </c>
      <c r="B43" s="3" t="s">
        <v>54</v>
      </c>
      <c r="C43" s="8" t="s">
        <v>66</v>
      </c>
      <c r="D43" s="6" cm="1">
        <f t="array" ref="D43">IF(ISBLANK(INDEX($P$2:$Y$60, MATCH(1, ($P$2:$P$60=$A43) * ($Q$2:$Q$60=$B43), 0), MATCH(D$3, $P$1:$Y$1, 0))), "", INDEX($P$2:$Y$60, MATCH(1, ($P$2:$P$60=$A43) * ($Q$2:$Q$60=$B43), 0), MATCH(D$3, $P$1:$Y$1, 0)))</f>
        <v>5</v>
      </c>
      <c r="E43" cm="1">
        <f t="array" ref="E43">INDEX($P$2:$X$60, MATCH(1, ($P$2:$P$60=$A43) * ($Q$2:$Q$60=$B43), 0), MATCH(E$3, $P$1:$X$1, 0))</f>
        <v>2.5100000000000001E-3</v>
      </c>
      <c r="F43" cm="1">
        <f t="array" ref="F43">INDEX($P$2:$X$60, MATCH(1, ($P$2:$P$60=$A43) * ($Q$2:$Q$60=$B43), 0), MATCH(F$3, $P$1:$X$1, 0))</f>
        <v>6.8136000000000002E-2</v>
      </c>
      <c r="G43" cm="1">
        <f t="array" ref="G43">INDEX($P$2:$X$60, MATCH(1, ($P$2:$P$60=$A43) * ($Q$2:$Q$60=$B43), 0), MATCH(G$3, $P$1:$X$1, 0))</f>
        <v>8.5100000000000002E-3</v>
      </c>
      <c r="H43" cm="1">
        <f t="array" ref="H43">INDEX($P$2:$X$60, MATCH(1, ($P$2:$P$60=$A43) * ($Q$2:$Q$60=$B43), 0), MATCH(H$3, $P$1:$X$1, 0))</f>
        <v>8.6239999999999997E-3</v>
      </c>
      <c r="I43" cm="1">
        <f t="array" ref="I43">INDEX($P$2:$X$60, MATCH(1, ($P$2:$P$60=$A43) * ($Q$2:$Q$60=$B43), 0), MATCH(I$3, $P$1:$X$1, 0))</f>
        <v>8.0065804935370153</v>
      </c>
      <c r="J43" cm="1">
        <f t="array" ref="J43">INDEX($P$2:$X$60, MATCH(1, ($P$2:$P$60=$A43) * ($Q$2:$Q$60=$B43), 0), MATCH(J$3, $P$1:$X$1, 0))</f>
        <v>0.29494712103407755</v>
      </c>
      <c r="K43" cm="1">
        <f t="array" ref="K43">INDEX($P$2:$X$60, MATCH(1, ($P$2:$P$60=$A43) * ($Q$2:$Q$60=$B43), 0), MATCH(K$3, $P$1:$X$1, 0))</f>
        <v>1.0133960047003525</v>
      </c>
      <c r="L43" t="b" cm="1">
        <f t="array" ref="L43">INDEX($AA$2:$AC$60, MATCH(1, ($P$2:$P$60=$A43) * ($Q$2:$Q$60=$B43), 0), MATCH(I$3, $AA$1:$AC$1, 0))</f>
        <v>1</v>
      </c>
      <c r="M43" t="b" cm="1">
        <f t="array" ref="M43">INDEX($AA$2:$AC$60, MATCH(1, ($P$2:$P$60=$A43) * ($Q$2:$Q$60=$B43), 0), MATCH(J$3, $AA$1:$AC$1, 0))</f>
        <v>0</v>
      </c>
      <c r="N43" t="b" cm="1">
        <f t="array" ref="N43">INDEX($AA$2:$AC$60, MATCH(1, ($P$2:$P$60=$A43) * ($Q$2:$Q$60=$B43), 0), MATCH(K$3, $AA$1:$AC$1, 0))</f>
        <v>0</v>
      </c>
      <c r="P43" s="6" t="s">
        <v>23</v>
      </c>
      <c r="Q43" s="6"/>
      <c r="AF43" s="17"/>
      <c r="AG43" s="17"/>
    </row>
    <row r="44" spans="1:38" x14ac:dyDescent="0.2">
      <c r="A44" t="s">
        <v>67</v>
      </c>
      <c r="B44" s="3" t="s">
        <v>54</v>
      </c>
      <c r="C44" s="8" t="s">
        <v>68</v>
      </c>
      <c r="D44" s="6" cm="1">
        <f t="array" ref="D44">IF(ISBLANK(INDEX($P$2:$Y$60, MATCH(1, ($P$2:$P$60=$A44) * ($Q$2:$Q$60=$B44), 0), MATCH(D$3, $P$1:$Y$1, 0))), "-", INDEX($P$2:$Y$60, MATCH(1, ($P$2:$P$60=$A44) * ($Q$2:$Q$60=$B44), 0), MATCH(D$3, $P$1:$Y$1, 0)))</f>
        <v>9</v>
      </c>
      <c r="E44" cm="1">
        <f t="array" ref="E44">INDEX($P$2:$X$60, MATCH(1, ($P$2:$P$60=$A44) * ($Q$2:$Q$60=$B44), 0), MATCH(E$3, $P$1:$X$1, 0))</f>
        <v>0.57808099999999996</v>
      </c>
      <c r="F44" cm="1">
        <f t="array" ref="F44">INDEX($P$2:$X$60, MATCH(1, ($P$2:$P$60=$A44) * ($Q$2:$Q$60=$B44), 0), MATCH(F$3, $P$1:$X$1, 0))</f>
        <v>0.152309</v>
      </c>
      <c r="G44" cm="1">
        <f t="array" ref="G44">INDEX($P$2:$X$60, MATCH(1, ($P$2:$P$60=$A44) * ($Q$2:$Q$60=$B44), 0), MATCH(G$3, $P$1:$X$1, 0))</f>
        <v>2.6468999999999999E-2</v>
      </c>
      <c r="H44" cm="1">
        <f t="array" ref="H44">INDEX($P$2:$X$60, MATCH(1, ($P$2:$P$60=$A44) * ($Q$2:$Q$60=$B44), 0), MATCH(H$3, $P$1:$X$1, 0))</f>
        <v>2.5665E-2</v>
      </c>
      <c r="I44" cm="1">
        <f t="array" ref="I44">INDEX($P$2:$X$60, MATCH(1, ($P$2:$P$60=$A44) * ($Q$2:$Q$60=$B44), 0), MATCH(I$3, $P$1:$X$1, 0))</f>
        <v>5.7542408100041555</v>
      </c>
      <c r="J44" cm="1">
        <f t="array" ref="J44">INDEX($P$2:$X$60, MATCH(1, ($P$2:$P$60=$A44) * ($Q$2:$Q$60=$B44), 0), MATCH(J$3, $P$1:$X$1, 0))</f>
        <v>21.839925951112622</v>
      </c>
      <c r="K44" cm="1">
        <f t="array" ref="K44">INDEX($P$2:$X$60, MATCH(1, ($P$2:$P$60=$A44) * ($Q$2:$Q$60=$B44), 0), MATCH(K$3, $P$1:$X$1, 0))</f>
        <v>0.96962484415731609</v>
      </c>
      <c r="L44" t="b" cm="1">
        <f t="array" ref="L44">INDEX($AA$2:$AC$60, MATCH(1, ($P$2:$P$60=$A44) * ($Q$2:$Q$60=$B44), 0), MATCH(I$3, $AA$1:$AC$1, 0))</f>
        <v>1</v>
      </c>
      <c r="M44" t="b" cm="1">
        <f t="array" ref="M44">INDEX($AA$2:$AC$60, MATCH(1, ($P$2:$P$60=$A44) * ($Q$2:$Q$60=$B44), 0), MATCH(J$3, $AA$1:$AC$1, 0))</f>
        <v>1</v>
      </c>
      <c r="N44" t="b" cm="1">
        <f t="array" ref="N44">INDEX($AA$2:$AC$60, MATCH(1, ($P$2:$P$60=$A44) * ($Q$2:$Q$60=$B44), 0), MATCH(K$3, $AA$1:$AC$1, 0))</f>
        <v>0</v>
      </c>
      <c r="P44" s="6" t="s">
        <v>69</v>
      </c>
      <c r="Q44" s="6" t="s">
        <v>25</v>
      </c>
      <c r="R44">
        <f>large!M3</f>
        <v>39.469213000000003</v>
      </c>
      <c r="S44" t="e">
        <f>large!N3</f>
        <v>#N/A</v>
      </c>
      <c r="T44" t="e">
        <f>large!O3</f>
        <v>#N/A</v>
      </c>
      <c r="U44">
        <f>large!P3</f>
        <v>39.521869000000002</v>
      </c>
      <c r="V44" t="str">
        <f>large!Q3</f>
        <v>DNF</v>
      </c>
      <c r="W44" t="str">
        <f>large!R3</f>
        <v>DNF</v>
      </c>
      <c r="X44">
        <f>large!S3</f>
        <v>1.0013341031147491</v>
      </c>
      <c r="Y44">
        <v>189</v>
      </c>
      <c r="AA44" t="b">
        <f>large!T26</f>
        <v>1</v>
      </c>
      <c r="AB44" t="b">
        <f>large!U26</f>
        <v>1</v>
      </c>
      <c r="AC44" t="b">
        <f>large!V26</f>
        <v>0</v>
      </c>
      <c r="AF44" s="17"/>
      <c r="AG44" s="17"/>
      <c r="AJ44" s="10" t="s">
        <v>19</v>
      </c>
      <c r="AK44" s="10" t="s">
        <v>20</v>
      </c>
    </row>
    <row r="45" spans="1:38" x14ac:dyDescent="0.2">
      <c r="A45" t="s">
        <v>69</v>
      </c>
      <c r="B45" s="3" t="s">
        <v>54</v>
      </c>
      <c r="C45" s="8" t="s">
        <v>79</v>
      </c>
      <c r="D45" s="6" cm="1">
        <f t="array" ref="D45">IF(ISBLANK(INDEX($P$2:$Y$60, MATCH(1, ($P$2:$P$60=$A45) * ($Q$2:$Q$60=$B45), 0), MATCH(D$3, $P$1:$Y$1, 0))), "-", INDEX($P$2:$Y$60, MATCH(1, ($P$2:$P$60=$A45) * ($Q$2:$Q$60=$B45), 0), MATCH(D$3, $P$1:$Y$1, 0)))</f>
        <v>42</v>
      </c>
      <c r="E45" cm="1">
        <f t="array" ref="E45">INDEX($P$2:$X$60, MATCH(1, ($P$2:$P$60=$A45) * ($Q$2:$Q$60=$B45), 0), MATCH(E$3, $P$1:$X$1, 0))</f>
        <v>233.75161800000001</v>
      </c>
      <c r="F45" cm="1">
        <f t="array" ref="F45">INDEX($P$2:$X$60, MATCH(1, ($P$2:$P$60=$A45) * ($Q$2:$Q$60=$B45), 0), MATCH(F$3, $P$1:$X$1, 0))</f>
        <v>1.7730919999999999</v>
      </c>
      <c r="G45" cm="1">
        <f t="array" ref="G45">INDEX($P$2:$X$60, MATCH(1, ($P$2:$P$60=$A45) * ($Q$2:$Q$60=$B45), 0), MATCH(G$3, $P$1:$X$1, 0))</f>
        <v>0.162852</v>
      </c>
      <c r="H45" cm="1">
        <f t="array" ref="H45">INDEX($P$2:$X$60, MATCH(1, ($P$2:$P$60=$A45) * ($Q$2:$Q$60=$B45), 0), MATCH(H$3, $P$1:$X$1, 0))</f>
        <v>0.166826</v>
      </c>
      <c r="I45" cm="1">
        <f t="array" ref="I45">INDEX($P$2:$X$60, MATCH(1, ($P$2:$P$60=$A45) * ($Q$2:$Q$60=$B45), 0), MATCH(I$3, $P$1:$X$1, 0))</f>
        <v>10.887750841254636</v>
      </c>
      <c r="J45" cm="1">
        <f t="array" ref="J45">INDEX($P$2:$X$60, MATCH(1, ($P$2:$P$60=$A45) * ($Q$2:$Q$60=$B45), 0), MATCH(J$3, $P$1:$X$1, 0))</f>
        <v>1435.3622798614695</v>
      </c>
      <c r="K45" cm="1">
        <f t="array" ref="K45">INDEX($P$2:$X$60, MATCH(1, ($P$2:$P$60=$A45) * ($Q$2:$Q$60=$B45), 0), MATCH(K$3, $P$1:$X$1, 0))</f>
        <v>1.0244025249920172</v>
      </c>
      <c r="L45" t="b" cm="1">
        <f t="array" ref="L45">INDEX($AA$2:$AC$60, MATCH(1, ($P$2:$P$60=$A45) * ($Q$2:$Q$60=$B45), 0), MATCH(I$3, $AA$1:$AC$1, 0))</f>
        <v>1</v>
      </c>
      <c r="M45" t="b" cm="1">
        <f t="array" ref="M45">INDEX($AA$2:$AC$60, MATCH(1, ($P$2:$P$60=$A45) * ($Q$2:$Q$60=$B45), 0), MATCH(J$3, $AA$1:$AC$1, 0))</f>
        <v>1</v>
      </c>
      <c r="N45" t="b" cm="1">
        <f t="array" ref="N45">INDEX($AA$2:$AC$60, MATCH(1, ($P$2:$P$60=$A45) * ($Q$2:$Q$60=$B45), 0), MATCH(K$3, $AA$1:$AC$1, 0))</f>
        <v>0</v>
      </c>
      <c r="P45" s="6" t="s">
        <v>69</v>
      </c>
      <c r="Q45" s="6" t="s">
        <v>29</v>
      </c>
      <c r="R45">
        <f>large!M4</f>
        <v>3.7756999999999999E-2</v>
      </c>
      <c r="S45">
        <f>large!N4</f>
        <v>0.22487099999999999</v>
      </c>
      <c r="T45">
        <f>large!O4</f>
        <v>58.664898000000001</v>
      </c>
      <c r="U45">
        <f>large!P4</f>
        <v>3.5411999999999999E-2</v>
      </c>
      <c r="V45">
        <f>large!Q4</f>
        <v>5.9557433058770561</v>
      </c>
      <c r="W45">
        <f>large!R4</f>
        <v>1553.7489207299309</v>
      </c>
      <c r="X45">
        <f>large!S4</f>
        <v>0.93789231135948303</v>
      </c>
      <c r="Y45">
        <v>9</v>
      </c>
      <c r="AA45" t="b">
        <f>large!T27</f>
        <v>1</v>
      </c>
      <c r="AB45" t="b">
        <f>large!U27</f>
        <v>1</v>
      </c>
      <c r="AC45" t="b">
        <f>large!V27</f>
        <v>0</v>
      </c>
      <c r="AF45" s="17"/>
      <c r="AG45" s="17"/>
      <c r="AJ45" s="5" t="s">
        <v>24</v>
      </c>
      <c r="AK45">
        <v>189</v>
      </c>
      <c r="AL45">
        <v>189</v>
      </c>
    </row>
    <row r="46" spans="1:38" hidden="1" x14ac:dyDescent="0.2">
      <c r="A46" t="s">
        <v>65</v>
      </c>
      <c r="B46" s="3" t="s">
        <v>55</v>
      </c>
      <c r="C46" s="8" t="s">
        <v>66</v>
      </c>
      <c r="D46" s="6" cm="1">
        <f t="array" ref="D46">IF(ISBLANK(INDEX($P$2:$Y$60, MATCH(1, ($P$2:$P$60=$A46) * ($Q$2:$Q$60=$B46), 0), MATCH(D$3, $P$1:$Y$1, 0))), "", INDEX($P$2:$Y$60, MATCH(1, ($P$2:$P$60=$A46) * ($Q$2:$Q$60=$B46), 0), MATCH(D$3, $P$1:$Y$1, 0)))</f>
        <v>2</v>
      </c>
      <c r="E46" cm="1">
        <f t="array" ref="E46">INDEX($P$2:$X$60, MATCH(1, ($P$2:$P$60=$A46) * ($Q$2:$Q$60=$B46), 0), MATCH(E$3, $P$1:$X$1, 0))</f>
        <v>1.4760000000000001E-3</v>
      </c>
      <c r="F46" cm="1">
        <f t="array" ref="F46">INDEX($P$2:$X$60, MATCH(1, ($P$2:$P$60=$A46) * ($Q$2:$Q$60=$B46), 0), MATCH(F$3, $P$1:$X$1, 0))</f>
        <v>3.0762000000000001E-2</v>
      </c>
      <c r="G46" cm="1">
        <f t="array" ref="G46">INDEX($P$2:$X$60, MATCH(1, ($P$2:$P$60=$A46) * ($Q$2:$Q$60=$B46), 0), MATCH(G$3, $P$1:$X$1, 0))</f>
        <v>6.8710000000000004E-3</v>
      </c>
      <c r="H46" cm="1">
        <f t="array" ref="H46">INDEX($P$2:$X$60, MATCH(1, ($P$2:$P$60=$A46) * ($Q$2:$Q$60=$B46), 0), MATCH(H$3, $P$1:$X$1, 0))</f>
        <v>4.9890000000000004E-3</v>
      </c>
      <c r="I46" cm="1">
        <f t="array" ref="I46">INDEX($P$2:$X$60, MATCH(1, ($P$2:$P$60=$A46) * ($Q$2:$Q$60=$B46), 0), MATCH(I$3, $P$1:$X$1, 0))</f>
        <v>4.4770775724057632</v>
      </c>
      <c r="J46" cm="1">
        <f t="array" ref="J46">INDEX($P$2:$X$60, MATCH(1, ($P$2:$P$60=$A46) * ($Q$2:$Q$60=$B46), 0), MATCH(J$3, $P$1:$X$1, 0))</f>
        <v>0.21481589288313202</v>
      </c>
      <c r="K46" cm="1">
        <f t="array" ref="K46">INDEX($P$2:$X$60, MATCH(1, ($P$2:$P$60=$A46) * ($Q$2:$Q$60=$B46), 0), MATCH(K$3, $P$1:$X$1, 0))</f>
        <v>0.72609518265172468</v>
      </c>
      <c r="L46" t="b" cm="1">
        <f t="array" ref="L46">INDEX($AA$2:$AC$60, MATCH(1, ($P$2:$P$60=$A46) * ($Q$2:$Q$60=$B46), 0), MATCH(I$3, $AA$1:$AC$1, 0))</f>
        <v>1</v>
      </c>
      <c r="M46" t="b" cm="1">
        <f t="array" ref="M46">INDEX($AA$2:$AC$60, MATCH(1, ($P$2:$P$60=$A46) * ($Q$2:$Q$60=$B46), 0), MATCH(J$3, $AA$1:$AC$1, 0))</f>
        <v>1</v>
      </c>
      <c r="N46" t="b" cm="1">
        <f t="array" ref="N46">INDEX($AA$2:$AC$60, MATCH(1, ($P$2:$P$60=$A46) * ($Q$2:$Q$60=$B46), 0), MATCH(K$3, $AA$1:$AC$1, 0))</f>
        <v>0</v>
      </c>
      <c r="P46" s="6" t="s">
        <v>69</v>
      </c>
      <c r="Q46" s="6" t="s">
        <v>33</v>
      </c>
      <c r="R46">
        <f>large!M5</f>
        <v>0.177232</v>
      </c>
      <c r="S46">
        <f>large!N5</f>
        <v>0.669624</v>
      </c>
      <c r="T46" t="e">
        <f>large!O5</f>
        <v>#N/A</v>
      </c>
      <c r="U46">
        <f>large!P5</f>
        <v>0.172121</v>
      </c>
      <c r="V46">
        <f>large!Q5</f>
        <v>3.778234178929313</v>
      </c>
      <c r="W46" t="str">
        <f>large!R5</f>
        <v>DNF</v>
      </c>
      <c r="X46">
        <f>large!S5</f>
        <v>0.97116209262435671</v>
      </c>
      <c r="Y46">
        <v>4</v>
      </c>
      <c r="AA46" t="b">
        <f>large!T28</f>
        <v>1</v>
      </c>
      <c r="AB46" t="b">
        <f>large!U28</f>
        <v>1</v>
      </c>
      <c r="AC46" t="b">
        <f>large!V28</f>
        <v>0</v>
      </c>
      <c r="AF46" s="17"/>
      <c r="AG46" s="17"/>
      <c r="AJ46" s="5" t="s">
        <v>28</v>
      </c>
      <c r="AK46">
        <v>9</v>
      </c>
      <c r="AL46">
        <v>9</v>
      </c>
    </row>
    <row r="47" spans="1:38" x14ac:dyDescent="0.2">
      <c r="A47" t="s">
        <v>67</v>
      </c>
      <c r="B47" s="3" t="s">
        <v>55</v>
      </c>
      <c r="C47" s="8" t="s">
        <v>75</v>
      </c>
      <c r="D47" s="6" cm="1">
        <f t="array" ref="D47">IF(ISBLANK(INDEX($P$2:$Y$60, MATCH(1, ($P$2:$P$60=$A47) * ($Q$2:$Q$60=$B47), 0), MATCH(D$3, $P$1:$Y$1, 0))), "-", INDEX($P$2:$Y$60, MATCH(1, ($P$2:$P$60=$A47) * ($Q$2:$Q$60=$B47), 0), MATCH(D$3, $P$1:$Y$1, 0)))</f>
        <v>5</v>
      </c>
      <c r="E47" cm="1">
        <f t="array" ref="E47">INDEX($P$2:$X$60, MATCH(1, ($P$2:$P$60=$A47) * ($Q$2:$Q$60=$B47), 0), MATCH(E$3, $P$1:$X$1, 0))</f>
        <v>0.332675</v>
      </c>
      <c r="F47" cm="1">
        <f t="array" ref="F47">INDEX($P$2:$X$60, MATCH(1, ($P$2:$P$60=$A47) * ($Q$2:$Q$60=$B47), 0), MATCH(F$3, $P$1:$X$1, 0))</f>
        <v>7.9342999999999997E-2</v>
      </c>
      <c r="G47" cm="1">
        <f t="array" ref="G47">INDEX($P$2:$X$60, MATCH(1, ($P$2:$P$60=$A47) * ($Q$2:$Q$60=$B47), 0), MATCH(G$3, $P$1:$X$1, 0))</f>
        <v>2.0929E-2</v>
      </c>
      <c r="H47" cm="1">
        <f t="array" ref="H47">INDEX($P$2:$X$60, MATCH(1, ($P$2:$P$60=$A47) * ($Q$2:$Q$60=$B47), 0), MATCH(H$3, $P$1:$X$1, 0))</f>
        <v>1.7423999999999999E-2</v>
      </c>
      <c r="I47" cm="1">
        <f t="array" ref="I47">INDEX($P$2:$X$60, MATCH(1, ($P$2:$P$60=$A47) * ($Q$2:$Q$60=$B47), 0), MATCH(I$3, $P$1:$X$1, 0))</f>
        <v>3.7910554732667587</v>
      </c>
      <c r="J47" cm="1">
        <f t="array" ref="J47">INDEX($P$2:$X$60, MATCH(1, ($P$2:$P$60=$A47) * ($Q$2:$Q$60=$B47), 0), MATCH(J$3, $P$1:$X$1, 0))</f>
        <v>15.89540828515457</v>
      </c>
      <c r="K47" cm="1">
        <f t="array" ref="K47">INDEX($P$2:$X$60, MATCH(1, ($P$2:$P$60=$A47) * ($Q$2:$Q$60=$B47), 0), MATCH(K$3, $P$1:$X$1, 0))</f>
        <v>0.83252902670935058</v>
      </c>
      <c r="L47" t="b" cm="1">
        <f t="array" ref="L47">INDEX($AA$2:$AC$60, MATCH(1, ($P$2:$P$60=$A47) * ($Q$2:$Q$60=$B47), 0), MATCH(I$3, $AA$1:$AC$1, 0))</f>
        <v>1</v>
      </c>
      <c r="M47" t="b" cm="1">
        <f t="array" ref="M47">INDEX($AA$2:$AC$60, MATCH(1, ($P$2:$P$60=$A47) * ($Q$2:$Q$60=$B47), 0), MATCH(J$3, $AA$1:$AC$1, 0))</f>
        <v>1</v>
      </c>
      <c r="N47" t="b" cm="1">
        <f t="array" ref="N47">INDEX($AA$2:$AC$60, MATCH(1, ($P$2:$P$60=$A47) * ($Q$2:$Q$60=$B47), 0), MATCH(K$3, $AA$1:$AC$1, 0))</f>
        <v>0</v>
      </c>
      <c r="P47" s="6" t="s">
        <v>69</v>
      </c>
      <c r="Q47" s="6" t="s">
        <v>35</v>
      </c>
      <c r="R47">
        <f>large!M6</f>
        <v>1.1081350000000001</v>
      </c>
      <c r="S47">
        <f>large!N6</f>
        <v>14.777259000000001</v>
      </c>
      <c r="T47" t="e">
        <f>large!O6</f>
        <v>#N/A</v>
      </c>
      <c r="U47">
        <f>large!P6</f>
        <v>1.1151880000000001</v>
      </c>
      <c r="V47">
        <f>large!Q6</f>
        <v>13.335251571333817</v>
      </c>
      <c r="W47" t="str">
        <f>large!R6</f>
        <v>DNF</v>
      </c>
      <c r="X47">
        <f>large!S6</f>
        <v>1.0063647479774576</v>
      </c>
      <c r="Y47">
        <v>22</v>
      </c>
      <c r="AA47" t="b">
        <f>large!T29</f>
        <v>1</v>
      </c>
      <c r="AB47" t="b">
        <f>large!U29</f>
        <v>1</v>
      </c>
      <c r="AC47" t="b">
        <f>large!V29</f>
        <v>0</v>
      </c>
      <c r="AF47" s="17"/>
      <c r="AG47" s="17"/>
      <c r="AJ47" s="5" t="s">
        <v>32</v>
      </c>
      <c r="AK47">
        <v>4</v>
      </c>
      <c r="AL47">
        <v>4</v>
      </c>
    </row>
    <row r="48" spans="1:38" x14ac:dyDescent="0.2">
      <c r="A48" t="s">
        <v>69</v>
      </c>
      <c r="B48" s="3" t="s">
        <v>55</v>
      </c>
      <c r="C48" s="8" t="s">
        <v>68</v>
      </c>
      <c r="D48" s="6" cm="1">
        <f t="array" ref="D48">IF(ISBLANK(INDEX($P$2:$Y$60, MATCH(1, ($P$2:$P$60=$A48) * ($Q$2:$Q$60=$B48), 0), MATCH(D$3, $P$1:$Y$1, 0))), "-", INDEX($P$2:$Y$60, MATCH(1, ($P$2:$P$60=$A48) * ($Q$2:$Q$60=$B48), 0), MATCH(D$3, $P$1:$Y$1, 0)))</f>
        <v>10</v>
      </c>
      <c r="E48" cm="1">
        <f t="array" ref="E48">INDEX($P$2:$X$60, MATCH(1, ($P$2:$P$60=$A48) * ($Q$2:$Q$60=$B48), 0), MATCH(E$3, $P$1:$X$1, 0))</f>
        <v>6.6339059999999996</v>
      </c>
      <c r="F48" cm="1">
        <f t="array" ref="F48">INDEX($P$2:$X$60, MATCH(1, ($P$2:$P$60=$A48) * ($Q$2:$Q$60=$B48), 0), MATCH(F$3, $P$1:$X$1, 0))</f>
        <v>0.25033899999999998</v>
      </c>
      <c r="G48" cm="1">
        <f t="array" ref="G48">INDEX($P$2:$X$60, MATCH(1, ($P$2:$P$60=$A48) * ($Q$2:$Q$60=$B48), 0), MATCH(G$3, $P$1:$X$1, 0))</f>
        <v>6.4223000000000002E-2</v>
      </c>
      <c r="H48" cm="1">
        <f t="array" ref="H48">INDEX($P$2:$X$60, MATCH(1, ($P$2:$P$60=$A48) * ($Q$2:$Q$60=$B48), 0), MATCH(H$3, $P$1:$X$1, 0))</f>
        <v>6.2243E-2</v>
      </c>
      <c r="I48" cm="1">
        <f t="array" ref="I48">INDEX($P$2:$X$60, MATCH(1, ($P$2:$P$60=$A48) * ($Q$2:$Q$60=$B48), 0), MATCH(I$3, $P$1:$X$1, 0))</f>
        <v>3.8979649035392301</v>
      </c>
      <c r="J48" cm="1">
        <f t="array" ref="J48">INDEX($P$2:$X$60, MATCH(1, ($P$2:$P$60=$A48) * ($Q$2:$Q$60=$B48), 0), MATCH(J$3, $P$1:$X$1, 0))</f>
        <v>103.29486321099917</v>
      </c>
      <c r="K48" cm="1">
        <f t="array" ref="K48">INDEX($P$2:$X$60, MATCH(1, ($P$2:$P$60=$A48) * ($Q$2:$Q$60=$B48), 0), MATCH(K$3, $P$1:$X$1, 0))</f>
        <v>0.96916992354763865</v>
      </c>
      <c r="L48" t="b" cm="1">
        <f t="array" ref="L48">INDEX($AA$2:$AC$60, MATCH(1, ($P$2:$P$60=$A48) * ($Q$2:$Q$60=$B48), 0), MATCH(I$3, $AA$1:$AC$1, 0))</f>
        <v>1</v>
      </c>
      <c r="M48" t="b" cm="1">
        <f t="array" ref="M48">INDEX($AA$2:$AC$60, MATCH(1, ($P$2:$P$60=$A48) * ($Q$2:$Q$60=$B48), 0), MATCH(J$3, $AA$1:$AC$1, 0))</f>
        <v>1</v>
      </c>
      <c r="N48" t="b" cm="1">
        <f t="array" ref="N48">INDEX($AA$2:$AC$60, MATCH(1, ($P$2:$P$60=$A48) * ($Q$2:$Q$60=$B48), 0), MATCH(K$3, $AA$1:$AC$1, 0))</f>
        <v>0</v>
      </c>
      <c r="P48" s="6" t="s">
        <v>69</v>
      </c>
      <c r="Q48" s="6" t="s">
        <v>37</v>
      </c>
      <c r="R48">
        <f>large!M7</f>
        <v>2.3800000000000002E-2</v>
      </c>
      <c r="S48">
        <f>large!N7</f>
        <v>5.9309000000000001E-2</v>
      </c>
      <c r="T48" t="e">
        <f>large!O7</f>
        <v>#N/A</v>
      </c>
      <c r="U48">
        <f>large!P7</f>
        <v>1.9702000000000001E-2</v>
      </c>
      <c r="V48">
        <f>large!Q7</f>
        <v>2.4919747899159663</v>
      </c>
      <c r="W48" t="str">
        <f>large!R7</f>
        <v>DNF</v>
      </c>
      <c r="X48">
        <f>large!S7</f>
        <v>0.82781512605042018</v>
      </c>
      <c r="Y48">
        <v>1</v>
      </c>
      <c r="AA48" t="b">
        <f>large!T30</f>
        <v>1</v>
      </c>
      <c r="AB48" t="b">
        <f>large!U30</f>
        <v>1</v>
      </c>
      <c r="AC48" t="b">
        <f>large!V30</f>
        <v>0</v>
      </c>
      <c r="AF48" s="17"/>
      <c r="AG48" s="17"/>
      <c r="AJ48" s="5" t="s">
        <v>34</v>
      </c>
      <c r="AK48">
        <v>22</v>
      </c>
      <c r="AL48">
        <v>22</v>
      </c>
    </row>
    <row r="49" spans="1:38" hidden="1" x14ac:dyDescent="0.2">
      <c r="A49" t="s">
        <v>65</v>
      </c>
      <c r="B49" s="3" t="s">
        <v>56</v>
      </c>
      <c r="C49" t="s">
        <v>66</v>
      </c>
      <c r="D49" s="6" cm="1">
        <f t="array" ref="D49">IF(ISBLANK(INDEX($P$2:$Y$60, MATCH(1, ($P$2:$P$60=$A49) * ($Q$2:$Q$60=$B49), 0), MATCH(D$3, $P$1:$Y$1, 0))), "", INDEX($P$2:$Y$60, MATCH(1, ($P$2:$P$60=$A49) * ($Q$2:$Q$60=$B49), 0), MATCH(D$3, $P$1:$Y$1, 0)))</f>
        <v>7</v>
      </c>
      <c r="E49" cm="1">
        <f t="array" ref="E49">INDEX($P$2:$X$60, MATCH(1, ($P$2:$P$60=$A49) * ($Q$2:$Q$60=$B49), 0), MATCH(E$3, $P$1:$X$1, 0))</f>
        <v>2.8660000000000001E-3</v>
      </c>
      <c r="F49" cm="1">
        <f t="array" ref="F49">INDEX($P$2:$X$60, MATCH(1, ($P$2:$P$60=$A49) * ($Q$2:$Q$60=$B49), 0), MATCH(F$3, $P$1:$X$1, 0))</f>
        <v>0.15992999999999999</v>
      </c>
      <c r="G49" cm="1">
        <f t="array" ref="G49">INDEX($P$2:$X$60, MATCH(1, ($P$2:$P$60=$A49) * ($Q$2:$Q$60=$B49), 0), MATCH(G$3, $P$1:$X$1, 0))</f>
        <v>1.1426E-2</v>
      </c>
      <c r="H49" cm="1">
        <f t="array" ref="H49">INDEX($P$2:$X$60, MATCH(1, ($P$2:$P$60=$A49) * ($Q$2:$Q$60=$B49), 0), MATCH(H$3, $P$1:$X$1, 0))</f>
        <v>8.2719999999999998E-3</v>
      </c>
      <c r="I49" cm="1">
        <f t="array" ref="I49">INDEX($P$2:$X$60, MATCH(1, ($P$2:$P$60=$A49) * ($Q$2:$Q$60=$B49), 0), MATCH(I$3, $P$1:$X$1, 0))</f>
        <v>13.997024330474355</v>
      </c>
      <c r="J49" cm="1">
        <f t="array" ref="J49">INDEX($P$2:$X$60, MATCH(1, ($P$2:$P$60=$A49) * ($Q$2:$Q$60=$B49), 0), MATCH(J$3, $P$1:$X$1, 0))</f>
        <v>0.25083143707334149</v>
      </c>
      <c r="K49" cm="1">
        <f t="array" ref="K49">INDEX($P$2:$X$60, MATCH(1, ($P$2:$P$60=$A49) * ($Q$2:$Q$60=$B49), 0), MATCH(K$3, $P$1:$X$1, 0))</f>
        <v>0.72396289165062133</v>
      </c>
      <c r="L49" t="b" cm="1">
        <f t="array" ref="L49">INDEX($AA$2:$AC$60, MATCH(1, ($P$2:$P$60=$A49) * ($Q$2:$Q$60=$B49), 0), MATCH(I$3, $AA$1:$AC$1, 0))</f>
        <v>1</v>
      </c>
      <c r="M49" t="b" cm="1">
        <f t="array" ref="M49">INDEX($AA$2:$AC$60, MATCH(1, ($P$2:$P$60=$A49) * ($Q$2:$Q$60=$B49), 0), MATCH(J$3, $AA$1:$AC$1, 0))</f>
        <v>1</v>
      </c>
      <c r="N49" t="b" cm="1">
        <f t="array" ref="N49">INDEX($AA$2:$AC$60, MATCH(1, ($P$2:$P$60=$A49) * ($Q$2:$Q$60=$B49), 0), MATCH(K$3, $AA$1:$AC$1, 0))</f>
        <v>0</v>
      </c>
      <c r="P49" s="6" t="s">
        <v>69</v>
      </c>
      <c r="Q49" s="6" t="s">
        <v>38</v>
      </c>
      <c r="R49">
        <f>large!M8</f>
        <v>0.83143599999999995</v>
      </c>
      <c r="S49">
        <f>large!N8</f>
        <v>1.0160309999999999</v>
      </c>
      <c r="T49">
        <f>large!O8</f>
        <v>40.566226999999998</v>
      </c>
      <c r="U49">
        <f>large!P8</f>
        <v>0.78751300000000002</v>
      </c>
      <c r="V49">
        <f>large!Q8</f>
        <v>1.2220194939839024</v>
      </c>
      <c r="W49">
        <f>large!R8</f>
        <v>48.790558744148676</v>
      </c>
      <c r="X49">
        <f>large!S8</f>
        <v>0.94717212148619989</v>
      </c>
      <c r="Y49">
        <v>3</v>
      </c>
      <c r="AA49" t="b">
        <f>large!T31</f>
        <v>1</v>
      </c>
      <c r="AB49" t="b">
        <f>large!U31</f>
        <v>1</v>
      </c>
      <c r="AC49" t="b">
        <f>large!V31</f>
        <v>0</v>
      </c>
      <c r="AF49" s="17"/>
      <c r="AG49" s="17"/>
      <c r="AJ49" s="5" t="s">
        <v>36</v>
      </c>
      <c r="AK49">
        <v>1</v>
      </c>
      <c r="AL49">
        <v>1</v>
      </c>
    </row>
    <row r="50" spans="1:38" x14ac:dyDescent="0.2">
      <c r="A50" t="s">
        <v>67</v>
      </c>
      <c r="B50" s="3" t="s">
        <v>56</v>
      </c>
      <c r="C50" t="s">
        <v>74</v>
      </c>
      <c r="D50" s="6" cm="1">
        <f t="array" ref="D50">IF(ISBLANK(INDEX($P$2:$Y$60, MATCH(1, ($P$2:$P$60=$A50) * ($Q$2:$Q$60=$B50), 0), MATCH(D$3, $P$1:$Y$1, 0))), "-", INDEX($P$2:$Y$60, MATCH(1, ($P$2:$P$60=$A50) * ($Q$2:$Q$60=$B50), 0), MATCH(D$3, $P$1:$Y$1, 0)))</f>
        <v>7</v>
      </c>
      <c r="E50" t="e" cm="1">
        <f t="array" ref="E50">INDEX($P$2:$X$60, MATCH(1, ($P$2:$P$60=$A50) * ($Q$2:$Q$60=$B50), 0), MATCH(E$3, $P$1:$X$1, 0))</f>
        <v>#N/A</v>
      </c>
      <c r="F50" cm="1">
        <f t="array" ref="F50">INDEX($P$2:$X$60, MATCH(1, ($P$2:$P$60=$A50) * ($Q$2:$Q$60=$B50), 0), MATCH(F$3, $P$1:$X$1, 0))</f>
        <v>2.6106609999999999</v>
      </c>
      <c r="G50" cm="1">
        <f t="array" ref="G50">INDEX($P$2:$X$60, MATCH(1, ($P$2:$P$60=$A50) * ($Q$2:$Q$60=$B50), 0), MATCH(G$3, $P$1:$X$1, 0))</f>
        <v>0.124113</v>
      </c>
      <c r="H50" cm="1">
        <f t="array" ref="H50">INDEX($P$2:$X$60, MATCH(1, ($P$2:$P$60=$A50) * ($Q$2:$Q$60=$B50), 0), MATCH(H$3, $P$1:$X$1, 0))</f>
        <v>0.123728</v>
      </c>
      <c r="I50" cm="1">
        <f t="array" ref="I50">INDEX($P$2:$X$60, MATCH(1, ($P$2:$P$60=$A50) * ($Q$2:$Q$60=$B50), 0), MATCH(I$3, $P$1:$X$1, 0))</f>
        <v>21.034549160845359</v>
      </c>
      <c r="J50" t="str" cm="1">
        <f t="array" ref="J50">INDEX($P$2:$X$60, MATCH(1, ($P$2:$P$60=$A50) * ($Q$2:$Q$60=$B50), 0), MATCH(J$3, $P$1:$X$1, 0))</f>
        <v>DNF</v>
      </c>
      <c r="K50" cm="1">
        <f t="array" ref="K50">INDEX($P$2:$X$60, MATCH(1, ($P$2:$P$60=$A50) * ($Q$2:$Q$60=$B50), 0), MATCH(K$3, $P$1:$X$1, 0))</f>
        <v>0.99689798812372599</v>
      </c>
      <c r="L50" t="b" cm="1">
        <f t="array" ref="L50">INDEX($AA$2:$AC$60, MATCH(1, ($P$2:$P$60=$A50) * ($Q$2:$Q$60=$B50), 0), MATCH(I$3, $AA$1:$AC$1, 0))</f>
        <v>1</v>
      </c>
      <c r="M50" t="b" cm="1">
        <f t="array" ref="M50">INDEX($AA$2:$AC$60, MATCH(1, ($P$2:$P$60=$A50) * ($Q$2:$Q$60=$B50), 0), MATCH(J$3, $AA$1:$AC$1, 0))</f>
        <v>1</v>
      </c>
      <c r="N50" t="b" cm="1">
        <f t="array" ref="N50">INDEX($AA$2:$AC$60, MATCH(1, ($P$2:$P$60=$A50) * ($Q$2:$Q$60=$B50), 0), MATCH(K$3, $AA$1:$AC$1, 0))</f>
        <v>0</v>
      </c>
      <c r="P50" s="6" t="s">
        <v>69</v>
      </c>
      <c r="Q50" s="6" t="s">
        <v>40</v>
      </c>
      <c r="R50">
        <f>large!M9</f>
        <v>31.674879000000001</v>
      </c>
      <c r="S50">
        <f>large!N9</f>
        <v>318.531181</v>
      </c>
      <c r="T50" t="e">
        <f>large!O9</f>
        <v>#N/A</v>
      </c>
      <c r="U50">
        <f>large!P9</f>
        <v>31.570931000000002</v>
      </c>
      <c r="V50">
        <f>large!Q9</f>
        <v>10.056271438321833</v>
      </c>
      <c r="W50" t="str">
        <f>large!R9</f>
        <v>DNF</v>
      </c>
      <c r="X50">
        <f>large!S9</f>
        <v>0.99671828264916185</v>
      </c>
      <c r="Y50">
        <v>14</v>
      </c>
      <c r="AA50" t="b">
        <f>large!T32</f>
        <v>1</v>
      </c>
      <c r="AB50" t="b">
        <f>large!U32</f>
        <v>1</v>
      </c>
      <c r="AC50" t="b">
        <f>large!V32</f>
        <v>0</v>
      </c>
      <c r="AF50" s="17"/>
      <c r="AG50" s="17"/>
      <c r="AJ50" s="5" t="s">
        <v>2</v>
      </c>
      <c r="AK50">
        <v>3</v>
      </c>
      <c r="AL50">
        <v>3</v>
      </c>
    </row>
    <row r="51" spans="1:38" x14ac:dyDescent="0.2">
      <c r="A51" t="s">
        <v>69</v>
      </c>
      <c r="B51" s="3" t="s">
        <v>56</v>
      </c>
      <c r="C51" t="s">
        <v>80</v>
      </c>
      <c r="D51" s="6" t="str" cm="1">
        <f t="array" ref="D51">IF(ISBLANK(INDEX($P$2:$Y$60, MATCH(1, ($P$2:$P$60=$A51) * ($Q$2:$Q$60=$B51), 0), MATCH(D$3, $P$1:$Y$1, 0))), "-", INDEX($P$2:$Y$60, MATCH(1, ($P$2:$P$60=$A51) * ($Q$2:$Q$60=$B51), 0), MATCH(D$3, $P$1:$Y$1, 0)))</f>
        <v>-</v>
      </c>
      <c r="E51" t="e" cm="1">
        <f t="array" ref="E51">INDEX($P$2:$X$60, MATCH(1, ($P$2:$P$60=$A51) * ($Q$2:$Q$60=$B51), 0), MATCH(E$3, $P$1:$X$1, 0))</f>
        <v>#N/A</v>
      </c>
      <c r="F51" cm="1">
        <f t="array" ref="F51">INDEX($P$2:$X$60, MATCH(1, ($P$2:$P$60=$A51) * ($Q$2:$Q$60=$B51), 0), MATCH(F$3, $P$1:$X$1, 0))</f>
        <v>9.9756239999999998</v>
      </c>
      <c r="G51" cm="1">
        <f t="array" ref="G51">INDEX($P$2:$X$60, MATCH(1, ($P$2:$P$60=$A51) * ($Q$2:$Q$60=$B51), 0), MATCH(G$3, $P$1:$X$1, 0))</f>
        <v>1.32355</v>
      </c>
      <c r="H51" cm="1">
        <f t="array" ref="H51">INDEX($P$2:$X$60, MATCH(1, ($P$2:$P$60=$A51) * ($Q$2:$Q$60=$B51), 0), MATCH(H$3, $P$1:$X$1, 0))</f>
        <v>1.3558479999999999</v>
      </c>
      <c r="I51" cm="1">
        <f t="array" ref="I51">INDEX($P$2:$X$60, MATCH(1, ($P$2:$P$60=$A51) * ($Q$2:$Q$60=$B51), 0), MATCH(I$3, $P$1:$X$1, 0))</f>
        <v>7.5370208907861436</v>
      </c>
      <c r="J51" t="str" cm="1">
        <f t="array" ref="J51">INDEX($P$2:$X$60, MATCH(1, ($P$2:$P$60=$A51) * ($Q$2:$Q$60=$B51), 0), MATCH(J$3, $P$1:$X$1, 0))</f>
        <v>DNF</v>
      </c>
      <c r="K51" cm="1">
        <f t="array" ref="K51">INDEX($P$2:$X$60, MATCH(1, ($P$2:$P$60=$A51) * ($Q$2:$Q$60=$B51), 0), MATCH(K$3, $P$1:$X$1, 0))</f>
        <v>1.024402553738053</v>
      </c>
      <c r="L51" t="b" cm="1">
        <f t="array" ref="L51">INDEX($AA$2:$AC$60, MATCH(1, ($P$2:$P$60=$A51) * ($Q$2:$Q$60=$B51), 0), MATCH(I$3, $AA$1:$AC$1, 0))</f>
        <v>1</v>
      </c>
      <c r="M51" t="b" cm="1">
        <f t="array" ref="M51">INDEX($AA$2:$AC$60, MATCH(1, ($P$2:$P$60=$A51) * ($Q$2:$Q$60=$B51), 0), MATCH(J$3, $AA$1:$AC$1, 0))</f>
        <v>1</v>
      </c>
      <c r="N51" t="b" cm="1">
        <f t="array" ref="N51">INDEX($AA$2:$AC$60, MATCH(1, ($P$2:$P$60=$A51) * ($Q$2:$Q$60=$B51), 0), MATCH(K$3, $AA$1:$AC$1, 0))</f>
        <v>0</v>
      </c>
      <c r="P51" s="6" t="s">
        <v>69</v>
      </c>
      <c r="Q51" s="6" t="s">
        <v>42</v>
      </c>
      <c r="R51">
        <f>large!M10</f>
        <v>1.3561E-2</v>
      </c>
      <c r="S51">
        <f>large!N10</f>
        <v>0.12911900000000001</v>
      </c>
      <c r="T51">
        <f>large!O10</f>
        <v>257.40468099999998</v>
      </c>
      <c r="U51">
        <f>large!P10</f>
        <v>1.2593E-2</v>
      </c>
      <c r="V51">
        <f>large!Q10</f>
        <v>9.5213479831870806</v>
      </c>
      <c r="W51">
        <f>large!R10</f>
        <v>18981.24629452105</v>
      </c>
      <c r="X51">
        <f>large!S10</f>
        <v>0.92861883341936435</v>
      </c>
      <c r="Y51">
        <v>5</v>
      </c>
      <c r="AA51" t="b">
        <f>large!T33</f>
        <v>1</v>
      </c>
      <c r="AB51" t="b">
        <f>large!U33</f>
        <v>1</v>
      </c>
      <c r="AC51" t="b">
        <f>large!V33</f>
        <v>0</v>
      </c>
      <c r="AF51" s="17"/>
      <c r="AG51" s="17"/>
      <c r="AJ51" s="5" t="s">
        <v>39</v>
      </c>
      <c r="AK51">
        <v>14</v>
      </c>
      <c r="AL51">
        <v>14</v>
      </c>
    </row>
    <row r="52" spans="1:38" hidden="1" x14ac:dyDescent="0.2">
      <c r="P52" s="6" t="s">
        <v>69</v>
      </c>
      <c r="Q52" s="6" t="s">
        <v>44</v>
      </c>
      <c r="R52">
        <f>large!M11</f>
        <v>450.077224</v>
      </c>
      <c r="S52" t="e">
        <f>large!N11</f>
        <v>#N/A</v>
      </c>
      <c r="T52" t="e">
        <f>large!O11</f>
        <v>#N/A</v>
      </c>
      <c r="U52">
        <f>large!P11</f>
        <v>454.28804400000001</v>
      </c>
      <c r="V52" t="str">
        <f>large!Q11</f>
        <v>DNF</v>
      </c>
      <c r="W52" t="str">
        <f>large!R11</f>
        <v>DNF</v>
      </c>
      <c r="X52">
        <f>large!S11</f>
        <v>1.0093557722440982</v>
      </c>
      <c r="AA52" t="b">
        <f>large!T34</f>
        <v>1</v>
      </c>
      <c r="AB52" t="b">
        <f>large!U34</f>
        <v>1</v>
      </c>
      <c r="AC52" t="b">
        <f>large!V34</f>
        <v>0</v>
      </c>
      <c r="AF52" s="17"/>
      <c r="AG52" s="17"/>
      <c r="AJ52" s="5" t="s">
        <v>41</v>
      </c>
      <c r="AK52">
        <v>5</v>
      </c>
      <c r="AL52">
        <v>5</v>
      </c>
    </row>
    <row r="53" spans="1:38" x14ac:dyDescent="0.2">
      <c r="P53" s="6" t="s">
        <v>69</v>
      </c>
      <c r="Q53" s="6" t="s">
        <v>47</v>
      </c>
      <c r="R53">
        <f>large!M12</f>
        <v>0.51047799999999999</v>
      </c>
      <c r="S53" t="e">
        <f>large!N12</f>
        <v>#N/A</v>
      </c>
      <c r="T53" t="e">
        <f>large!O12</f>
        <v>#N/A</v>
      </c>
      <c r="U53">
        <f>large!P12</f>
        <v>0.49288900000000002</v>
      </c>
      <c r="V53" t="str">
        <f>large!Q12</f>
        <v>DNF</v>
      </c>
      <c r="W53" t="str">
        <f>large!R12</f>
        <v>DNF</v>
      </c>
      <c r="X53">
        <f>large!S12</f>
        <v>0.9655440587057621</v>
      </c>
      <c r="AA53" t="b">
        <f>large!T35</f>
        <v>1</v>
      </c>
      <c r="AB53" t="b">
        <f>large!U35</f>
        <v>1</v>
      </c>
      <c r="AC53" t="b">
        <f>large!V35</f>
        <v>0</v>
      </c>
      <c r="AJ53" s="5" t="s">
        <v>45</v>
      </c>
      <c r="AK53">
        <v>2</v>
      </c>
      <c r="AL53">
        <v>2</v>
      </c>
    </row>
    <row r="54" spans="1:38" x14ac:dyDescent="0.2">
      <c r="P54" s="6" t="s">
        <v>69</v>
      </c>
      <c r="Q54" s="6" t="s">
        <v>49</v>
      </c>
      <c r="R54">
        <f>large!M13</f>
        <v>0.43233899999999997</v>
      </c>
      <c r="S54">
        <f>large!N13</f>
        <v>0.74385100000000004</v>
      </c>
      <c r="T54" t="e">
        <f>large!O13</f>
        <v>#N/A</v>
      </c>
      <c r="U54">
        <f>large!P13</f>
        <v>0.38301600000000002</v>
      </c>
      <c r="V54">
        <f>large!Q13</f>
        <v>1.7205271789035921</v>
      </c>
      <c r="W54" t="str">
        <f>large!R13</f>
        <v>DNF</v>
      </c>
      <c r="X54">
        <f>large!S13</f>
        <v>0.88591591320699736</v>
      </c>
      <c r="Y54">
        <v>2</v>
      </c>
      <c r="AA54" t="b">
        <f>large!T36</f>
        <v>1</v>
      </c>
      <c r="AB54" t="b">
        <f>large!U36</f>
        <v>1</v>
      </c>
      <c r="AC54" t="b">
        <f>large!V36</f>
        <v>0</v>
      </c>
      <c r="AJ54" s="5" t="s">
        <v>48</v>
      </c>
      <c r="AK54">
        <v>7</v>
      </c>
      <c r="AL54">
        <v>7</v>
      </c>
    </row>
    <row r="55" spans="1:38" x14ac:dyDescent="0.2">
      <c r="P55" s="6" t="s">
        <v>69</v>
      </c>
      <c r="Q55" s="6" t="s">
        <v>50</v>
      </c>
      <c r="R55">
        <f>large!M14</f>
        <v>0.85773500000000003</v>
      </c>
      <c r="S55">
        <f>large!N14</f>
        <v>4.7958179999999997</v>
      </c>
      <c r="T55" t="e">
        <f>large!O14</f>
        <v>#N/A</v>
      </c>
      <c r="U55">
        <f>large!P14</f>
        <v>0.87324100000000004</v>
      </c>
      <c r="V55">
        <f>large!Q14</f>
        <v>5.5912583723411071</v>
      </c>
      <c r="W55" t="str">
        <f>large!R14</f>
        <v>DNF</v>
      </c>
      <c r="X55">
        <f>large!S14</f>
        <v>1.0180778445557195</v>
      </c>
      <c r="Y55">
        <v>7</v>
      </c>
      <c r="AA55" t="b">
        <f>large!T37</f>
        <v>1</v>
      </c>
      <c r="AB55" t="b">
        <f>large!U37</f>
        <v>1</v>
      </c>
      <c r="AC55" t="b">
        <f>large!V37</f>
        <v>0</v>
      </c>
      <c r="AJ55" s="5" t="s">
        <v>26</v>
      </c>
      <c r="AK55">
        <v>42</v>
      </c>
      <c r="AL55">
        <v>42</v>
      </c>
    </row>
    <row r="56" spans="1:38" x14ac:dyDescent="0.2">
      <c r="A56" t="s">
        <v>81</v>
      </c>
      <c r="P56" s="6" t="s">
        <v>69</v>
      </c>
      <c r="Q56" s="6" t="s">
        <v>52</v>
      </c>
      <c r="R56">
        <f>large!M15</f>
        <v>2.5157530000000001</v>
      </c>
      <c r="S56" t="e">
        <f>large!N15</f>
        <v>#N/A</v>
      </c>
      <c r="T56" t="e">
        <f>large!O15</f>
        <v>#N/A</v>
      </c>
      <c r="U56">
        <f>large!P15</f>
        <v>2.4506489999999999</v>
      </c>
      <c r="V56" t="str">
        <f>large!Q15</f>
        <v>DNF</v>
      </c>
      <c r="W56" t="str">
        <f>large!R15</f>
        <v>DNF</v>
      </c>
      <c r="X56">
        <f>large!S15</f>
        <v>0.97412146581957759</v>
      </c>
      <c r="AA56" t="b">
        <f>large!T38</f>
        <v>1</v>
      </c>
      <c r="AB56" t="b">
        <f>large!U38</f>
        <v>1</v>
      </c>
      <c r="AC56" t="b">
        <f>large!V38</f>
        <v>0</v>
      </c>
      <c r="AJ56" s="5" t="s">
        <v>30</v>
      </c>
      <c r="AK56">
        <v>17</v>
      </c>
      <c r="AL56">
        <v>17</v>
      </c>
    </row>
    <row r="57" spans="1:38" x14ac:dyDescent="0.2">
      <c r="A57" s="12" t="s">
        <v>12</v>
      </c>
      <c r="B57" s="6" t="s">
        <v>64</v>
      </c>
      <c r="C57" s="6" t="s">
        <v>63</v>
      </c>
      <c r="D57" s="6" t="s">
        <v>16</v>
      </c>
      <c r="E57" s="6" t="s">
        <v>82</v>
      </c>
      <c r="F57" s="6" t="s">
        <v>14</v>
      </c>
      <c r="G57" s="6" t="s">
        <v>107</v>
      </c>
      <c r="H57" s="23" t="s">
        <v>84</v>
      </c>
      <c r="I57" s="24" t="s">
        <v>83</v>
      </c>
      <c r="J57" s="24" t="s">
        <v>108</v>
      </c>
      <c r="P57" s="6" t="s">
        <v>69</v>
      </c>
      <c r="Q57" s="6" t="s">
        <v>54</v>
      </c>
      <c r="R57">
        <f>large!M16</f>
        <v>0.162852</v>
      </c>
      <c r="S57">
        <f>large!N16</f>
        <v>1.7730919999999999</v>
      </c>
      <c r="T57">
        <f>large!O16</f>
        <v>233.75161800000001</v>
      </c>
      <c r="U57">
        <f>large!P16</f>
        <v>0.166826</v>
      </c>
      <c r="V57">
        <f>large!Q16</f>
        <v>10.887750841254636</v>
      </c>
      <c r="W57">
        <f>large!R16</f>
        <v>1435.3622798614695</v>
      </c>
      <c r="X57">
        <f>large!S16</f>
        <v>1.0244025249920172</v>
      </c>
      <c r="Y57">
        <v>42</v>
      </c>
      <c r="AA57" t="b">
        <f>large!T39</f>
        <v>1</v>
      </c>
      <c r="AB57" t="b">
        <f>large!U39</f>
        <v>1</v>
      </c>
      <c r="AC57" t="b">
        <f>large!V39</f>
        <v>0</v>
      </c>
      <c r="AJ57" s="5" t="s">
        <v>53</v>
      </c>
      <c r="AK57">
        <v>10</v>
      </c>
      <c r="AL57">
        <v>10</v>
      </c>
    </row>
    <row r="58" spans="1:38" x14ac:dyDescent="0.2">
      <c r="A58" s="13" t="s">
        <v>25</v>
      </c>
      <c r="B58" s="8" t="str">
        <f>C4</f>
        <v>0.01MB</v>
      </c>
      <c r="C58" s="6">
        <f>IF(ISBLANK(D4), "-", D4)</f>
        <v>3</v>
      </c>
      <c r="D58" s="14" t="str">
        <f>IF(ISNA(E4), $C$1, TEXT(E4, "0.000"))</f>
        <v>0.002</v>
      </c>
      <c r="E58" s="14" t="str">
        <f t="shared" ref="D58:G73" si="0">IF(ISNA(F4), $C$1, TEXT(F4, "0.000"))</f>
        <v>0.047</v>
      </c>
      <c r="F58" s="14" t="str">
        <f t="shared" si="0"/>
        <v>0.008</v>
      </c>
      <c r="G58" s="14" t="str">
        <f t="shared" si="0"/>
        <v>0.005</v>
      </c>
      <c r="H58" s="15" t="str">
        <f>IF($F58=$C$1, $D$1, IF($J4="DNF", "&gt;" &amp; TEXT($B$1/$F58,"0.00") &amp; "X", TEXT($J4, "0.00") &amp; "X" &amp; IF(M4, "", "*")))</f>
        <v>0.25X*</v>
      </c>
      <c r="I58" s="14" t="str">
        <f>IF($F58=$C$1, $D$1, IF($I4="DNF", "&gt;" &amp; TEXT($B$1/$F58,"0.00") &amp; "X", TEXT($I4, "0.00") &amp; "X" &amp; IF(L4, "", "*")))</f>
        <v>6.12X</v>
      </c>
      <c r="J58" s="14" t="str">
        <f>IF($F58=$C$1, $D$1, IF($K4="DNF", "&gt;" &amp; TEXT($B$1/$F58,"0.00") &amp; "X", TEXT($K4, "0.00") &amp; "X" &amp; IF(N4, "", "*")))</f>
        <v>0.70X*</v>
      </c>
      <c r="K58" s="15" t="str">
        <f>"&amp;" &amp; B58 &amp; "&amp;" &amp; C58 &amp; "&amp;" &amp; F58 &amp; "&amp;" &amp; D58 &amp; "&amp;" &amp; E58  &amp; "&amp;" &amp; G58 &amp; "&amp;" &amp; H58 &amp; "&amp;" &amp; I58 &amp;  "&amp;" &amp;  J58  &amp; "\\"</f>
        <v>&amp;0.01MB&amp;3&amp;0.008&amp;0.002&amp;0.047&amp;0.005&amp;0.25X*&amp;6.12X&amp;0.70X*\\</v>
      </c>
      <c r="P58" s="6" t="s">
        <v>69</v>
      </c>
      <c r="Q58" s="6" t="s">
        <v>55</v>
      </c>
      <c r="R58">
        <f>large!M17</f>
        <v>6.4223000000000002E-2</v>
      </c>
      <c r="S58">
        <f>large!N17</f>
        <v>0.25033899999999998</v>
      </c>
      <c r="T58">
        <f>large!O17</f>
        <v>6.6339059999999996</v>
      </c>
      <c r="U58">
        <f>large!P17</f>
        <v>6.2243E-2</v>
      </c>
      <c r="V58">
        <f>large!Q17</f>
        <v>3.8979649035392301</v>
      </c>
      <c r="W58">
        <f>large!R17</f>
        <v>103.29486321099917</v>
      </c>
      <c r="X58">
        <f>large!S17</f>
        <v>0.96916992354763865</v>
      </c>
      <c r="Y58">
        <v>10</v>
      </c>
      <c r="AA58" t="b">
        <f>large!T40</f>
        <v>1</v>
      </c>
      <c r="AB58" t="b">
        <f>large!U40</f>
        <v>1</v>
      </c>
      <c r="AC58" t="b">
        <f>large!V40</f>
        <v>0</v>
      </c>
    </row>
    <row r="59" spans="1:38" x14ac:dyDescent="0.2">
      <c r="A59" s="13"/>
      <c r="B59" s="8" t="str">
        <f t="shared" ref="B59:B105" si="1">C5</f>
        <v>10MB</v>
      </c>
      <c r="C59" s="6">
        <f t="shared" ref="C59:C105" si="2">IF(ISBLANK(D5), "-", D5)</f>
        <v>15</v>
      </c>
      <c r="D59" s="14" t="str">
        <f t="shared" si="0"/>
        <v>3.712</v>
      </c>
      <c r="E59" s="14" t="str">
        <f t="shared" si="0"/>
        <v>0.423</v>
      </c>
      <c r="F59" s="14" t="str">
        <f t="shared" si="0"/>
        <v>0.209</v>
      </c>
      <c r="G59" s="14" t="str">
        <f>IF(ISNA(H5), $C$1, TEXT(H5, "0.000"))</f>
        <v>0.214</v>
      </c>
      <c r="H59" s="15" t="str">
        <f t="shared" ref="H59:H105" si="3">IF($F59=$C$1, $D$1, IF($J5="DNF", "&gt;" &amp; TEXT($B$1/$F59,"0.00") &amp; "X", TEXT($J5, "0.00") &amp; "X" &amp; IF(M5, "", "*")))</f>
        <v>17.73X</v>
      </c>
      <c r="I59" s="14" t="str">
        <f>IF($F59=$C$1, $D$1, IF($I5="DNF", "&gt;" &amp; TEXT($B$1/$F59,"0.00") &amp; "X", TEXT($I5, "0.00") &amp; "X" &amp; IF(L5, "", "*")))</f>
        <v>2.02X</v>
      </c>
      <c r="J59" s="14" t="str">
        <f t="shared" ref="J59:J105" si="4">IF($F59=$C$1, $D$1, IF($K5="DNF", "&gt;" &amp; TEXT($B$1/$F59,"0.00") &amp; "X", TEXT($K5, "0.00") &amp; "X" &amp; IF(N5, "", "*")))</f>
        <v>1.02X*</v>
      </c>
      <c r="K59" s="15" t="str">
        <f t="shared" ref="K59:K105" si="5">"&amp;" &amp; B59 &amp; "&amp;" &amp; C59 &amp; "&amp;" &amp; F59 &amp; "&amp;" &amp; D59 &amp; "&amp;" &amp; E59  &amp; "&amp;" &amp; G59 &amp; "&amp;" &amp; H59 &amp; "&amp;" &amp; I59 &amp;  "&amp;" &amp;  J59  &amp; "\\"</f>
        <v>&amp;10MB&amp;15&amp;0.209&amp;3.712&amp;0.423&amp;0.214&amp;17.73X&amp;2.02X&amp;1.02X*\\</v>
      </c>
      <c r="P59" s="6" t="s">
        <v>69</v>
      </c>
      <c r="Q59" s="6" t="s">
        <v>56</v>
      </c>
      <c r="R59">
        <f>large!M18</f>
        <v>1.32355</v>
      </c>
      <c r="S59">
        <f>large!N18</f>
        <v>9.9756239999999998</v>
      </c>
      <c r="T59" t="e">
        <f>large!O18</f>
        <v>#N/A</v>
      </c>
      <c r="U59">
        <f>large!P18</f>
        <v>1.3558479999999999</v>
      </c>
      <c r="V59">
        <f>large!Q18</f>
        <v>7.5370208907861436</v>
      </c>
      <c r="W59" t="str">
        <f>large!R18</f>
        <v>DNF</v>
      </c>
      <c r="X59">
        <f>large!S18</f>
        <v>1.024402553738053</v>
      </c>
      <c r="AA59" t="b">
        <f>large!T41</f>
        <v>1</v>
      </c>
      <c r="AB59" t="b">
        <f>large!U41</f>
        <v>1</v>
      </c>
      <c r="AC59" t="b">
        <f>large!V41</f>
        <v>0</v>
      </c>
    </row>
    <row r="60" spans="1:38" x14ac:dyDescent="0.2">
      <c r="A60" s="13"/>
      <c r="B60" s="8" t="str">
        <f t="shared" si="1"/>
        <v>100MB</v>
      </c>
      <c r="C60" s="6">
        <f t="shared" si="2"/>
        <v>189</v>
      </c>
      <c r="D60" s="14" t="str">
        <f t="shared" si="0"/>
        <v>TO</v>
      </c>
      <c r="E60" s="14" t="str">
        <f>IF(ISNA(F6), $C$1, TEXT(F6, "0.000"))</f>
        <v>TO</v>
      </c>
      <c r="F60" s="14" t="str">
        <f t="shared" si="0"/>
        <v>39.469</v>
      </c>
      <c r="G60" s="14" t="str">
        <f t="shared" si="0"/>
        <v>39.522</v>
      </c>
      <c r="H60" s="15" t="str">
        <f t="shared" si="3"/>
        <v>&gt;15.20X</v>
      </c>
      <c r="I60" s="14" t="str">
        <f t="shared" ref="I60:I105" si="6">IF($F60=$C$1, $D$1, IF($I6="DNF", "&gt;" &amp; TEXT($B$1/$F60,"0.00") &amp; "X", TEXT($I6, "0.00") &amp; "X" &amp; IF(L6, "", "*")))</f>
        <v>&gt;15.20X</v>
      </c>
      <c r="J60" s="14" t="str">
        <f t="shared" si="4"/>
        <v>1.00X*</v>
      </c>
      <c r="K60" s="15" t="str">
        <f t="shared" si="5"/>
        <v>&amp;100MB&amp;189&amp;39.469&amp;TO&amp;TO&amp;39.522&amp;&gt;15.20X&amp;&gt;15.20X&amp;1.00X*\\</v>
      </c>
    </row>
    <row r="61" spans="1:38" x14ac:dyDescent="0.2">
      <c r="A61" s="13" t="s">
        <v>29</v>
      </c>
      <c r="B61" s="11" t="str">
        <f t="shared" si="1"/>
        <v>0.01MB</v>
      </c>
      <c r="C61" s="6">
        <f t="shared" si="2"/>
        <v>3</v>
      </c>
      <c r="D61" s="14" t="str">
        <f t="shared" si="0"/>
        <v>0.001</v>
      </c>
      <c r="E61" s="14" t="str">
        <f>IF(ISNA(F7), $C$1, TEXT(F7, "0.000"))</f>
        <v>0.055</v>
      </c>
      <c r="F61" s="14" t="str">
        <f t="shared" si="0"/>
        <v>0.013</v>
      </c>
      <c r="G61" s="14" t="str">
        <f t="shared" si="0"/>
        <v>0.012</v>
      </c>
      <c r="H61" s="15" t="str">
        <f t="shared" si="3"/>
        <v>0.11X</v>
      </c>
      <c r="I61" s="14" t="str">
        <f t="shared" si="6"/>
        <v>4.17X</v>
      </c>
      <c r="J61" s="14" t="str">
        <f t="shared" si="4"/>
        <v>0.91X*</v>
      </c>
      <c r="K61" s="15" t="str">
        <f t="shared" si="5"/>
        <v>&amp;0.01MB&amp;3&amp;0.013&amp;0.001&amp;0.055&amp;0.012&amp;0.11X&amp;4.17X&amp;0.91X*\\</v>
      </c>
    </row>
    <row r="62" spans="1:38" x14ac:dyDescent="0.2">
      <c r="A62" s="13"/>
      <c r="B62" s="11" t="str">
        <f t="shared" si="1"/>
        <v>0.02MB</v>
      </c>
      <c r="C62" s="6">
        <f t="shared" si="2"/>
        <v>4</v>
      </c>
      <c r="D62" s="14" t="str">
        <f t="shared" si="0"/>
        <v>4.859</v>
      </c>
      <c r="E62" s="14" t="str">
        <f t="shared" si="0"/>
        <v>0.087</v>
      </c>
      <c r="F62" s="14" t="str">
        <f t="shared" si="0"/>
        <v>0.020</v>
      </c>
      <c r="G62" s="14" t="str">
        <f t="shared" si="0"/>
        <v>0.016</v>
      </c>
      <c r="H62" s="15" t="str">
        <f t="shared" si="3"/>
        <v>241.38X</v>
      </c>
      <c r="I62" s="14" t="str">
        <f t="shared" si="6"/>
        <v>4.30X</v>
      </c>
      <c r="J62" s="14" t="str">
        <f t="shared" si="4"/>
        <v>0.82X*</v>
      </c>
      <c r="K62" s="15" t="str">
        <f t="shared" si="5"/>
        <v>&amp;0.02MB&amp;4&amp;0.020&amp;4.859&amp;0.087&amp;0.016&amp;241.38X&amp;4.30X&amp;0.82X*\\</v>
      </c>
    </row>
    <row r="63" spans="1:38" x14ac:dyDescent="0.2">
      <c r="A63" s="13"/>
      <c r="B63" s="11" t="str">
        <f t="shared" si="1"/>
        <v>0.04MB</v>
      </c>
      <c r="C63" s="6">
        <f t="shared" si="2"/>
        <v>9</v>
      </c>
      <c r="D63" s="14" t="str">
        <f t="shared" si="0"/>
        <v>58.665</v>
      </c>
      <c r="E63" s="14" t="str">
        <f t="shared" si="0"/>
        <v>0.225</v>
      </c>
      <c r="F63" s="14" t="str">
        <f t="shared" si="0"/>
        <v>0.038</v>
      </c>
      <c r="G63" s="14" t="str">
        <f t="shared" si="0"/>
        <v>0.035</v>
      </c>
      <c r="H63" s="15" t="str">
        <f t="shared" si="3"/>
        <v>1553.75X</v>
      </c>
      <c r="I63" s="14" t="str">
        <f t="shared" si="6"/>
        <v>5.96X</v>
      </c>
      <c r="J63" s="14" t="str">
        <f t="shared" si="4"/>
        <v>0.94X*</v>
      </c>
      <c r="K63" s="15" t="str">
        <f t="shared" si="5"/>
        <v>&amp;0.04MB&amp;9&amp;0.038&amp;58.665&amp;0.225&amp;0.035&amp;1553.75X&amp;5.96X&amp;0.94X*\\</v>
      </c>
    </row>
    <row r="64" spans="1:38" x14ac:dyDescent="0.2">
      <c r="A64" s="13" t="s">
        <v>33</v>
      </c>
      <c r="B64" t="str">
        <f t="shared" si="1"/>
        <v>0.01MB</v>
      </c>
      <c r="C64" s="6">
        <f t="shared" si="2"/>
        <v>3</v>
      </c>
      <c r="D64" s="14" t="str">
        <f t="shared" si="0"/>
        <v>0.003</v>
      </c>
      <c r="E64" s="14" t="str">
        <f t="shared" si="0"/>
        <v>0.044</v>
      </c>
      <c r="F64" s="14" t="str">
        <f t="shared" si="0"/>
        <v>0.012</v>
      </c>
      <c r="G64" s="14" t="str">
        <f t="shared" si="0"/>
        <v>0.011</v>
      </c>
      <c r="H64" s="15" t="str">
        <f t="shared" si="3"/>
        <v>0.25X*</v>
      </c>
      <c r="I64" s="14" t="str">
        <f t="shared" si="6"/>
        <v>3.52X</v>
      </c>
      <c r="J64" s="14" t="str">
        <f t="shared" si="4"/>
        <v>0.88X*</v>
      </c>
      <c r="K64" s="15" t="str">
        <f t="shared" si="5"/>
        <v>&amp;0.01MB&amp;3&amp;0.012&amp;0.003&amp;0.044&amp;0.011&amp;0.25X*&amp;3.52X&amp;0.88X*\\</v>
      </c>
    </row>
    <row r="65" spans="1:11" x14ac:dyDescent="0.2">
      <c r="A65" s="13"/>
      <c r="B65" t="str">
        <f t="shared" si="1"/>
        <v>1MB</v>
      </c>
      <c r="C65" s="6">
        <f t="shared" si="2"/>
        <v>3</v>
      </c>
      <c r="D65" s="14" t="str">
        <f t="shared" si="0"/>
        <v>33.197</v>
      </c>
      <c r="E65" s="14" t="str">
        <f t="shared" si="0"/>
        <v>0.188</v>
      </c>
      <c r="F65" s="14" t="str">
        <f t="shared" si="0"/>
        <v>0.048</v>
      </c>
      <c r="G65" s="14" t="str">
        <f t="shared" si="0"/>
        <v>0.045</v>
      </c>
      <c r="H65" s="15" t="str">
        <f t="shared" si="3"/>
        <v>694.97X</v>
      </c>
      <c r="I65" s="14" t="str">
        <f t="shared" si="6"/>
        <v>3.93X</v>
      </c>
      <c r="J65" s="14" t="str">
        <f t="shared" si="4"/>
        <v>0.95X*</v>
      </c>
      <c r="K65" s="15" t="str">
        <f t="shared" si="5"/>
        <v>&amp;1MB&amp;3&amp;0.048&amp;33.197&amp;0.188&amp;0.045&amp;694.97X&amp;3.93X&amp;0.95X*\\</v>
      </c>
    </row>
    <row r="66" spans="1:11" x14ac:dyDescent="0.2">
      <c r="A66" s="13"/>
      <c r="B66" t="str">
        <f t="shared" si="1"/>
        <v>5MB</v>
      </c>
      <c r="C66" s="6">
        <f t="shared" si="2"/>
        <v>4</v>
      </c>
      <c r="D66" s="14" t="str">
        <f t="shared" si="0"/>
        <v>TO</v>
      </c>
      <c r="E66" s="14" t="str">
        <f t="shared" si="0"/>
        <v>0.670</v>
      </c>
      <c r="F66" s="14" t="str">
        <f t="shared" si="0"/>
        <v>0.177</v>
      </c>
      <c r="G66" s="14" t="str">
        <f t="shared" si="0"/>
        <v>0.172</v>
      </c>
      <c r="H66" s="15" t="str">
        <f t="shared" si="3"/>
        <v>&gt;3389.83X</v>
      </c>
      <c r="I66" s="14" t="str">
        <f t="shared" si="6"/>
        <v>3.78X</v>
      </c>
      <c r="J66" s="14" t="str">
        <f t="shared" si="4"/>
        <v>0.97X*</v>
      </c>
      <c r="K66" s="15" t="str">
        <f t="shared" si="5"/>
        <v>&amp;5MB&amp;4&amp;0.177&amp;TO&amp;0.670&amp;0.172&amp;&gt;3389.83X&amp;3.78X&amp;0.97X*\\</v>
      </c>
    </row>
    <row r="67" spans="1:11" x14ac:dyDescent="0.2">
      <c r="A67" s="13" t="s">
        <v>35</v>
      </c>
      <c r="B67" t="str">
        <f t="shared" si="1"/>
        <v>0.01MB</v>
      </c>
      <c r="C67" s="6">
        <f t="shared" si="2"/>
        <v>2</v>
      </c>
      <c r="D67" s="14" t="str">
        <f t="shared" si="0"/>
        <v>0.002</v>
      </c>
      <c r="E67" s="14" t="str">
        <f t="shared" si="0"/>
        <v>0.036</v>
      </c>
      <c r="F67" s="14" t="str">
        <f t="shared" si="0"/>
        <v>0.009</v>
      </c>
      <c r="G67" s="14" t="str">
        <f t="shared" si="0"/>
        <v>0.009</v>
      </c>
      <c r="H67" s="15" t="str">
        <f t="shared" si="3"/>
        <v>0.24X*</v>
      </c>
      <c r="I67" s="14" t="str">
        <f t="shared" si="6"/>
        <v>4.02X</v>
      </c>
      <c r="J67" s="14" t="str">
        <f t="shared" si="4"/>
        <v>0.96X*</v>
      </c>
      <c r="K67" s="15" t="str">
        <f t="shared" si="5"/>
        <v>&amp;0.01MB&amp;2&amp;0.009&amp;0.002&amp;0.036&amp;0.009&amp;0.24X*&amp;4.02X&amp;0.96X*\\</v>
      </c>
    </row>
    <row r="68" spans="1:11" x14ac:dyDescent="0.2">
      <c r="A68" s="13"/>
      <c r="B68" t="str">
        <f t="shared" si="1"/>
        <v>2MB</v>
      </c>
      <c r="C68" s="6">
        <f t="shared" si="2"/>
        <v>5</v>
      </c>
      <c r="D68" s="14" t="str">
        <f t="shared" si="0"/>
        <v>139.448</v>
      </c>
      <c r="E68" s="14" t="str">
        <f t="shared" si="0"/>
        <v>0.565</v>
      </c>
      <c r="F68" s="14" t="str">
        <f t="shared" si="0"/>
        <v>0.083</v>
      </c>
      <c r="G68" s="14" t="str">
        <f t="shared" si="0"/>
        <v>0.075</v>
      </c>
      <c r="H68" s="15" t="str">
        <f t="shared" si="3"/>
        <v>1675.25X</v>
      </c>
      <c r="I68" s="14" t="str">
        <f t="shared" si="6"/>
        <v>6.79X</v>
      </c>
      <c r="J68" s="14" t="str">
        <f t="shared" si="4"/>
        <v>0.90X*</v>
      </c>
      <c r="K68" s="15" t="str">
        <f t="shared" si="5"/>
        <v>&amp;2MB&amp;5&amp;0.083&amp;139.448&amp;0.565&amp;0.075&amp;1675.25X&amp;6.79X&amp;0.90X*\\</v>
      </c>
    </row>
    <row r="69" spans="1:11" x14ac:dyDescent="0.2">
      <c r="A69" s="13"/>
      <c r="B69" t="str">
        <f t="shared" si="1"/>
        <v>20MB</v>
      </c>
      <c r="C69" s="6">
        <f t="shared" si="2"/>
        <v>22</v>
      </c>
      <c r="D69" s="14" t="str">
        <f t="shared" si="0"/>
        <v>TO</v>
      </c>
      <c r="E69" s="14" t="str">
        <f t="shared" si="0"/>
        <v>14.777</v>
      </c>
      <c r="F69" s="14" t="str">
        <f t="shared" si="0"/>
        <v>1.108</v>
      </c>
      <c r="G69" s="14" t="str">
        <f t="shared" si="0"/>
        <v>1.115</v>
      </c>
      <c r="H69" s="15" t="str">
        <f t="shared" si="3"/>
        <v>&gt;541.52X</v>
      </c>
      <c r="I69" s="14" t="str">
        <f t="shared" si="6"/>
        <v>13.34X</v>
      </c>
      <c r="J69" s="14" t="str">
        <f t="shared" si="4"/>
        <v>1.01X*</v>
      </c>
      <c r="K69" s="15" t="str">
        <f t="shared" si="5"/>
        <v>&amp;20MB&amp;22&amp;1.108&amp;TO&amp;14.777&amp;1.115&amp;&gt;541.52X&amp;13.34X&amp;1.01X*\\</v>
      </c>
    </row>
    <row r="70" spans="1:11" x14ac:dyDescent="0.2">
      <c r="A70" s="13" t="s">
        <v>37</v>
      </c>
      <c r="B70" s="11" t="str">
        <f t="shared" si="1"/>
        <v>0.02MB</v>
      </c>
      <c r="C70" s="6">
        <f t="shared" si="2"/>
        <v>9</v>
      </c>
      <c r="D70" s="14" t="str">
        <f t="shared" si="0"/>
        <v>0.006</v>
      </c>
      <c r="E70" s="14" t="str">
        <f t="shared" si="0"/>
        <v>0.311</v>
      </c>
      <c r="F70" s="14" t="str">
        <f t="shared" si="0"/>
        <v>0.028</v>
      </c>
      <c r="G70" s="14" t="str">
        <f t="shared" si="0"/>
        <v>0.025</v>
      </c>
      <c r="H70" s="15" t="str">
        <f t="shared" si="3"/>
        <v>0.22X</v>
      </c>
      <c r="I70" s="14" t="str">
        <f t="shared" si="6"/>
        <v>11.03X</v>
      </c>
      <c r="J70" s="14" t="str">
        <f t="shared" si="4"/>
        <v>0.88X*</v>
      </c>
      <c r="K70" s="15" t="str">
        <f t="shared" si="5"/>
        <v>&amp;0.02MB&amp;9&amp;0.028&amp;0.006&amp;0.311&amp;0.025&amp;0.22X&amp;11.03X&amp;0.88X*\\</v>
      </c>
    </row>
    <row r="71" spans="1:11" x14ac:dyDescent="0.2">
      <c r="A71" s="13"/>
      <c r="B71" s="11" t="str">
        <f t="shared" si="1"/>
        <v>0.1MB</v>
      </c>
      <c r="C71" s="6">
        <f t="shared" si="2"/>
        <v>1</v>
      </c>
      <c r="D71" s="14" t="str">
        <f t="shared" si="0"/>
        <v>TO</v>
      </c>
      <c r="E71" s="14" t="str">
        <f t="shared" si="0"/>
        <v>0.054</v>
      </c>
      <c r="F71" s="14" t="str">
        <f t="shared" si="0"/>
        <v>0.020</v>
      </c>
      <c r="G71" s="14" t="str">
        <f t="shared" si="0"/>
        <v>0.017</v>
      </c>
      <c r="H71" s="15" t="str">
        <f t="shared" si="3"/>
        <v>&gt;30000.00X</v>
      </c>
      <c r="I71" s="14" t="str">
        <f t="shared" si="6"/>
        <v>2.73X</v>
      </c>
      <c r="J71" s="14" t="str">
        <f t="shared" si="4"/>
        <v>0.83X*</v>
      </c>
      <c r="K71" s="15" t="str">
        <f t="shared" si="5"/>
        <v>&amp;0.1MB&amp;1&amp;0.020&amp;TO&amp;0.054&amp;0.017&amp;&gt;30000.00X&amp;2.73X&amp;0.83X*\\</v>
      </c>
    </row>
    <row r="72" spans="1:11" x14ac:dyDescent="0.2">
      <c r="A72" s="13"/>
      <c r="B72" s="11" t="str">
        <f t="shared" si="1"/>
        <v>0.2MB</v>
      </c>
      <c r="C72" s="6">
        <f t="shared" si="2"/>
        <v>1</v>
      </c>
      <c r="D72" s="14" t="str">
        <f t="shared" si="0"/>
        <v>TO</v>
      </c>
      <c r="E72" s="14" t="str">
        <f t="shared" si="0"/>
        <v>0.059</v>
      </c>
      <c r="F72" s="14" t="str">
        <f t="shared" si="0"/>
        <v>0.024</v>
      </c>
      <c r="G72" s="14" t="str">
        <f t="shared" si="0"/>
        <v>0.020</v>
      </c>
      <c r="H72" s="15" t="str">
        <f t="shared" si="3"/>
        <v>&gt;25000.00X</v>
      </c>
      <c r="I72" s="14" t="str">
        <f t="shared" si="6"/>
        <v>2.49X</v>
      </c>
      <c r="J72" s="14" t="str">
        <f t="shared" si="4"/>
        <v>0.83X*</v>
      </c>
      <c r="K72" s="15" t="str">
        <f t="shared" si="5"/>
        <v>&amp;0.2MB&amp;1&amp;0.024&amp;TO&amp;0.059&amp;0.020&amp;&gt;25000.00X&amp;2.49X&amp;0.83X*\\</v>
      </c>
    </row>
    <row r="73" spans="1:11" x14ac:dyDescent="0.2">
      <c r="A73" s="13" t="s">
        <v>38</v>
      </c>
      <c r="B73" t="str">
        <f t="shared" si="1"/>
        <v>0.01MB</v>
      </c>
      <c r="C73" s="6">
        <f t="shared" si="2"/>
        <v>3</v>
      </c>
      <c r="D73" s="14" t="str">
        <f t="shared" si="0"/>
        <v>0.002</v>
      </c>
      <c r="E73" s="14" t="str">
        <f t="shared" si="0"/>
        <v>0.070</v>
      </c>
      <c r="F73" s="14" t="str">
        <f t="shared" si="0"/>
        <v>0.011</v>
      </c>
      <c r="G73" s="14" t="str">
        <f t="shared" si="0"/>
        <v>0.009</v>
      </c>
      <c r="H73" s="15" t="str">
        <f t="shared" si="3"/>
        <v>0.21X</v>
      </c>
      <c r="I73" s="14" t="str">
        <f t="shared" si="6"/>
        <v>6.19X</v>
      </c>
      <c r="J73" s="14" t="str">
        <f t="shared" si="4"/>
        <v>0.82X*</v>
      </c>
      <c r="K73" s="15" t="str">
        <f t="shared" si="5"/>
        <v>&amp;0.01MB&amp;3&amp;0.011&amp;0.002&amp;0.070&amp;0.009&amp;0.21X&amp;6.19X&amp;0.82X*\\</v>
      </c>
    </row>
    <row r="74" spans="1:11" x14ac:dyDescent="0.2">
      <c r="A74" s="13"/>
      <c r="B74" t="str">
        <f t="shared" si="1"/>
        <v>1MB</v>
      </c>
      <c r="C74" s="6">
        <f t="shared" si="2"/>
        <v>3</v>
      </c>
      <c r="D74" s="14" t="str">
        <f t="shared" ref="D74:G105" si="7">IF(ISNA(E20), $C$1, TEXT(E20, "0.000"))</f>
        <v>13.839</v>
      </c>
      <c r="E74" s="14" t="str">
        <f t="shared" si="7"/>
        <v>0.766</v>
      </c>
      <c r="F74" s="14" t="str">
        <f t="shared" si="7"/>
        <v>0.295</v>
      </c>
      <c r="G74" s="14" t="str">
        <f t="shared" si="7"/>
        <v>0.300</v>
      </c>
      <c r="H74" s="15" t="str">
        <f t="shared" si="3"/>
        <v>46.91X</v>
      </c>
      <c r="I74" s="14" t="str">
        <f t="shared" si="6"/>
        <v>2.60X</v>
      </c>
      <c r="J74" s="14" t="str">
        <f t="shared" si="4"/>
        <v>1.02X*</v>
      </c>
      <c r="K74" s="15" t="str">
        <f t="shared" si="5"/>
        <v>&amp;1MB&amp;3&amp;0.295&amp;13.839&amp;0.766&amp;0.300&amp;46.91X&amp;2.60X&amp;1.02X*\\</v>
      </c>
    </row>
    <row r="75" spans="1:11" x14ac:dyDescent="0.2">
      <c r="A75" s="13"/>
      <c r="B75" t="str">
        <f t="shared" si="1"/>
        <v>1.5MB</v>
      </c>
      <c r="C75" s="6">
        <f t="shared" si="2"/>
        <v>3</v>
      </c>
      <c r="D75" s="14" t="str">
        <f t="shared" si="7"/>
        <v>40.566</v>
      </c>
      <c r="E75" s="14" t="str">
        <f t="shared" si="7"/>
        <v>1.016</v>
      </c>
      <c r="F75" s="14" t="str">
        <f t="shared" si="7"/>
        <v>0.831</v>
      </c>
      <c r="G75" s="14" t="str">
        <f t="shared" si="7"/>
        <v>0.788</v>
      </c>
      <c r="H75" s="15" t="str">
        <f t="shared" si="3"/>
        <v>48.79X</v>
      </c>
      <c r="I75" s="14" t="str">
        <f t="shared" si="6"/>
        <v>1.22X</v>
      </c>
      <c r="J75" s="14" t="str">
        <f t="shared" si="4"/>
        <v>0.95X*</v>
      </c>
      <c r="K75" s="15" t="str">
        <f t="shared" si="5"/>
        <v>&amp;1.5MB&amp;3&amp;0.831&amp;40.566&amp;1.016&amp;0.788&amp;48.79X&amp;1.22X&amp;0.95X*\\</v>
      </c>
    </row>
    <row r="76" spans="1:11" x14ac:dyDescent="0.2">
      <c r="A76" s="13" t="s">
        <v>40</v>
      </c>
      <c r="B76" t="str">
        <f t="shared" si="1"/>
        <v>0.01MB</v>
      </c>
      <c r="C76" s="6">
        <f t="shared" si="2"/>
        <v>5</v>
      </c>
      <c r="D76" s="14" t="str">
        <f t="shared" si="7"/>
        <v>0.003</v>
      </c>
      <c r="E76" s="14" t="str">
        <f t="shared" si="7"/>
        <v>0.171</v>
      </c>
      <c r="F76" s="14" t="str">
        <f t="shared" si="7"/>
        <v>0.024</v>
      </c>
      <c r="G76" s="14" t="str">
        <f t="shared" si="7"/>
        <v>0.018</v>
      </c>
      <c r="H76" s="15" t="str">
        <f t="shared" si="3"/>
        <v>0.12X</v>
      </c>
      <c r="I76" s="14" t="str">
        <f t="shared" si="6"/>
        <v>7.18X</v>
      </c>
      <c r="J76" s="14" t="str">
        <f t="shared" si="4"/>
        <v>0.76X*</v>
      </c>
      <c r="K76" s="15" t="str">
        <f t="shared" si="5"/>
        <v>&amp;0.01MB&amp;5&amp;0.024&amp;0.003&amp;0.171&amp;0.018&amp;0.12X&amp;7.18X&amp;0.76X*\\</v>
      </c>
    </row>
    <row r="77" spans="1:11" x14ac:dyDescent="0.2">
      <c r="A77" s="13"/>
      <c r="B77" t="str">
        <f t="shared" si="1"/>
        <v>2MB</v>
      </c>
      <c r="C77" s="6">
        <f t="shared" si="2"/>
        <v>11</v>
      </c>
      <c r="D77" s="14" t="str">
        <f t="shared" si="7"/>
        <v>TO</v>
      </c>
      <c r="E77" s="14" t="str">
        <f t="shared" si="7"/>
        <v>5.712</v>
      </c>
      <c r="F77" s="14" t="str">
        <f t="shared" si="7"/>
        <v>1.069</v>
      </c>
      <c r="G77" s="14" t="str">
        <f t="shared" si="7"/>
        <v>1.109</v>
      </c>
      <c r="H77" s="15" t="str">
        <f t="shared" si="3"/>
        <v>&gt;561.27X</v>
      </c>
      <c r="I77" s="14" t="str">
        <f t="shared" si="6"/>
        <v>5.34X</v>
      </c>
      <c r="J77" s="14" t="str">
        <f t="shared" si="4"/>
        <v>1.04X*</v>
      </c>
      <c r="K77" s="15" t="str">
        <f t="shared" si="5"/>
        <v>&amp;2MB&amp;11&amp;1.069&amp;TO&amp;5.712&amp;1.109&amp;&gt;561.27X&amp;5.34X&amp;1.04X*\\</v>
      </c>
    </row>
    <row r="78" spans="1:11" x14ac:dyDescent="0.2">
      <c r="A78" s="13"/>
      <c r="B78" t="str">
        <f t="shared" si="1"/>
        <v>10MB</v>
      </c>
      <c r="C78" s="6">
        <f t="shared" si="2"/>
        <v>14</v>
      </c>
      <c r="D78" s="14" t="str">
        <f t="shared" si="7"/>
        <v>TO</v>
      </c>
      <c r="E78" s="14" t="str">
        <f t="shared" si="7"/>
        <v>318.531</v>
      </c>
      <c r="F78" s="14" t="str">
        <f t="shared" si="7"/>
        <v>31.675</v>
      </c>
      <c r="G78" s="14" t="str">
        <f t="shared" si="7"/>
        <v>31.571</v>
      </c>
      <c r="H78" s="15" t="str">
        <f t="shared" si="3"/>
        <v>&gt;18.94X</v>
      </c>
      <c r="I78" s="14" t="str">
        <f t="shared" si="6"/>
        <v>10.06X</v>
      </c>
      <c r="J78" s="14" t="str">
        <f t="shared" si="4"/>
        <v>1.00X*</v>
      </c>
      <c r="K78" s="15" t="str">
        <f t="shared" si="5"/>
        <v>&amp;10MB&amp;14&amp;31.675&amp;TO&amp;318.531&amp;31.571&amp;&gt;18.94X&amp;10.06X&amp;1.00X*\\</v>
      </c>
    </row>
    <row r="79" spans="1:11" x14ac:dyDescent="0.2">
      <c r="A79" s="13" t="s">
        <v>42</v>
      </c>
      <c r="B79" s="11" t="str">
        <f t="shared" si="1"/>
        <v>0.01MB</v>
      </c>
      <c r="C79" s="6">
        <f t="shared" si="2"/>
        <v>3</v>
      </c>
      <c r="D79" s="14" t="str">
        <f t="shared" si="7"/>
        <v>0.002</v>
      </c>
      <c r="E79" s="14" t="str">
        <f t="shared" si="7"/>
        <v>0.048</v>
      </c>
      <c r="F79" s="14" t="str">
        <f t="shared" si="7"/>
        <v>0.006</v>
      </c>
      <c r="G79" s="14" t="str">
        <f t="shared" si="7"/>
        <v>0.005</v>
      </c>
      <c r="H79" s="15" t="str">
        <f t="shared" si="3"/>
        <v>0.31X</v>
      </c>
      <c r="I79" s="14" t="str">
        <f t="shared" si="6"/>
        <v>7.39X</v>
      </c>
      <c r="J79" s="14" t="str">
        <f t="shared" si="4"/>
        <v>0.81X*</v>
      </c>
      <c r="K79" s="15" t="str">
        <f t="shared" si="5"/>
        <v>&amp;0.01MB&amp;3&amp;0.006&amp;0.002&amp;0.048&amp;0.005&amp;0.31X&amp;7.39X&amp;0.81X*\\</v>
      </c>
    </row>
    <row r="80" spans="1:11" x14ac:dyDescent="0.2">
      <c r="A80" s="13"/>
      <c r="B80" s="11" t="str">
        <f t="shared" si="1"/>
        <v>0.03MB</v>
      </c>
      <c r="C80" s="6">
        <f t="shared" si="2"/>
        <v>3</v>
      </c>
      <c r="D80" s="14" t="str">
        <f t="shared" si="7"/>
        <v>17.675</v>
      </c>
      <c r="E80" s="14" t="str">
        <f t="shared" si="7"/>
        <v>0.058</v>
      </c>
      <c r="F80" s="14" t="str">
        <f t="shared" si="7"/>
        <v>0.010</v>
      </c>
      <c r="G80" s="14" t="str">
        <f t="shared" si="7"/>
        <v>0.008</v>
      </c>
      <c r="H80" s="15" t="str">
        <f t="shared" si="3"/>
        <v>1768.88X</v>
      </c>
      <c r="I80" s="14" t="str">
        <f t="shared" si="6"/>
        <v>5.84X</v>
      </c>
      <c r="J80" s="14" t="str">
        <f t="shared" si="4"/>
        <v>0.84X*</v>
      </c>
      <c r="K80" s="15" t="str">
        <f t="shared" si="5"/>
        <v>&amp;0.03MB&amp;3&amp;0.010&amp;17.675&amp;0.058&amp;0.008&amp;1768.88X&amp;5.84X&amp;0.84X*\\</v>
      </c>
    </row>
    <row r="81" spans="1:11" x14ac:dyDescent="0.2">
      <c r="A81" s="13"/>
      <c r="B81" s="11" t="str">
        <f t="shared" si="1"/>
        <v>0.05MB</v>
      </c>
      <c r="C81" s="6">
        <f t="shared" si="2"/>
        <v>5</v>
      </c>
      <c r="D81" s="14" t="str">
        <f t="shared" si="7"/>
        <v>257.405</v>
      </c>
      <c r="E81" s="14" t="str">
        <f t="shared" si="7"/>
        <v>0.129</v>
      </c>
      <c r="F81" s="14" t="str">
        <f t="shared" si="7"/>
        <v>0.014</v>
      </c>
      <c r="G81" s="14" t="str">
        <f t="shared" si="7"/>
        <v>0.013</v>
      </c>
      <c r="H81" s="15" t="str">
        <f t="shared" si="3"/>
        <v>18981.25X</v>
      </c>
      <c r="I81" s="14" t="str">
        <f t="shared" si="6"/>
        <v>9.52X</v>
      </c>
      <c r="J81" s="14" t="str">
        <f t="shared" si="4"/>
        <v>0.93X*</v>
      </c>
      <c r="K81" s="15" t="str">
        <f t="shared" si="5"/>
        <v>&amp;0.05MB&amp;5&amp;0.014&amp;257.405&amp;0.129&amp;0.013&amp;18981.25X&amp;9.52X&amp;0.93X*\\</v>
      </c>
    </row>
    <row r="82" spans="1:11" x14ac:dyDescent="0.2">
      <c r="A82" s="13" t="s">
        <v>44</v>
      </c>
      <c r="B82" t="str">
        <f t="shared" si="1"/>
        <v>0.01MB</v>
      </c>
      <c r="C82" s="6">
        <f t="shared" si="2"/>
        <v>17</v>
      </c>
      <c r="D82" s="14" t="str">
        <f t="shared" si="7"/>
        <v>0.004</v>
      </c>
      <c r="E82" s="14" t="str">
        <f t="shared" si="7"/>
        <v>0.327</v>
      </c>
      <c r="F82" s="14" t="str">
        <f t="shared" si="7"/>
        <v>0.014</v>
      </c>
      <c r="G82" s="14" t="str">
        <f t="shared" si="7"/>
        <v>0.009</v>
      </c>
      <c r="H82" s="15" t="str">
        <f t="shared" si="3"/>
        <v>0.29X</v>
      </c>
      <c r="I82" s="14" t="str">
        <f t="shared" si="6"/>
        <v>23.56X</v>
      </c>
      <c r="J82" s="14" t="str">
        <f t="shared" si="4"/>
        <v>0.62X*</v>
      </c>
      <c r="K82" s="15" t="str">
        <f t="shared" si="5"/>
        <v>&amp;0.01MB&amp;17&amp;0.014&amp;0.004&amp;0.327&amp;0.009&amp;0.29X&amp;23.56X&amp;0.62X*\\</v>
      </c>
    </row>
    <row r="83" spans="1:11" x14ac:dyDescent="0.2">
      <c r="A83" s="13"/>
      <c r="B83" t="str">
        <f t="shared" si="1"/>
        <v>1MB</v>
      </c>
      <c r="C83" s="6" t="str">
        <f>IF(ISBLANK(D29), "-", D29)</f>
        <v>-</v>
      </c>
      <c r="D83" s="14" t="str">
        <f t="shared" si="7"/>
        <v>TO</v>
      </c>
      <c r="E83" s="14" t="str">
        <f t="shared" si="7"/>
        <v>TO</v>
      </c>
      <c r="F83" s="14" t="str">
        <f t="shared" si="7"/>
        <v>181.488</v>
      </c>
      <c r="G83" s="14" t="str">
        <f t="shared" si="7"/>
        <v>178.274</v>
      </c>
      <c r="H83" s="15" t="str">
        <f t="shared" si="3"/>
        <v>&gt;3.31X</v>
      </c>
      <c r="I83" s="14" t="str">
        <f t="shared" si="6"/>
        <v>&gt;3.31X</v>
      </c>
      <c r="J83" s="14" t="str">
        <f t="shared" si="4"/>
        <v>0.98X*</v>
      </c>
      <c r="K83" s="15" t="str">
        <f t="shared" si="5"/>
        <v>&amp;1MB&amp;-&amp;181.488&amp;TO&amp;TO&amp;178.274&amp;&gt;3.31X&amp;&gt;3.31X&amp;0.98X*\\</v>
      </c>
    </row>
    <row r="84" spans="1:11" x14ac:dyDescent="0.2">
      <c r="A84" s="13"/>
      <c r="B84" t="str">
        <f t="shared" si="1"/>
        <v>2MB</v>
      </c>
      <c r="C84" s="6" t="str">
        <f t="shared" si="2"/>
        <v>-</v>
      </c>
      <c r="D84" s="14" t="str">
        <f t="shared" si="7"/>
        <v>TO</v>
      </c>
      <c r="E84" s="14" t="str">
        <f t="shared" si="7"/>
        <v>TO</v>
      </c>
      <c r="F84" s="14" t="str">
        <f t="shared" si="7"/>
        <v>450.077</v>
      </c>
      <c r="G84" s="14" t="str">
        <f t="shared" si="7"/>
        <v>454.288</v>
      </c>
      <c r="H84" s="15" t="str">
        <f t="shared" si="3"/>
        <v>&gt;1.33X</v>
      </c>
      <c r="I84" s="14" t="str">
        <f t="shared" si="6"/>
        <v>&gt;1.33X</v>
      </c>
      <c r="J84" s="14" t="str">
        <f t="shared" si="4"/>
        <v>1.01X*</v>
      </c>
      <c r="K84" s="15" t="str">
        <f t="shared" si="5"/>
        <v>&amp;2MB&amp;-&amp;450.077&amp;TO&amp;TO&amp;454.288&amp;&gt;1.33X&amp;&gt;1.33X&amp;1.01X*\\</v>
      </c>
    </row>
    <row r="85" spans="1:11" x14ac:dyDescent="0.2">
      <c r="A85" s="13" t="s">
        <v>47</v>
      </c>
      <c r="B85" s="11" t="str">
        <f t="shared" si="1"/>
        <v>0.02MB</v>
      </c>
      <c r="C85" s="6">
        <f t="shared" si="2"/>
        <v>3</v>
      </c>
      <c r="D85" s="14" t="str">
        <f t="shared" si="7"/>
        <v>0.003</v>
      </c>
      <c r="E85" s="14" t="str">
        <f t="shared" si="7"/>
        <v>0.077</v>
      </c>
      <c r="F85" s="14" t="str">
        <f t="shared" si="7"/>
        <v>0.014</v>
      </c>
      <c r="G85" s="14" t="str">
        <f t="shared" si="7"/>
        <v>0.012</v>
      </c>
      <c r="H85" s="15" t="str">
        <f t="shared" si="3"/>
        <v>0.18X</v>
      </c>
      <c r="I85" s="14" t="str">
        <f t="shared" si="6"/>
        <v>5.37X</v>
      </c>
      <c r="J85" s="14" t="str">
        <f t="shared" si="4"/>
        <v>0.85X*</v>
      </c>
      <c r="K85" s="15" t="str">
        <f t="shared" si="5"/>
        <v>&amp;0.02MB&amp;3&amp;0.014&amp;0.003&amp;0.077&amp;0.012&amp;0.18X&amp;5.37X&amp;0.85X*\\</v>
      </c>
    </row>
    <row r="86" spans="1:11" x14ac:dyDescent="0.2">
      <c r="A86" s="13"/>
      <c r="B86" s="11" t="str">
        <f t="shared" si="1"/>
        <v>0.05MB</v>
      </c>
      <c r="C86" s="6">
        <f t="shared" si="2"/>
        <v>16</v>
      </c>
      <c r="D86" s="14" t="str">
        <f t="shared" si="7"/>
        <v>TO</v>
      </c>
      <c r="E86" s="14" t="str">
        <f t="shared" si="7"/>
        <v>0.835</v>
      </c>
      <c r="F86" s="14" t="str">
        <f t="shared" si="7"/>
        <v>0.055</v>
      </c>
      <c r="G86" s="14" t="str">
        <f t="shared" si="7"/>
        <v>0.053</v>
      </c>
      <c r="H86" s="15" t="str">
        <f t="shared" si="3"/>
        <v>&gt;10909.09X</v>
      </c>
      <c r="I86" s="14" t="str">
        <f t="shared" si="6"/>
        <v>15.27X</v>
      </c>
      <c r="J86" s="14" t="str">
        <f t="shared" si="4"/>
        <v>0.96X*</v>
      </c>
      <c r="K86" s="15" t="str">
        <f t="shared" si="5"/>
        <v>&amp;0.05MB&amp;16&amp;0.055&amp;TO&amp;0.835&amp;0.053&amp;&gt;10909.09X&amp;15.27X&amp;0.96X*\\</v>
      </c>
    </row>
    <row r="87" spans="1:11" x14ac:dyDescent="0.2">
      <c r="A87" s="13"/>
      <c r="B87" s="11" t="str">
        <f t="shared" si="1"/>
        <v>0.1MB</v>
      </c>
      <c r="C87" s="6" t="str">
        <f t="shared" si="2"/>
        <v>-</v>
      </c>
      <c r="D87" s="14" t="str">
        <f t="shared" si="7"/>
        <v>TO</v>
      </c>
      <c r="E87" s="14" t="str">
        <f t="shared" si="7"/>
        <v>TO</v>
      </c>
      <c r="F87" s="14" t="str">
        <f t="shared" si="7"/>
        <v>0.510</v>
      </c>
      <c r="G87" s="14" t="str">
        <f t="shared" si="7"/>
        <v>0.493</v>
      </c>
      <c r="H87" s="15" t="str">
        <f t="shared" si="3"/>
        <v>&gt;1176.47X</v>
      </c>
      <c r="I87" s="14" t="str">
        <f t="shared" si="6"/>
        <v>&gt;1176.47X</v>
      </c>
      <c r="J87" s="14" t="str">
        <f t="shared" si="4"/>
        <v>0.97X*</v>
      </c>
      <c r="K87" s="15" t="str">
        <f t="shared" si="5"/>
        <v>&amp;0.1MB&amp;-&amp;0.510&amp;TO&amp;TO&amp;0.493&amp;&gt;1176.47X&amp;&gt;1176.47X&amp;0.97X*\\</v>
      </c>
    </row>
    <row r="88" spans="1:11" x14ac:dyDescent="0.2">
      <c r="A88" s="13" t="s">
        <v>49</v>
      </c>
      <c r="B88" t="str">
        <f t="shared" si="1"/>
        <v>0.01MB</v>
      </c>
      <c r="C88" s="6">
        <f t="shared" si="2"/>
        <v>2</v>
      </c>
      <c r="D88" s="14" t="str">
        <f t="shared" si="7"/>
        <v>0.002</v>
      </c>
      <c r="E88" s="14" t="str">
        <f t="shared" si="7"/>
        <v>0.038</v>
      </c>
      <c r="F88" s="14" t="str">
        <f t="shared" si="7"/>
        <v>0.012</v>
      </c>
      <c r="G88" s="14" t="str">
        <f t="shared" si="7"/>
        <v>0.010</v>
      </c>
      <c r="H88" s="15" t="str">
        <f t="shared" si="3"/>
        <v>0.17X*</v>
      </c>
      <c r="I88" s="14" t="str">
        <f t="shared" si="6"/>
        <v>3.17X</v>
      </c>
      <c r="J88" s="14" t="str">
        <f t="shared" si="4"/>
        <v>0.80X*</v>
      </c>
      <c r="K88" s="15" t="str">
        <f t="shared" si="5"/>
        <v>&amp;0.01MB&amp;2&amp;0.012&amp;0.002&amp;0.038&amp;0.010&amp;0.17X*&amp;3.17X&amp;0.80X*\\</v>
      </c>
    </row>
    <row r="89" spans="1:11" x14ac:dyDescent="0.2">
      <c r="A89" s="13"/>
      <c r="B89" t="str">
        <f t="shared" si="1"/>
        <v>1MB</v>
      </c>
      <c r="C89" s="6">
        <f t="shared" si="2"/>
        <v>2</v>
      </c>
      <c r="D89" s="14" t="str">
        <f t="shared" si="7"/>
        <v>TO</v>
      </c>
      <c r="E89" s="14" t="str">
        <f t="shared" si="7"/>
        <v>0.392</v>
      </c>
      <c r="F89" s="14" t="str">
        <f t="shared" si="7"/>
        <v>0.077</v>
      </c>
      <c r="G89" s="14" t="str">
        <f t="shared" si="7"/>
        <v>0.075</v>
      </c>
      <c r="H89" s="15" t="str">
        <f t="shared" si="3"/>
        <v>&gt;7792.21X</v>
      </c>
      <c r="I89" s="14" t="str">
        <f t="shared" si="6"/>
        <v>5.11X</v>
      </c>
      <c r="J89" s="14" t="str">
        <f t="shared" si="4"/>
        <v>0.98X*</v>
      </c>
      <c r="K89" s="15" t="str">
        <f t="shared" si="5"/>
        <v>&amp;1MB&amp;2&amp;0.077&amp;TO&amp;0.392&amp;0.075&amp;&gt;7792.21X&amp;5.11X&amp;0.98X*\\</v>
      </c>
    </row>
    <row r="90" spans="1:11" x14ac:dyDescent="0.2">
      <c r="A90" s="13"/>
      <c r="B90" t="str">
        <f t="shared" si="1"/>
        <v>10MB</v>
      </c>
      <c r="C90" s="6">
        <f t="shared" si="2"/>
        <v>2</v>
      </c>
      <c r="D90" s="14" t="str">
        <f t="shared" si="7"/>
        <v>TO</v>
      </c>
      <c r="E90" s="14" t="str">
        <f t="shared" si="7"/>
        <v>0.744</v>
      </c>
      <c r="F90" s="14" t="str">
        <f t="shared" si="7"/>
        <v>0.432</v>
      </c>
      <c r="G90" s="14" t="str">
        <f t="shared" si="7"/>
        <v>0.383</v>
      </c>
      <c r="H90" s="15" t="str">
        <f t="shared" si="3"/>
        <v>&gt;1388.89X</v>
      </c>
      <c r="I90" s="14" t="str">
        <f t="shared" si="6"/>
        <v>1.72X</v>
      </c>
      <c r="J90" s="14" t="str">
        <f t="shared" si="4"/>
        <v>0.89X*</v>
      </c>
      <c r="K90" s="15" t="str">
        <f t="shared" si="5"/>
        <v>&amp;10MB&amp;2&amp;0.432&amp;TO&amp;0.744&amp;0.383&amp;&gt;1388.89X&amp;1.72X&amp;0.89X*\\</v>
      </c>
    </row>
    <row r="91" spans="1:11" x14ac:dyDescent="0.2">
      <c r="A91" s="13" t="s">
        <v>50</v>
      </c>
      <c r="B91" t="str">
        <f t="shared" si="1"/>
        <v>0.01MB</v>
      </c>
      <c r="C91" s="6">
        <f t="shared" si="2"/>
        <v>5</v>
      </c>
      <c r="D91" s="14" t="str">
        <f t="shared" si="7"/>
        <v>0.004</v>
      </c>
      <c r="E91" s="14" t="str">
        <f t="shared" si="7"/>
        <v>0.099</v>
      </c>
      <c r="F91" s="14" t="str">
        <f t="shared" si="7"/>
        <v>0.012</v>
      </c>
      <c r="G91" s="14" t="str">
        <f t="shared" si="7"/>
        <v>0.010</v>
      </c>
      <c r="H91" s="15" t="str">
        <f t="shared" si="3"/>
        <v>0.32X*</v>
      </c>
      <c r="I91" s="14" t="str">
        <f t="shared" si="6"/>
        <v>8.40X</v>
      </c>
      <c r="J91" s="14" t="str">
        <f t="shared" si="4"/>
        <v>0.83X*</v>
      </c>
      <c r="K91" s="15" t="str">
        <f t="shared" si="5"/>
        <v>&amp;0.01MB&amp;5&amp;0.012&amp;0.004&amp;0.099&amp;0.010&amp;0.32X*&amp;8.40X&amp;0.83X*\\</v>
      </c>
    </row>
    <row r="92" spans="1:11" x14ac:dyDescent="0.2">
      <c r="A92" s="13"/>
      <c r="B92" t="str">
        <f t="shared" si="1"/>
        <v>2MB</v>
      </c>
      <c r="C92" s="6">
        <f t="shared" si="2"/>
        <v>5</v>
      </c>
      <c r="D92" s="14" t="str">
        <f t="shared" si="7"/>
        <v>TO</v>
      </c>
      <c r="E92" s="14" t="str">
        <f t="shared" si="7"/>
        <v>0.954</v>
      </c>
      <c r="F92" s="14" t="str">
        <f t="shared" si="7"/>
        <v>0.093</v>
      </c>
      <c r="G92" s="14" t="str">
        <f t="shared" si="7"/>
        <v>0.089</v>
      </c>
      <c r="H92" s="15" t="str">
        <f t="shared" si="3"/>
        <v>&gt;6451.61X</v>
      </c>
      <c r="I92" s="14" t="str">
        <f t="shared" si="6"/>
        <v>10.23X</v>
      </c>
      <c r="J92" s="14" t="str">
        <f t="shared" si="4"/>
        <v>0.95X*</v>
      </c>
      <c r="K92" s="15" t="str">
        <f t="shared" si="5"/>
        <v>&amp;2MB&amp;5&amp;0.093&amp;TO&amp;0.954&amp;0.089&amp;&gt;6451.61X&amp;10.23X&amp;0.95X*\\</v>
      </c>
    </row>
    <row r="93" spans="1:11" x14ac:dyDescent="0.2">
      <c r="A93" s="13"/>
      <c r="B93" t="str">
        <f t="shared" si="1"/>
        <v>20MB</v>
      </c>
      <c r="C93" s="6">
        <f t="shared" si="2"/>
        <v>7</v>
      </c>
      <c r="D93" s="14" t="str">
        <f t="shared" si="7"/>
        <v>TO</v>
      </c>
      <c r="E93" s="14" t="str">
        <f t="shared" si="7"/>
        <v>4.796</v>
      </c>
      <c r="F93" s="14" t="str">
        <f t="shared" si="7"/>
        <v>0.858</v>
      </c>
      <c r="G93" s="14" t="str">
        <f t="shared" si="7"/>
        <v>0.873</v>
      </c>
      <c r="H93" s="15" t="str">
        <f t="shared" si="3"/>
        <v>&gt;699.30X</v>
      </c>
      <c r="I93" s="14" t="str">
        <f t="shared" si="6"/>
        <v>5.59X</v>
      </c>
      <c r="J93" s="14" t="str">
        <f t="shared" si="4"/>
        <v>1.02X*</v>
      </c>
      <c r="K93" s="15" t="str">
        <f t="shared" si="5"/>
        <v>&amp;20MB&amp;7&amp;0.858&amp;TO&amp;4.796&amp;0.873&amp;&gt;699.30X&amp;5.59X&amp;1.02X*\\</v>
      </c>
    </row>
    <row r="94" spans="1:11" x14ac:dyDescent="0.2">
      <c r="A94" s="13" t="s">
        <v>52</v>
      </c>
      <c r="B94" s="11" t="str">
        <f t="shared" si="1"/>
        <v>0.02MB</v>
      </c>
      <c r="C94" s="6">
        <f t="shared" si="2"/>
        <v>3</v>
      </c>
      <c r="D94" s="14" t="str">
        <f t="shared" si="7"/>
        <v>0.003</v>
      </c>
      <c r="E94" s="14" t="str">
        <f t="shared" si="7"/>
        <v>0.085</v>
      </c>
      <c r="F94" s="14" t="str">
        <f t="shared" si="7"/>
        <v>0.016</v>
      </c>
      <c r="G94" s="14" t="str">
        <f t="shared" si="7"/>
        <v>0.012</v>
      </c>
      <c r="H94" s="15" t="str">
        <f t="shared" si="3"/>
        <v>0.16X</v>
      </c>
      <c r="I94" s="14" t="str">
        <f t="shared" si="6"/>
        <v>5.26X</v>
      </c>
      <c r="J94" s="14" t="str">
        <f t="shared" si="4"/>
        <v>0.77X*</v>
      </c>
      <c r="K94" s="15" t="str">
        <f t="shared" si="5"/>
        <v>&amp;0.02MB&amp;3&amp;0.016&amp;0.003&amp;0.085&amp;0.012&amp;0.16X&amp;5.26X&amp;0.77X*\\</v>
      </c>
    </row>
    <row r="95" spans="1:11" x14ac:dyDescent="0.2">
      <c r="A95" s="13"/>
      <c r="B95" s="11" t="str">
        <f t="shared" si="1"/>
        <v>0.05MB</v>
      </c>
      <c r="C95" s="6">
        <f t="shared" si="2"/>
        <v>16</v>
      </c>
      <c r="D95" s="14" t="str">
        <f t="shared" si="7"/>
        <v>TO</v>
      </c>
      <c r="E95" s="14" t="str">
        <f t="shared" si="7"/>
        <v>0.841</v>
      </c>
      <c r="F95" s="14" t="str">
        <f t="shared" si="7"/>
        <v>0.052</v>
      </c>
      <c r="G95" s="14" t="str">
        <f t="shared" si="7"/>
        <v>0.048</v>
      </c>
      <c r="H95" s="15" t="str">
        <f t="shared" si="3"/>
        <v>&gt;11538.46X</v>
      </c>
      <c r="I95" s="14" t="str">
        <f t="shared" si="6"/>
        <v>16.13X</v>
      </c>
      <c r="J95" s="14" t="str">
        <f t="shared" si="4"/>
        <v>0.91X*</v>
      </c>
      <c r="K95" s="15" t="str">
        <f t="shared" si="5"/>
        <v>&amp;0.05MB&amp;16&amp;0.052&amp;TO&amp;0.841&amp;0.048&amp;&gt;11538.46X&amp;16.13X&amp;0.91X*\\</v>
      </c>
    </row>
    <row r="96" spans="1:11" x14ac:dyDescent="0.2">
      <c r="A96" s="13"/>
      <c r="B96" s="11" t="str">
        <f t="shared" si="1"/>
        <v>0.1MB</v>
      </c>
      <c r="C96" s="6" t="str">
        <f>IF(ISBLANK(D42), "-", D42)</f>
        <v>-</v>
      </c>
      <c r="D96" s="14" t="str">
        <f t="shared" si="7"/>
        <v>TO</v>
      </c>
      <c r="E96" s="14" t="str">
        <f t="shared" si="7"/>
        <v>TO</v>
      </c>
      <c r="F96" s="14" t="str">
        <f t="shared" si="7"/>
        <v>2.516</v>
      </c>
      <c r="G96" s="14" t="str">
        <f t="shared" si="7"/>
        <v>2.451</v>
      </c>
      <c r="H96" s="15" t="str">
        <f t="shared" si="3"/>
        <v>&gt;238.47X</v>
      </c>
      <c r="I96" s="14" t="str">
        <f t="shared" si="6"/>
        <v>&gt;238.47X</v>
      </c>
      <c r="J96" s="14" t="str">
        <f t="shared" si="4"/>
        <v>0.97X*</v>
      </c>
      <c r="K96" s="15" t="str">
        <f t="shared" si="5"/>
        <v>&amp;0.1MB&amp;-&amp;2.516&amp;TO&amp;TO&amp;2.451&amp;&gt;238.47X&amp;&gt;238.47X&amp;0.97X*\\</v>
      </c>
    </row>
    <row r="97" spans="1:11" x14ac:dyDescent="0.2">
      <c r="A97" s="13" t="s">
        <v>54</v>
      </c>
      <c r="B97" s="8" t="str">
        <f t="shared" si="1"/>
        <v>0.01MB</v>
      </c>
      <c r="C97" s="6">
        <f t="shared" si="2"/>
        <v>5</v>
      </c>
      <c r="D97" s="14" t="str">
        <f t="shared" si="7"/>
        <v>0.003</v>
      </c>
      <c r="E97" s="14" t="str">
        <f t="shared" si="7"/>
        <v>0.068</v>
      </c>
      <c r="F97" s="14" t="str">
        <f t="shared" si="7"/>
        <v>0.009</v>
      </c>
      <c r="G97" s="14" t="str">
        <f t="shared" si="7"/>
        <v>0.009</v>
      </c>
      <c r="H97" s="15" t="str">
        <f t="shared" si="3"/>
        <v>0.29X*</v>
      </c>
      <c r="I97" s="14" t="str">
        <f t="shared" si="6"/>
        <v>8.01X</v>
      </c>
      <c r="J97" s="14" t="str">
        <f t="shared" si="4"/>
        <v>1.01X*</v>
      </c>
      <c r="K97" s="15" t="str">
        <f t="shared" si="5"/>
        <v>&amp;0.01MB&amp;5&amp;0.009&amp;0.003&amp;0.068&amp;0.009&amp;0.29X*&amp;8.01X&amp;1.01X*\\</v>
      </c>
    </row>
    <row r="98" spans="1:11" x14ac:dyDescent="0.2">
      <c r="A98" s="13"/>
      <c r="B98" s="8" t="str">
        <f t="shared" si="1"/>
        <v>10MB</v>
      </c>
      <c r="C98" s="6">
        <f t="shared" si="2"/>
        <v>9</v>
      </c>
      <c r="D98" s="14" t="str">
        <f t="shared" si="7"/>
        <v>0.578</v>
      </c>
      <c r="E98" s="14" t="str">
        <f t="shared" si="7"/>
        <v>0.152</v>
      </c>
      <c r="F98" s="14" t="str">
        <f t="shared" si="7"/>
        <v>0.026</v>
      </c>
      <c r="G98" s="14" t="str">
        <f t="shared" si="7"/>
        <v>0.026</v>
      </c>
      <c r="H98" s="15" t="str">
        <f t="shared" si="3"/>
        <v>21.84X</v>
      </c>
      <c r="I98" s="14" t="str">
        <f t="shared" si="6"/>
        <v>5.75X</v>
      </c>
      <c r="J98" s="14" t="str">
        <f t="shared" si="4"/>
        <v>0.97X*</v>
      </c>
      <c r="K98" s="15" t="str">
        <f t="shared" si="5"/>
        <v>&amp;10MB&amp;9&amp;0.026&amp;0.578&amp;0.152&amp;0.026&amp;21.84X&amp;5.75X&amp;0.97X*\\</v>
      </c>
    </row>
    <row r="99" spans="1:11" x14ac:dyDescent="0.2">
      <c r="A99" s="13"/>
      <c r="B99" s="8" t="str">
        <f t="shared" si="1"/>
        <v>25MB</v>
      </c>
      <c r="C99" s="6">
        <f t="shared" si="2"/>
        <v>42</v>
      </c>
      <c r="D99" s="14" t="str">
        <f t="shared" si="7"/>
        <v>233.752</v>
      </c>
      <c r="E99" s="14" t="str">
        <f t="shared" si="7"/>
        <v>1.773</v>
      </c>
      <c r="F99" s="14" t="str">
        <f t="shared" si="7"/>
        <v>0.163</v>
      </c>
      <c r="G99" s="14" t="str">
        <f t="shared" si="7"/>
        <v>0.167</v>
      </c>
      <c r="H99" s="15" t="str">
        <f t="shared" si="3"/>
        <v>1435.36X</v>
      </c>
      <c r="I99" s="14" t="str">
        <f t="shared" si="6"/>
        <v>10.89X</v>
      </c>
      <c r="J99" s="14" t="str">
        <f t="shared" si="4"/>
        <v>1.02X*</v>
      </c>
      <c r="K99" s="15" t="str">
        <f t="shared" si="5"/>
        <v>&amp;25MB&amp;42&amp;0.163&amp;233.752&amp;1.773&amp;0.167&amp;1435.36X&amp;10.89X&amp;1.02X*\\</v>
      </c>
    </row>
    <row r="100" spans="1:11" x14ac:dyDescent="0.2">
      <c r="A100" s="13" t="s">
        <v>55</v>
      </c>
      <c r="B100" s="8" t="str">
        <f t="shared" si="1"/>
        <v>0.01MB</v>
      </c>
      <c r="C100" s="6">
        <f t="shared" si="2"/>
        <v>2</v>
      </c>
      <c r="D100" s="14" t="str">
        <f t="shared" si="7"/>
        <v>0.001</v>
      </c>
      <c r="E100" s="14" t="str">
        <f t="shared" si="7"/>
        <v>0.031</v>
      </c>
      <c r="F100" s="14" t="str">
        <f t="shared" si="7"/>
        <v>0.007</v>
      </c>
      <c r="G100" s="14" t="str">
        <f t="shared" si="7"/>
        <v>0.005</v>
      </c>
      <c r="H100" s="15" t="str">
        <f t="shared" si="3"/>
        <v>0.21X</v>
      </c>
      <c r="I100" s="14" t="str">
        <f t="shared" si="6"/>
        <v>4.48X</v>
      </c>
      <c r="J100" s="14" t="str">
        <f t="shared" si="4"/>
        <v>0.73X*</v>
      </c>
      <c r="K100" s="15" t="str">
        <f t="shared" si="5"/>
        <v>&amp;0.01MB&amp;2&amp;0.007&amp;0.001&amp;0.031&amp;0.005&amp;0.21X&amp;4.48X&amp;0.73X*\\</v>
      </c>
    </row>
    <row r="101" spans="1:11" x14ac:dyDescent="0.2">
      <c r="A101" s="13"/>
      <c r="B101" s="8" t="str">
        <f t="shared" si="1"/>
        <v>5MB</v>
      </c>
      <c r="C101" s="6">
        <f t="shared" si="2"/>
        <v>5</v>
      </c>
      <c r="D101" s="14" t="str">
        <f t="shared" si="7"/>
        <v>0.333</v>
      </c>
      <c r="E101" s="14" t="str">
        <f t="shared" si="7"/>
        <v>0.079</v>
      </c>
      <c r="F101" s="14" t="str">
        <f t="shared" si="7"/>
        <v>0.021</v>
      </c>
      <c r="G101" s="14" t="str">
        <f t="shared" si="7"/>
        <v>0.017</v>
      </c>
      <c r="H101" s="15" t="str">
        <f t="shared" si="3"/>
        <v>15.90X</v>
      </c>
      <c r="I101" s="14" t="str">
        <f t="shared" si="6"/>
        <v>3.79X</v>
      </c>
      <c r="J101" s="14" t="str">
        <f t="shared" si="4"/>
        <v>0.83X*</v>
      </c>
      <c r="K101" s="15" t="str">
        <f t="shared" si="5"/>
        <v>&amp;5MB&amp;5&amp;0.021&amp;0.333&amp;0.079&amp;0.017&amp;15.90X&amp;3.79X&amp;0.83X*\\</v>
      </c>
    </row>
    <row r="102" spans="1:11" x14ac:dyDescent="0.2">
      <c r="A102" s="13"/>
      <c r="B102" s="8" t="str">
        <f t="shared" si="1"/>
        <v>10MB</v>
      </c>
      <c r="C102" s="6">
        <f t="shared" si="2"/>
        <v>10</v>
      </c>
      <c r="D102" s="14" t="str">
        <f t="shared" si="7"/>
        <v>6.634</v>
      </c>
      <c r="E102" s="14" t="str">
        <f t="shared" si="7"/>
        <v>0.250</v>
      </c>
      <c r="F102" s="14" t="str">
        <f t="shared" si="7"/>
        <v>0.064</v>
      </c>
      <c r="G102" s="14" t="str">
        <f t="shared" si="7"/>
        <v>0.062</v>
      </c>
      <c r="H102" s="15" t="str">
        <f t="shared" si="3"/>
        <v>103.29X</v>
      </c>
      <c r="I102" s="14" t="str">
        <f t="shared" si="6"/>
        <v>3.90X</v>
      </c>
      <c r="J102" s="14" t="str">
        <f t="shared" si="4"/>
        <v>0.97X*</v>
      </c>
      <c r="K102" s="15" t="str">
        <f t="shared" si="5"/>
        <v>&amp;10MB&amp;10&amp;0.064&amp;6.634&amp;0.250&amp;0.062&amp;103.29X&amp;3.90X&amp;0.97X*\\</v>
      </c>
    </row>
    <row r="103" spans="1:11" x14ac:dyDescent="0.2">
      <c r="A103" s="13" t="s">
        <v>56</v>
      </c>
      <c r="B103" t="str">
        <f t="shared" si="1"/>
        <v>0.01MB</v>
      </c>
      <c r="C103" s="6">
        <f t="shared" si="2"/>
        <v>7</v>
      </c>
      <c r="D103" s="14" t="str">
        <f t="shared" si="7"/>
        <v>0.003</v>
      </c>
      <c r="E103" s="14" t="str">
        <f t="shared" si="7"/>
        <v>0.160</v>
      </c>
      <c r="F103" s="14" t="str">
        <f t="shared" si="7"/>
        <v>0.011</v>
      </c>
      <c r="G103" s="14" t="str">
        <f t="shared" si="7"/>
        <v>0.008</v>
      </c>
      <c r="H103" s="15" t="str">
        <f t="shared" si="3"/>
        <v>0.25X</v>
      </c>
      <c r="I103" s="14" t="str">
        <f t="shared" si="6"/>
        <v>14.00X</v>
      </c>
      <c r="J103" s="14" t="str">
        <f t="shared" si="4"/>
        <v>0.72X*</v>
      </c>
      <c r="K103" s="15" t="str">
        <f t="shared" si="5"/>
        <v>&amp;0.01MB&amp;7&amp;0.011&amp;0.003&amp;0.160&amp;0.008&amp;0.25X&amp;14.00X&amp;0.72X*\\</v>
      </c>
    </row>
    <row r="104" spans="1:11" x14ac:dyDescent="0.2">
      <c r="A104" s="13"/>
      <c r="B104" t="str">
        <f t="shared" si="1"/>
        <v>1MB</v>
      </c>
      <c r="C104" s="6">
        <f t="shared" si="2"/>
        <v>7</v>
      </c>
      <c r="D104" s="14" t="str">
        <f t="shared" si="7"/>
        <v>TO</v>
      </c>
      <c r="E104" s="14" t="str">
        <f t="shared" si="7"/>
        <v>2.611</v>
      </c>
      <c r="F104" s="14" t="str">
        <f t="shared" si="7"/>
        <v>0.124</v>
      </c>
      <c r="G104" s="14" t="str">
        <f t="shared" si="7"/>
        <v>0.124</v>
      </c>
      <c r="H104" s="15" t="str">
        <f t="shared" si="3"/>
        <v>&gt;4838.71X</v>
      </c>
      <c r="I104" s="14" t="str">
        <f t="shared" si="6"/>
        <v>21.03X</v>
      </c>
      <c r="J104" s="14" t="str">
        <f t="shared" si="4"/>
        <v>1.00X*</v>
      </c>
      <c r="K104" s="15" t="str">
        <f t="shared" si="5"/>
        <v>&amp;1MB&amp;7&amp;0.124&amp;TO&amp;2.611&amp;0.124&amp;&gt;4838.71X&amp;21.03X&amp;1.00X*\\</v>
      </c>
    </row>
    <row r="105" spans="1:11" x14ac:dyDescent="0.2">
      <c r="A105" s="13"/>
      <c r="B105" t="str">
        <f t="shared" si="1"/>
        <v>15MB</v>
      </c>
      <c r="C105" s="6" t="str">
        <f t="shared" si="2"/>
        <v>-</v>
      </c>
      <c r="D105" s="14" t="str">
        <f t="shared" si="7"/>
        <v>TO</v>
      </c>
      <c r="E105" s="14" t="str">
        <f t="shared" si="7"/>
        <v>9.976</v>
      </c>
      <c r="F105" s="14" t="str">
        <f t="shared" si="7"/>
        <v>1.324</v>
      </c>
      <c r="G105" s="14" t="str">
        <f t="shared" si="7"/>
        <v>1.356</v>
      </c>
      <c r="H105" s="15" t="str">
        <f t="shared" si="3"/>
        <v>&gt;453.17X</v>
      </c>
      <c r="I105" s="14" t="str">
        <f t="shared" si="6"/>
        <v>7.54X</v>
      </c>
      <c r="J105" s="14" t="str">
        <f t="shared" si="4"/>
        <v>1.02X*</v>
      </c>
      <c r="K105" s="15" t="str">
        <f t="shared" si="5"/>
        <v>&amp;15MB&amp;-&amp;1.324&amp;TO&amp;9.976&amp;1.356&amp;&gt;453.17X&amp;7.54X&amp;1.02X*\\</v>
      </c>
    </row>
    <row r="106" spans="1:11" x14ac:dyDescent="0.2">
      <c r="G106" s="15"/>
      <c r="H106" s="14"/>
    </row>
    <row r="107" spans="1:11" x14ac:dyDescent="0.2">
      <c r="G107" s="15"/>
    </row>
    <row r="108" spans="1:11" x14ac:dyDescent="0.2">
      <c r="F108" t="s">
        <v>85</v>
      </c>
      <c r="G108" s="15" cm="1">
        <f t="array" ref="G108">MAX(IF((ISNUMBER(VALUE(SUBSTITUTE(I58:I105, "X", "")))) * (LEFT(I58:I105, 1) &lt;&gt; "&gt;"), VALUE(SUBSTITUTE(I58:I105, "X", ""))))</f>
        <v>23.56</v>
      </c>
      <c r="H108" cm="1">
        <f t="array" ref="H108">MAX(IF((ISNUMBER(VALUE(SUBSTITUTE(I58:I105, "X", "")))) * (LEFT(I58:I105, 1) &lt;&gt; "&gt;"), VALUE(SUBSTITUTE(I58:I105, "X", ""))))</f>
        <v>23.56</v>
      </c>
    </row>
    <row r="109" spans="1:11" x14ac:dyDescent="0.2">
      <c r="F109" t="s">
        <v>86</v>
      </c>
      <c r="G109" s="15" cm="1">
        <f t="array" ref="G109">MAX(IF(LEFT(I58:I105, 1) = "&gt;", VALUE(SUBSTITUTE(MID(I58:I105, 2, LEN(I58:I105) - 2), "X", "")), ""))</f>
        <v>1176.47</v>
      </c>
      <c r="H109" cm="1">
        <f t="array" ref="H109">MAX(IF(LEFT(I58:I105, 1) = "&gt;", VALUE(SUBSTITUTE(MID(I58:I105, 2, LEN(I58:I105) - 2), "X", "")), ""))</f>
        <v>1176.47</v>
      </c>
    </row>
    <row r="110" spans="1:11" x14ac:dyDescent="0.2">
      <c r="G110" s="15" t="s">
        <v>88</v>
      </c>
      <c r="H110" t="s">
        <v>87</v>
      </c>
    </row>
  </sheetData>
  <autoFilter ref="A3:J52" xr:uid="{7E6EC50F-C2C7-514A-A362-F65090577DB5}">
    <filterColumn colId="0">
      <filters>
        <filter val="L"/>
        <filter val="M"/>
      </filters>
    </filterColumn>
  </autoFilter>
  <conditionalFormatting sqref="L4:N51">
    <cfRule type="cellIs" dxfId="7" priority="1" operator="equal">
      <formula>FALSE</formula>
    </cfRule>
  </conditionalFormatting>
  <conditionalFormatting sqref="AA4:AC19">
    <cfRule type="cellIs" dxfId="6" priority="4" operator="equal">
      <formula>FALSE</formula>
    </cfRule>
  </conditionalFormatting>
  <conditionalFormatting sqref="AA24:AC39">
    <cfRule type="cellIs" dxfId="5" priority="3" operator="equal">
      <formula>FALSE</formula>
    </cfRule>
  </conditionalFormatting>
  <conditionalFormatting sqref="AA44:AC59">
    <cfRule type="cellIs" dxfId="4" priority="2" operator="equal">
      <formula>FALSE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B4FC-6C45-1B4B-BE39-C9626D04C9B9}">
  <dimension ref="A1:AL110"/>
  <sheetViews>
    <sheetView zoomScale="89" zoomScaleNormal="160" workbookViewId="0">
      <pane xSplit="1" topLeftCell="W1" activePane="topRight" state="frozen"/>
      <selection activeCell="X3" sqref="X3:X15"/>
      <selection pane="topRight" activeCell="X12" sqref="X12"/>
    </sheetView>
  </sheetViews>
  <sheetFormatPr baseColWidth="10" defaultRowHeight="16" x14ac:dyDescent="0.2"/>
  <cols>
    <col min="4" max="4" width="10.83203125" style="6"/>
    <col min="5" max="5" width="16.5" customWidth="1"/>
    <col min="6" max="6" width="20" customWidth="1"/>
    <col min="7" max="7" width="23.1640625" customWidth="1"/>
    <col min="8" max="8" width="35.33203125" customWidth="1"/>
    <col min="9" max="10" width="49.83203125" bestFit="1" customWidth="1"/>
    <col min="11" max="11" width="50" bestFit="1" customWidth="1"/>
    <col min="12" max="12" width="20.33203125" customWidth="1"/>
    <col min="13" max="13" width="26" customWidth="1"/>
    <col min="22" max="22" width="24" customWidth="1"/>
    <col min="23" max="23" width="23.1640625" customWidth="1"/>
    <col min="24" max="24" width="28.5" customWidth="1"/>
    <col min="27" max="27" width="22.1640625" customWidth="1"/>
    <col min="28" max="28" width="20.1640625" customWidth="1"/>
    <col min="29" max="29" width="22.1640625" customWidth="1"/>
  </cols>
  <sheetData>
    <row r="1" spans="1:38" x14ac:dyDescent="0.2">
      <c r="A1" t="s">
        <v>60</v>
      </c>
      <c r="B1">
        <v>600</v>
      </c>
      <c r="C1" t="s">
        <v>61</v>
      </c>
      <c r="D1" s="6" t="s">
        <v>62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107</v>
      </c>
      <c r="V1" s="6" t="s">
        <v>17</v>
      </c>
      <c r="W1" s="6" t="s">
        <v>18</v>
      </c>
      <c r="X1" s="6" t="s">
        <v>115</v>
      </c>
      <c r="Y1" s="6" t="s">
        <v>63</v>
      </c>
      <c r="AA1" s="6" t="s">
        <v>17</v>
      </c>
      <c r="AB1" s="6" t="s">
        <v>18</v>
      </c>
      <c r="AC1" s="6" t="s">
        <v>115</v>
      </c>
    </row>
    <row r="3" spans="1:38" x14ac:dyDescent="0.2">
      <c r="B3" s="6" t="s">
        <v>12</v>
      </c>
      <c r="C3" s="6" t="s">
        <v>64</v>
      </c>
      <c r="D3" s="6" t="s">
        <v>63</v>
      </c>
      <c r="E3" s="6" t="s">
        <v>16</v>
      </c>
      <c r="F3" s="6" t="s">
        <v>15</v>
      </c>
      <c r="G3" s="6" t="s">
        <v>14</v>
      </c>
      <c r="H3" s="6" t="s">
        <v>107</v>
      </c>
      <c r="I3" s="6" t="s">
        <v>17</v>
      </c>
      <c r="J3" s="6" t="s">
        <v>18</v>
      </c>
      <c r="K3" s="6" t="s">
        <v>115</v>
      </c>
      <c r="L3" s="6" t="s">
        <v>112</v>
      </c>
      <c r="M3" s="6" t="s">
        <v>113</v>
      </c>
      <c r="N3" s="6" t="s">
        <v>122</v>
      </c>
      <c r="P3" t="s">
        <v>27</v>
      </c>
    </row>
    <row r="4" spans="1:38" x14ac:dyDescent="0.2">
      <c r="A4" t="s">
        <v>65</v>
      </c>
      <c r="B4" s="3" t="s">
        <v>25</v>
      </c>
      <c r="C4" s="8" t="s">
        <v>66</v>
      </c>
      <c r="D4" s="6" cm="1">
        <f t="array" ref="D4">IF(ISBLANK(INDEX($P$2:$Y$60, MATCH(1, ($P$2:$P$60=$A4) * ($Q$2:$Q$60=$B4), 0), MATCH(D$3, $P$1:$Y$1, 0))), "", INDEX($P$2:$Y$60, MATCH(1, ($P$2:$P$60=$A4) * ($Q$2:$Q$60=$B4), 0), MATCH(D$3, $P$1:$Y$1, 0)))</f>
        <v>3</v>
      </c>
      <c r="E4" cm="1">
        <f t="array" ref="E4">INDEX($P$2:$X$60, MATCH(1, ($P$2:$P$60=$A4) * ($Q$2:$Q$60=$B4), 0), MATCH(E$3, $P$1:$X$1, 0))</f>
        <v>1.8779999999999999E-3</v>
      </c>
      <c r="F4" cm="1">
        <f t="array" ref="F4">INDEX($P$2:$X$60, MATCH(1, ($P$2:$P$60=$A4) * ($Q$2:$Q$60=$B4), 0), MATCH(F$3, $P$1:$X$1, 0))</f>
        <v>4.6814000000000001E-2</v>
      </c>
      <c r="G4" cm="1">
        <f t="array" ref="G4">INDEX($P$2:$X$60, MATCH(1, ($P$2:$P$60=$A4) * ($Q$2:$Q$60=$B4), 0), MATCH(G$3, $P$1:$X$1, 0))</f>
        <v>7.6540000000000002E-3</v>
      </c>
      <c r="H4" cm="1">
        <f t="array" ref="H4">INDEX($P$2:$X$60, MATCH(1, ($P$2:$P$60=$A4) * ($Q$2:$Q$60=$B4), 0), MATCH(H$3, $P$1:$X$1, 0))</f>
        <v>5.3489999999999996E-3</v>
      </c>
      <c r="I4" cm="1">
        <f t="array" ref="I4">INDEX($P$2:$X$60, MATCH(1, ($P$2:$P$60=$A4) * ($Q$2:$Q$60=$B4), 0), MATCH(I$3, $P$1:$X$1, 0))</f>
        <v>8.7519162460272959</v>
      </c>
      <c r="J4" cm="1">
        <f t="array" ref="J4">INDEX($P$2:$X$60, MATCH(1, ($P$2:$P$60=$A4) * ($Q$2:$Q$60=$B4), 0), MATCH(J$3, $P$1:$X$1, 0))</f>
        <v>0.35109366236679757</v>
      </c>
      <c r="K4" cm="1">
        <f t="array" ref="K4">INDEX($P$2:$X$60, MATCH(1, ($P$2:$P$60=$A4) * ($Q$2:$Q$60=$B4), 0), MATCH(K$3, $P$1:$X$1, 0))</f>
        <v>1.4309216676014209</v>
      </c>
      <c r="L4" t="b" cm="1">
        <f t="array" ref="L4">INDEX($AA$2:$AC$60, MATCH(1, ($P$2:$P$60=$A4) * ($Q$2:$Q$60=$B4), 0), MATCH(I$3, $AA$1:$AC$1, 0))</f>
        <v>1</v>
      </c>
      <c r="M4" t="b" cm="1">
        <f t="array" ref="M4">INDEX($AA$2:$AC$60, MATCH(1, ($P$2:$P$60=$A4) * ($Q$2:$Q$60=$B4), 0), MATCH(J$3, $AA$1:$AC$1, 0))</f>
        <v>1</v>
      </c>
      <c r="N4" t="b" cm="1">
        <f t="array" ref="N4">INDEX($AA$2:$AC$60, MATCH(1, ($P$2:$P$60=$A4) * ($Q$2:$Q$60=$B4), 0), MATCH(K$3, $AA$1:$AC$1, 0))</f>
        <v>0</v>
      </c>
      <c r="P4" s="6" t="s">
        <v>65</v>
      </c>
      <c r="Q4" s="6" t="s">
        <v>25</v>
      </c>
      <c r="R4">
        <f>small!M3</f>
        <v>7.6540000000000002E-3</v>
      </c>
      <c r="S4">
        <f>small!N3</f>
        <v>4.6814000000000001E-2</v>
      </c>
      <c r="T4">
        <f>small!O3</f>
        <v>1.8779999999999999E-3</v>
      </c>
      <c r="U4">
        <f>small!P3</f>
        <v>5.3489999999999996E-3</v>
      </c>
      <c r="V4">
        <f>small!U3</f>
        <v>8.7519162460272959</v>
      </c>
      <c r="W4">
        <f>small!V3</f>
        <v>0.35109366236679757</v>
      </c>
      <c r="X4">
        <f>small!W3</f>
        <v>1.4309216676014209</v>
      </c>
      <c r="Y4">
        <v>3</v>
      </c>
      <c r="AA4" t="b">
        <f>small!X26</f>
        <v>1</v>
      </c>
      <c r="AB4" t="b">
        <f>small!Y26</f>
        <v>1</v>
      </c>
      <c r="AC4" t="b">
        <f>small!Z26</f>
        <v>0</v>
      </c>
      <c r="AJ4" s="10" t="s">
        <v>19</v>
      </c>
      <c r="AK4" s="10" t="s">
        <v>20</v>
      </c>
    </row>
    <row r="5" spans="1:38" x14ac:dyDescent="0.2">
      <c r="A5" t="s">
        <v>67</v>
      </c>
      <c r="B5" s="3" t="s">
        <v>25</v>
      </c>
      <c r="C5" s="8" t="s">
        <v>68</v>
      </c>
      <c r="D5" s="6" cm="1">
        <f t="array" ref="D5">IF(ISBLANK(INDEX($P$2:$Y$60, MATCH(1, ($P$2:$P$60=$A5) * ($Q$2:$Q$60=$B5), 0), MATCH(D$3, $P$1:$Y$1, 0))), "-", INDEX($P$2:$Y$60, MATCH(1, ($P$2:$P$60=$A5) * ($Q$2:$Q$60=$B5), 0), MATCH(D$3, $P$1:$Y$1, 0)))</f>
        <v>15</v>
      </c>
      <c r="E5" cm="1">
        <f t="array" ref="E5">INDEX($P$2:$X$60, MATCH(1, ($P$2:$P$60=$A5) * ($Q$2:$Q$60=$B5), 0), MATCH(E$3, $P$1:$X$1, 0))</f>
        <v>3.7118329999999999</v>
      </c>
      <c r="F5" cm="1">
        <f t="array" ref="F5">INDEX($P$2:$X$60, MATCH(1, ($P$2:$P$60=$A5) * ($Q$2:$Q$60=$B5), 0), MATCH(F$3, $P$1:$X$1, 0))</f>
        <v>0.42259600000000003</v>
      </c>
      <c r="G5" cm="1">
        <f t="array" ref="G5">INDEX($P$2:$X$60, MATCH(1, ($P$2:$P$60=$A5) * ($Q$2:$Q$60=$B5), 0), MATCH(G$3, $P$1:$X$1, 0))</f>
        <v>0.20930399999999999</v>
      </c>
      <c r="H5" cm="1">
        <f t="array" ref="H5">INDEX($P$2:$X$60, MATCH(1, ($P$2:$P$60=$A5) * ($Q$2:$Q$60=$B5), 0), MATCH(H$3, $P$1:$X$1, 0))</f>
        <v>0.213615</v>
      </c>
      <c r="I5" cm="1">
        <f t="array" ref="I5">INDEX($P$2:$X$60, MATCH(1, ($P$2:$P$60=$A5) * ($Q$2:$Q$60=$B5), 0), MATCH(I$3, $P$1:$X$1, 0))</f>
        <v>1.9783067668468977</v>
      </c>
      <c r="J5" cm="1">
        <f t="array" ref="J5">INDEX($P$2:$X$60, MATCH(1, ($P$2:$P$60=$A5) * ($Q$2:$Q$60=$B5), 0), MATCH(J$3, $P$1:$X$1, 0))</f>
        <v>17.376275074315942</v>
      </c>
      <c r="K5" cm="1">
        <f t="array" ref="K5">INDEX($P$2:$X$60, MATCH(1, ($P$2:$P$60=$A5) * ($Q$2:$Q$60=$B5), 0), MATCH(K$3, $P$1:$X$1, 0))</f>
        <v>0.97981883294712446</v>
      </c>
      <c r="L5" t="b" cm="1">
        <f t="array" ref="L5">INDEX($AA$2:$AC$60, MATCH(1, ($P$2:$P$60=$A5) * ($Q$2:$Q$60=$B5), 0), MATCH(I$3, $AA$1:$AC$1, 0))</f>
        <v>1</v>
      </c>
      <c r="M5" t="b" cm="1">
        <f t="array" ref="M5">INDEX($AA$2:$AC$60, MATCH(1, ($P$2:$P$60=$A5) * ($Q$2:$Q$60=$B5), 0), MATCH(J$3, $AA$1:$AC$1, 0))</f>
        <v>1</v>
      </c>
      <c r="N5" t="b" cm="1">
        <f t="array" ref="N5">INDEX($AA$2:$AC$60, MATCH(1, ($P$2:$P$60=$A5) * ($Q$2:$Q$60=$B5), 0), MATCH(K$3, $AA$1:$AC$1, 0))</f>
        <v>0</v>
      </c>
      <c r="P5" s="6" t="s">
        <v>65</v>
      </c>
      <c r="Q5" s="6" t="s">
        <v>29</v>
      </c>
      <c r="R5">
        <f>small!M4</f>
        <v>1.3155E-2</v>
      </c>
      <c r="S5">
        <f>small!N4</f>
        <v>5.4882E-2</v>
      </c>
      <c r="T5">
        <f>small!O4</f>
        <v>1.4890000000000001E-3</v>
      </c>
      <c r="U5">
        <f>small!P4</f>
        <v>1.1920999999999999E-2</v>
      </c>
      <c r="V5">
        <f>small!U4</f>
        <v>4.6038084053351236</v>
      </c>
      <c r="W5">
        <f>small!V4</f>
        <v>0.12490562872242263</v>
      </c>
      <c r="X5">
        <f>small!W4</f>
        <v>1.1035148058048823</v>
      </c>
      <c r="Y5">
        <v>3</v>
      </c>
      <c r="AA5" t="b">
        <f>small!X27</f>
        <v>1</v>
      </c>
      <c r="AB5" t="b">
        <f>small!Y27</f>
        <v>1</v>
      </c>
      <c r="AC5" t="b">
        <f>small!Z27</f>
        <v>0</v>
      </c>
      <c r="AJ5" s="5" t="s">
        <v>24</v>
      </c>
      <c r="AK5">
        <v>3</v>
      </c>
      <c r="AL5">
        <v>3</v>
      </c>
    </row>
    <row r="6" spans="1:38" x14ac:dyDescent="0.2">
      <c r="A6" t="s">
        <v>69</v>
      </c>
      <c r="B6" s="3" t="s">
        <v>25</v>
      </c>
      <c r="C6" s="8" t="s">
        <v>70</v>
      </c>
      <c r="D6" s="6" cm="1">
        <f t="array" ref="D6">IF(ISBLANK(INDEX($P$2:$Y$60, MATCH(1, ($P$2:$P$60=$A6) * ($Q$2:$Q$60=$B6), 0), MATCH(D$3, $P$1:$Y$1, 0))), "-", INDEX($P$2:$Y$60, MATCH(1, ($P$2:$P$60=$A6) * ($Q$2:$Q$60=$B6), 0), MATCH(D$3, $P$1:$Y$1, 0)))</f>
        <v>189</v>
      </c>
      <c r="E6" t="e" cm="1">
        <f t="array" ref="E6">INDEX($P$2:$X$60, MATCH(1, ($P$2:$P$60=$A6) * ($Q$2:$Q$60=$B6), 0), MATCH(E$3, $P$1:$X$1, 0))</f>
        <v>#N/A</v>
      </c>
      <c r="F6" t="e" cm="1">
        <f t="array" ref="F6">INDEX($P$2:$X$60, MATCH(1, ($P$2:$P$60=$A6) * ($Q$2:$Q$60=$B6), 0), MATCH(F$3, $P$1:$X$1, 0))</f>
        <v>#N/A</v>
      </c>
      <c r="G6" cm="1">
        <f t="array" ref="G6">INDEX($P$2:$X$60, MATCH(1, ($P$2:$P$60=$A6) * ($Q$2:$Q$60=$B6), 0), MATCH(G$3, $P$1:$X$1, 0))</f>
        <v>39.469213000000003</v>
      </c>
      <c r="H6" cm="1">
        <f t="array" ref="H6">INDEX($P$2:$X$60, MATCH(1, ($P$2:$P$60=$A6) * ($Q$2:$Q$60=$B6), 0), MATCH(H$3, $P$1:$X$1, 0))</f>
        <v>39.521869000000002</v>
      </c>
      <c r="I6" t="str" cm="1">
        <f t="array" ref="I6">INDEX($P$2:$X$60, MATCH(1, ($P$2:$P$60=$A6) * ($Q$2:$Q$60=$B6), 0), MATCH(I$3, $P$1:$X$1, 0))</f>
        <v>DNF</v>
      </c>
      <c r="J6" t="str" cm="1">
        <f t="array" ref="J6">INDEX($P$2:$X$60, MATCH(1, ($P$2:$P$60=$A6) * ($Q$2:$Q$60=$B6), 0), MATCH(J$3, $P$1:$X$1, 0))</f>
        <v>DNF</v>
      </c>
      <c r="K6" cm="1">
        <f t="array" ref="K6">INDEX($P$2:$X$60, MATCH(1, ($P$2:$P$60=$A6) * ($Q$2:$Q$60=$B6), 0), MATCH(K$3, $P$1:$X$1, 0))</f>
        <v>0.99866767434505699</v>
      </c>
      <c r="L6" t="b" cm="1">
        <f t="array" ref="L6">INDEX($AA$2:$AC$60, MATCH(1, ($P$2:$P$60=$A6) * ($Q$2:$Q$60=$B6), 0), MATCH(I$3, $AA$1:$AC$1, 0))</f>
        <v>1</v>
      </c>
      <c r="M6" t="b" cm="1">
        <f t="array" ref="M6">INDEX($AA$2:$AC$60, MATCH(1, ($P$2:$P$60=$A6) * ($Q$2:$Q$60=$B6), 0), MATCH(J$3, $AA$1:$AC$1, 0))</f>
        <v>1</v>
      </c>
      <c r="N6" t="b" cm="1">
        <f t="array" ref="N6">INDEX($AA$2:$AC$60, MATCH(1, ($P$2:$P$60=$A6) * ($Q$2:$Q$60=$B6), 0), MATCH(K$3, $AA$1:$AC$1, 0))</f>
        <v>0</v>
      </c>
      <c r="P6" s="6" t="s">
        <v>65</v>
      </c>
      <c r="Q6" s="6" t="s">
        <v>33</v>
      </c>
      <c r="R6">
        <f>small!M5</f>
        <v>1.2475E-2</v>
      </c>
      <c r="S6">
        <f>small!N5</f>
        <v>4.3912E-2</v>
      </c>
      <c r="T6">
        <f>small!O5</f>
        <v>3.1059999999999998E-3</v>
      </c>
      <c r="U6">
        <f>small!P5</f>
        <v>1.1039E-2</v>
      </c>
      <c r="V6">
        <f>small!U5</f>
        <v>3.9778965486004165</v>
      </c>
      <c r="W6">
        <f>small!V5</f>
        <v>0.28136606576682666</v>
      </c>
      <c r="X6">
        <f>small!W5</f>
        <v>1.130084246761482</v>
      </c>
      <c r="Y6">
        <v>3</v>
      </c>
      <c r="AA6" t="b">
        <f>small!X28</f>
        <v>1</v>
      </c>
      <c r="AB6" t="b">
        <f>small!Y28</f>
        <v>1</v>
      </c>
      <c r="AC6" t="b">
        <f>small!Z28</f>
        <v>0</v>
      </c>
      <c r="AJ6" s="5" t="s">
        <v>28</v>
      </c>
      <c r="AK6">
        <v>3</v>
      </c>
      <c r="AL6">
        <v>3</v>
      </c>
    </row>
    <row r="7" spans="1:38" x14ac:dyDescent="0.2">
      <c r="A7" t="s">
        <v>65</v>
      </c>
      <c r="B7" s="3" t="s">
        <v>29</v>
      </c>
      <c r="C7" s="11" t="s">
        <v>66</v>
      </c>
      <c r="D7" s="6" cm="1">
        <f t="array" ref="D7">IF(ISBLANK(INDEX($P$2:$Y$60, MATCH(1, ($P$2:$P$60=$A7) * ($Q$2:$Q$60=$B7), 0), MATCH(D$3, $P$1:$Y$1, 0))), "", INDEX($P$2:$Y$60, MATCH(1, ($P$2:$P$60=$A7) * ($Q$2:$Q$60=$B7), 0), MATCH(D$3, $P$1:$Y$1, 0)))</f>
        <v>3</v>
      </c>
      <c r="E7" cm="1">
        <f t="array" ref="E7">INDEX($P$2:$X$60, MATCH(1, ($P$2:$P$60=$A7) * ($Q$2:$Q$60=$B7), 0), MATCH(E$3, $P$1:$X$1, 0))</f>
        <v>1.4890000000000001E-3</v>
      </c>
      <c r="F7" cm="1">
        <f t="array" ref="F7">INDEX($P$2:$X$60, MATCH(1, ($P$2:$P$60=$A7) * ($Q$2:$Q$60=$B7), 0), MATCH(F$3, $P$1:$X$1, 0))</f>
        <v>5.4882E-2</v>
      </c>
      <c r="G7" cm="1">
        <f t="array" ref="G7">INDEX($P$2:$X$60, MATCH(1, ($P$2:$P$60=$A7) * ($Q$2:$Q$60=$B7), 0), MATCH(G$3, $P$1:$X$1, 0))</f>
        <v>1.3155E-2</v>
      </c>
      <c r="H7" cm="1">
        <f t="array" ref="H7">INDEX($P$2:$X$60, MATCH(1, ($P$2:$P$60=$A7) * ($Q$2:$Q$60=$B7), 0), MATCH(H$3, $P$1:$X$1, 0))</f>
        <v>1.1920999999999999E-2</v>
      </c>
      <c r="I7" cm="1">
        <f t="array" ref="I7">INDEX($P$2:$X$60, MATCH(1, ($P$2:$P$60=$A7) * ($Q$2:$Q$60=$B7), 0), MATCH(I$3, $P$1:$X$1, 0))</f>
        <v>4.6038084053351236</v>
      </c>
      <c r="J7" cm="1">
        <f t="array" ref="J7">INDEX($P$2:$X$60, MATCH(1, ($P$2:$P$60=$A7) * ($Q$2:$Q$60=$B7), 0), MATCH(J$3, $P$1:$X$1, 0))</f>
        <v>0.12490562872242263</v>
      </c>
      <c r="K7" cm="1">
        <f t="array" ref="K7">INDEX($P$2:$X$60, MATCH(1, ($P$2:$P$60=$A7) * ($Q$2:$Q$60=$B7), 0), MATCH(K$3, $P$1:$X$1, 0))</f>
        <v>1.1035148058048823</v>
      </c>
      <c r="L7" t="b" cm="1">
        <f t="array" ref="L7">INDEX($AA$2:$AC$60, MATCH(1, ($P$2:$P$60=$A7) * ($Q$2:$Q$60=$B7), 0), MATCH(I$3, $AA$1:$AC$1, 0))</f>
        <v>1</v>
      </c>
      <c r="M7" t="b" cm="1">
        <f t="array" ref="M7">INDEX($AA$2:$AC$60, MATCH(1, ($P$2:$P$60=$A7) * ($Q$2:$Q$60=$B7), 0), MATCH(J$3, $AA$1:$AC$1, 0))</f>
        <v>1</v>
      </c>
      <c r="N7" t="b" cm="1">
        <f t="array" ref="N7">INDEX($AA$2:$AC$60, MATCH(1, ($P$2:$P$60=$A7) * ($Q$2:$Q$60=$B7), 0), MATCH(K$3, $AA$1:$AC$1, 0))</f>
        <v>0</v>
      </c>
      <c r="P7" s="6" t="s">
        <v>65</v>
      </c>
      <c r="Q7" s="6" t="s">
        <v>35</v>
      </c>
      <c r="R7">
        <f>small!M6</f>
        <v>8.9149999999999993E-3</v>
      </c>
      <c r="S7">
        <f>small!N6</f>
        <v>3.5820999999999999E-2</v>
      </c>
      <c r="T7">
        <f>small!O6</f>
        <v>2.1310000000000001E-3</v>
      </c>
      <c r="U7">
        <f>small!P6</f>
        <v>8.5599999999999999E-3</v>
      </c>
      <c r="V7">
        <f>small!U6</f>
        <v>4.1846962616822427</v>
      </c>
      <c r="W7">
        <f>small!V6</f>
        <v>0.24894859813084114</v>
      </c>
      <c r="X7">
        <f>small!W6</f>
        <v>1.0414719626168223</v>
      </c>
      <c r="Y7">
        <v>2</v>
      </c>
      <c r="AA7" t="b">
        <f>small!X29</f>
        <v>1</v>
      </c>
      <c r="AB7" t="b">
        <f>small!Y29</f>
        <v>1</v>
      </c>
      <c r="AC7" t="b">
        <f>small!Z29</f>
        <v>0</v>
      </c>
      <c r="AJ7" s="5" t="s">
        <v>32</v>
      </c>
      <c r="AK7">
        <v>3</v>
      </c>
      <c r="AL7">
        <v>3</v>
      </c>
    </row>
    <row r="8" spans="1:38" x14ac:dyDescent="0.2">
      <c r="A8" t="s">
        <v>67</v>
      </c>
      <c r="B8" s="3" t="s">
        <v>29</v>
      </c>
      <c r="C8" s="11" t="s">
        <v>71</v>
      </c>
      <c r="D8" s="6" cm="1">
        <f t="array" ref="D8">IF(ISBLANK(INDEX($P$2:$Y$60, MATCH(1, ($P$2:$P$60=$A8) * ($Q$2:$Q$60=$B8), 0), MATCH(D$3, $P$1:$Y$1, 0))), "-", INDEX($P$2:$Y$60, MATCH(1, ($P$2:$P$60=$A8) * ($Q$2:$Q$60=$B8), 0), MATCH(D$3, $P$1:$Y$1, 0)))</f>
        <v>4</v>
      </c>
      <c r="E8" cm="1">
        <f t="array" ref="E8">INDEX($P$2:$X$60, MATCH(1, ($P$2:$P$60=$A8) * ($Q$2:$Q$60=$B8), 0), MATCH(E$3, $P$1:$X$1, 0))</f>
        <v>4.8585609999999999</v>
      </c>
      <c r="F8" cm="1">
        <f t="array" ref="F8">INDEX($P$2:$X$60, MATCH(1, ($P$2:$P$60=$A8) * ($Q$2:$Q$60=$B8), 0), MATCH(F$3, $P$1:$X$1, 0))</f>
        <v>8.6501999999999996E-2</v>
      </c>
      <c r="G8" cm="1">
        <f t="array" ref="G8">INDEX($P$2:$X$60, MATCH(1, ($P$2:$P$60=$A8) * ($Q$2:$Q$60=$B8), 0), MATCH(G$3, $P$1:$X$1, 0))</f>
        <v>2.0128E-2</v>
      </c>
      <c r="H8" cm="1">
        <f t="array" ref="H8">INDEX($P$2:$X$60, MATCH(1, ($P$2:$P$60=$A8) * ($Q$2:$Q$60=$B8), 0), MATCH(H$3, $P$1:$X$1, 0))</f>
        <v>1.6421000000000002E-2</v>
      </c>
      <c r="I8" cm="1">
        <f t="array" ref="I8">INDEX($P$2:$X$60, MATCH(1, ($P$2:$P$60=$A8) * ($Q$2:$Q$60=$B8), 0), MATCH(I$3, $P$1:$X$1, 0))</f>
        <v>5.2677668838682168</v>
      </c>
      <c r="J8" cm="1">
        <f t="array" ref="J8">INDEX($P$2:$X$60, MATCH(1, ($P$2:$P$60=$A8) * ($Q$2:$Q$60=$B8), 0), MATCH(J$3, $P$1:$X$1, 0))</f>
        <v>295.87485536812613</v>
      </c>
      <c r="K8" cm="1">
        <f t="array" ref="K8">INDEX($P$2:$X$60, MATCH(1, ($P$2:$P$60=$A8) * ($Q$2:$Q$60=$B8), 0), MATCH(K$3, $P$1:$X$1, 0))</f>
        <v>1.2257475184215334</v>
      </c>
      <c r="L8" t="b" cm="1">
        <f t="array" ref="L8">INDEX($AA$2:$AC$60, MATCH(1, ($P$2:$P$60=$A8) * ($Q$2:$Q$60=$B8), 0), MATCH(I$3, $AA$1:$AC$1, 0))</f>
        <v>1</v>
      </c>
      <c r="M8" t="b" cm="1">
        <f t="array" ref="M8">INDEX($AA$2:$AC$60, MATCH(1, ($P$2:$P$60=$A8) * ($Q$2:$Q$60=$B8), 0), MATCH(J$3, $AA$1:$AC$1, 0))</f>
        <v>1</v>
      </c>
      <c r="N8" t="b" cm="1">
        <f t="array" ref="N8">INDEX($AA$2:$AC$60, MATCH(1, ($P$2:$P$60=$A8) * ($Q$2:$Q$60=$B8), 0), MATCH(K$3, $AA$1:$AC$1, 0))</f>
        <v>0</v>
      </c>
      <c r="P8" s="6" t="s">
        <v>65</v>
      </c>
      <c r="Q8" s="6" t="s">
        <v>37</v>
      </c>
      <c r="R8">
        <f>small!M7</f>
        <v>2.8225E-2</v>
      </c>
      <c r="S8">
        <f>small!N7</f>
        <v>0.31134699999999998</v>
      </c>
      <c r="T8">
        <f>small!O7</f>
        <v>6.1700000000000001E-3</v>
      </c>
      <c r="U8">
        <f>small!P7</f>
        <v>2.4934000000000001E-2</v>
      </c>
      <c r="V8">
        <f>small!U7</f>
        <v>12.486845271516803</v>
      </c>
      <c r="W8">
        <f>small!V7</f>
        <v>0.24745327665035693</v>
      </c>
      <c r="X8">
        <f>small!W7</f>
        <v>1.1319884495066976</v>
      </c>
      <c r="Y8">
        <v>9</v>
      </c>
      <c r="AA8" t="b">
        <f>small!X30</f>
        <v>1</v>
      </c>
      <c r="AB8" t="b">
        <f>small!Y30</f>
        <v>1</v>
      </c>
      <c r="AC8" t="b">
        <f>small!Z30</f>
        <v>0</v>
      </c>
      <c r="AJ8" s="5" t="s">
        <v>34</v>
      </c>
      <c r="AK8">
        <v>2</v>
      </c>
      <c r="AL8">
        <v>2</v>
      </c>
    </row>
    <row r="9" spans="1:38" x14ac:dyDescent="0.2">
      <c r="A9" t="s">
        <v>69</v>
      </c>
      <c r="B9" s="3" t="s">
        <v>29</v>
      </c>
      <c r="C9" s="11" t="s">
        <v>89</v>
      </c>
      <c r="D9" s="6" cm="1">
        <f t="array" ref="D9">IF(ISBLANK(INDEX($P$2:$Y$60, MATCH(1, ($P$2:$P$60=$A9) * ($Q$2:$Q$60=$B9), 0), MATCH(D$3, $P$1:$Y$1, 0))), "-", INDEX($P$2:$Y$60, MATCH(1, ($P$2:$P$60=$A9) * ($Q$2:$Q$60=$B9), 0), MATCH(D$3, $P$1:$Y$1, 0)))</f>
        <v>9</v>
      </c>
      <c r="E9" cm="1">
        <f t="array" ref="E9">INDEX($P$2:$X$60, MATCH(1, ($P$2:$P$60=$A9) * ($Q$2:$Q$60=$B9), 0), MATCH(E$3, $P$1:$X$1, 0))</f>
        <v>58.664898000000001</v>
      </c>
      <c r="F9" cm="1">
        <f t="array" ref="F9">INDEX($P$2:$X$60, MATCH(1, ($P$2:$P$60=$A9) * ($Q$2:$Q$60=$B9), 0), MATCH(F$3, $P$1:$X$1, 0))</f>
        <v>0.22487099999999999</v>
      </c>
      <c r="G9" cm="1">
        <f t="array" ref="G9">INDEX($P$2:$X$60, MATCH(1, ($P$2:$P$60=$A9) * ($Q$2:$Q$60=$B9), 0), MATCH(G$3, $P$1:$X$1, 0))</f>
        <v>3.7756999999999999E-2</v>
      </c>
      <c r="H9" cm="1">
        <f t="array" ref="H9">INDEX($P$2:$X$60, MATCH(1, ($P$2:$P$60=$A9) * ($Q$2:$Q$60=$B9), 0), MATCH(H$3, $P$1:$X$1, 0))</f>
        <v>3.5411999999999999E-2</v>
      </c>
      <c r="I9" cm="1">
        <f t="array" ref="I9">INDEX($P$2:$X$60, MATCH(1, ($P$2:$P$60=$A9) * ($Q$2:$Q$60=$B9), 0), MATCH(I$3, $P$1:$X$1, 0))</f>
        <v>6.350135547272111</v>
      </c>
      <c r="J9" cm="1">
        <f t="array" ref="J9">INDEX($P$2:$X$60, MATCH(1, ($P$2:$P$60=$A9) * ($Q$2:$Q$60=$B9), 0), MATCH(J$3, $P$1:$X$1, 0))</f>
        <v>1656.6389359539139</v>
      </c>
      <c r="K9" cm="1">
        <f t="array" ref="K9">INDEX($P$2:$X$60, MATCH(1, ($P$2:$P$60=$A9) * ($Q$2:$Q$60=$B9), 0), MATCH(K$3, $P$1:$X$1, 0))</f>
        <v>1.0662204902293009</v>
      </c>
      <c r="L9" t="b" cm="1">
        <f t="array" ref="L9">INDEX($AA$2:$AC$60, MATCH(1, ($P$2:$P$60=$A9) * ($Q$2:$Q$60=$B9), 0), MATCH(I$3, $AA$1:$AC$1, 0))</f>
        <v>1</v>
      </c>
      <c r="M9" t="b" cm="1">
        <f t="array" ref="M9">INDEX($AA$2:$AC$60, MATCH(1, ($P$2:$P$60=$A9) * ($Q$2:$Q$60=$B9), 0), MATCH(J$3, $AA$1:$AC$1, 0))</f>
        <v>1</v>
      </c>
      <c r="N9" t="b" cm="1">
        <f t="array" ref="N9">INDEX($AA$2:$AC$60, MATCH(1, ($P$2:$P$60=$A9) * ($Q$2:$Q$60=$B9), 0), MATCH(K$3, $AA$1:$AC$1, 0))</f>
        <v>0</v>
      </c>
      <c r="P9" s="6" t="s">
        <v>65</v>
      </c>
      <c r="Q9" s="6" t="s">
        <v>38</v>
      </c>
      <c r="R9">
        <f>small!M8</f>
        <v>1.1313999999999999E-2</v>
      </c>
      <c r="S9">
        <f>small!N8</f>
        <v>7.0066000000000003E-2</v>
      </c>
      <c r="T9">
        <f>small!O8</f>
        <v>2.4269999999999999E-3</v>
      </c>
      <c r="U9">
        <f>small!P8</f>
        <v>9.2339999999999992E-3</v>
      </c>
      <c r="V9">
        <f>small!U8</f>
        <v>7.5878275936755477</v>
      </c>
      <c r="W9">
        <f>small!V8</f>
        <v>0.26283300844704355</v>
      </c>
      <c r="X9">
        <f>small!W8</f>
        <v>1.2252544942603423</v>
      </c>
      <c r="Y9">
        <v>3</v>
      </c>
      <c r="AA9" t="b">
        <f>small!X31</f>
        <v>1</v>
      </c>
      <c r="AB9" t="b">
        <f>small!Y31</f>
        <v>1</v>
      </c>
      <c r="AC9" t="b">
        <f>small!Z31</f>
        <v>0</v>
      </c>
      <c r="AJ9" s="5" t="s">
        <v>36</v>
      </c>
      <c r="AK9">
        <v>9</v>
      </c>
      <c r="AL9">
        <v>9</v>
      </c>
    </row>
    <row r="10" spans="1:38" x14ac:dyDescent="0.2">
      <c r="A10" t="s">
        <v>65</v>
      </c>
      <c r="B10" s="3" t="s">
        <v>33</v>
      </c>
      <c r="C10" t="s">
        <v>66</v>
      </c>
      <c r="D10" s="6" cm="1">
        <f t="array" ref="D10">IF(ISBLANK(INDEX($P$2:$Y$60, MATCH(1, ($P$2:$P$60=$A10) * ($Q$2:$Q$60=$B10), 0), MATCH(D$3, $P$1:$Y$1, 0))), "", INDEX($P$2:$Y$60, MATCH(1, ($P$2:$P$60=$A10) * ($Q$2:$Q$60=$B10), 0), MATCH(D$3, $P$1:$Y$1, 0)))</f>
        <v>3</v>
      </c>
      <c r="E10" cm="1">
        <f t="array" ref="E10">INDEX($P$2:$X$60, MATCH(1, ($P$2:$P$60=$A10) * ($Q$2:$Q$60=$B10), 0), MATCH(E$3, $P$1:$X$1, 0))</f>
        <v>3.1059999999999998E-3</v>
      </c>
      <c r="F10" cm="1">
        <f t="array" ref="F10">INDEX($P$2:$X$60, MATCH(1, ($P$2:$P$60=$A10) * ($Q$2:$Q$60=$B10), 0), MATCH(F$3, $P$1:$X$1, 0))</f>
        <v>4.3912E-2</v>
      </c>
      <c r="G10" cm="1">
        <f t="array" ref="G10">INDEX($P$2:$X$60, MATCH(1, ($P$2:$P$60=$A10) * ($Q$2:$Q$60=$B10), 0), MATCH(G$3, $P$1:$X$1, 0))</f>
        <v>1.2475E-2</v>
      </c>
      <c r="H10" cm="1">
        <f t="array" ref="H10">INDEX($P$2:$X$60, MATCH(1, ($P$2:$P$60=$A10) * ($Q$2:$Q$60=$B10), 0), MATCH(H$3, $P$1:$X$1, 0))</f>
        <v>1.1039E-2</v>
      </c>
      <c r="I10" cm="1">
        <f t="array" ref="I10">INDEX($P$2:$X$60, MATCH(1, ($P$2:$P$60=$A10) * ($Q$2:$Q$60=$B10), 0), MATCH(I$3, $P$1:$X$1, 0))</f>
        <v>3.9778965486004165</v>
      </c>
      <c r="J10" cm="1">
        <f t="array" ref="J10">INDEX($P$2:$X$60, MATCH(1, ($P$2:$P$60=$A10) * ($Q$2:$Q$60=$B10), 0), MATCH(J$3, $P$1:$X$1, 0))</f>
        <v>0.28136606576682666</v>
      </c>
      <c r="K10" cm="1">
        <f t="array" ref="K10">INDEX($P$2:$X$60, MATCH(1, ($P$2:$P$60=$A10) * ($Q$2:$Q$60=$B10), 0), MATCH(K$3, $P$1:$X$1, 0))</f>
        <v>1.130084246761482</v>
      </c>
      <c r="L10" t="b" cm="1">
        <f t="array" ref="L10">INDEX($AA$2:$AC$60, MATCH(1, ($P$2:$P$60=$A10) * ($Q$2:$Q$60=$B10), 0), MATCH(I$3, $AA$1:$AC$1, 0))</f>
        <v>1</v>
      </c>
      <c r="M10" t="b" cm="1">
        <f t="array" ref="M10">INDEX($AA$2:$AC$60, MATCH(1, ($P$2:$P$60=$A10) * ($Q$2:$Q$60=$B10), 0), MATCH(J$3, $AA$1:$AC$1, 0))</f>
        <v>1</v>
      </c>
      <c r="N10" t="b" cm="1">
        <f t="array" ref="N10">INDEX($AA$2:$AC$60, MATCH(1, ($P$2:$P$60=$A10) * ($Q$2:$Q$60=$B10), 0), MATCH(K$3, $AA$1:$AC$1, 0))</f>
        <v>0</v>
      </c>
      <c r="P10" s="6" t="s">
        <v>65</v>
      </c>
      <c r="Q10" s="6" t="s">
        <v>40</v>
      </c>
      <c r="R10">
        <f>small!M9</f>
        <v>2.3838000000000002E-2</v>
      </c>
      <c r="S10">
        <f>small!N9</f>
        <v>0.17114599999999999</v>
      </c>
      <c r="T10">
        <f>small!O9</f>
        <v>2.7550000000000001E-3</v>
      </c>
      <c r="U10">
        <f>small!P9</f>
        <v>1.8013999999999999E-2</v>
      </c>
      <c r="V10">
        <f>small!U9</f>
        <v>9.5007216609303882</v>
      </c>
      <c r="W10">
        <f>small!V9</f>
        <v>0.15293660486288443</v>
      </c>
      <c r="X10">
        <f>small!W9</f>
        <v>1.3233040968135896</v>
      </c>
      <c r="Y10">
        <v>5</v>
      </c>
      <c r="AA10" t="b">
        <f>small!X32</f>
        <v>1</v>
      </c>
      <c r="AB10" t="b">
        <f>small!Y32</f>
        <v>1</v>
      </c>
      <c r="AC10" t="b">
        <f>small!Z32</f>
        <v>0</v>
      </c>
      <c r="AJ10" s="5" t="s">
        <v>2</v>
      </c>
      <c r="AK10">
        <v>3</v>
      </c>
      <c r="AL10">
        <v>3</v>
      </c>
    </row>
    <row r="11" spans="1:38" x14ac:dyDescent="0.2">
      <c r="A11" t="s">
        <v>67</v>
      </c>
      <c r="B11" s="3" t="s">
        <v>33</v>
      </c>
      <c r="C11" t="s">
        <v>74</v>
      </c>
      <c r="D11" s="6" cm="1">
        <f t="array" ref="D11">IF(ISBLANK(INDEX($P$2:$Y$60, MATCH(1, ($P$2:$P$60=$A11) * ($Q$2:$Q$60=$B11), 0), MATCH(D$3, $P$1:$Y$1, 0))), "-", INDEX($P$2:$Y$60, MATCH(1, ($P$2:$P$60=$A11) * ($Q$2:$Q$60=$B11), 0), MATCH(D$3, $P$1:$Y$1, 0)))</f>
        <v>3</v>
      </c>
      <c r="E11" cm="1">
        <f t="array" ref="E11">INDEX($P$2:$X$60, MATCH(1, ($P$2:$P$60=$A11) * ($Q$2:$Q$60=$B11), 0), MATCH(E$3, $P$1:$X$1, 0))</f>
        <v>33.197488999999997</v>
      </c>
      <c r="F11" cm="1">
        <f t="array" ref="F11">INDEX($P$2:$X$60, MATCH(1, ($P$2:$P$60=$A11) * ($Q$2:$Q$60=$B11), 0), MATCH(F$3, $P$1:$X$1, 0))</f>
        <v>0.187528</v>
      </c>
      <c r="G11" cm="1">
        <f t="array" ref="G11">INDEX($P$2:$X$60, MATCH(1, ($P$2:$P$60=$A11) * ($Q$2:$Q$60=$B11), 0), MATCH(G$3, $P$1:$X$1, 0))</f>
        <v>4.7767999999999998E-2</v>
      </c>
      <c r="H11" cm="1">
        <f t="array" ref="H11">INDEX($P$2:$X$60, MATCH(1, ($P$2:$P$60=$A11) * ($Q$2:$Q$60=$B11), 0), MATCH(H$3, $P$1:$X$1, 0))</f>
        <v>4.5340999999999999E-2</v>
      </c>
      <c r="I11" cm="1">
        <f t="array" ref="I11">INDEX($P$2:$X$60, MATCH(1, ($P$2:$P$60=$A11) * ($Q$2:$Q$60=$B11), 0), MATCH(I$3, $P$1:$X$1, 0))</f>
        <v>4.1359475970975499</v>
      </c>
      <c r="J11" cm="1">
        <f t="array" ref="J11">INDEX($P$2:$X$60, MATCH(1, ($P$2:$P$60=$A11) * ($Q$2:$Q$60=$B11), 0), MATCH(J$3, $P$1:$X$1, 0))</f>
        <v>732.17372797247515</v>
      </c>
      <c r="K11" cm="1">
        <f t="array" ref="K11">INDEX($P$2:$X$60, MATCH(1, ($P$2:$P$60=$A11) * ($Q$2:$Q$60=$B11), 0), MATCH(K$3, $P$1:$X$1, 0))</f>
        <v>1.0535277122251383</v>
      </c>
      <c r="L11" t="b" cm="1">
        <f t="array" ref="L11">INDEX($AA$2:$AC$60, MATCH(1, ($P$2:$P$60=$A11) * ($Q$2:$Q$60=$B11), 0), MATCH(I$3, $AA$1:$AC$1, 0))</f>
        <v>1</v>
      </c>
      <c r="M11" t="b" cm="1">
        <f t="array" ref="M11">INDEX($AA$2:$AC$60, MATCH(1, ($P$2:$P$60=$A11) * ($Q$2:$Q$60=$B11), 0), MATCH(J$3, $AA$1:$AC$1, 0))</f>
        <v>1</v>
      </c>
      <c r="N11" t="b" cm="1">
        <f t="array" ref="N11">INDEX($AA$2:$AC$60, MATCH(1, ($P$2:$P$60=$A11) * ($Q$2:$Q$60=$B11), 0), MATCH(K$3, $AA$1:$AC$1, 0))</f>
        <v>0</v>
      </c>
      <c r="P11" s="6" t="s">
        <v>65</v>
      </c>
      <c r="Q11" s="6" t="s">
        <v>42</v>
      </c>
      <c r="R11">
        <f>small!M10</f>
        <v>6.463E-3</v>
      </c>
      <c r="S11">
        <f>small!N10</f>
        <v>4.7777E-2</v>
      </c>
      <c r="T11">
        <f>small!O10</f>
        <v>1.9889999999999999E-3</v>
      </c>
      <c r="U11">
        <f>small!P10</f>
        <v>5.2269999999999999E-3</v>
      </c>
      <c r="V11">
        <f>small!U10</f>
        <v>9.1404247178113636</v>
      </c>
      <c r="W11">
        <f>small!V10</f>
        <v>0.38052420126267456</v>
      </c>
      <c r="X11">
        <f>small!W10</f>
        <v>1.2364645111918884</v>
      </c>
      <c r="Y11">
        <v>3</v>
      </c>
      <c r="AA11" t="b">
        <f>small!X33</f>
        <v>1</v>
      </c>
      <c r="AB11" t="b">
        <f>small!Y33</f>
        <v>1</v>
      </c>
      <c r="AC11" t="b">
        <f>small!Z33</f>
        <v>0</v>
      </c>
      <c r="AJ11" s="5" t="s">
        <v>39</v>
      </c>
      <c r="AK11">
        <v>5</v>
      </c>
      <c r="AL11">
        <v>3</v>
      </c>
    </row>
    <row r="12" spans="1:38" x14ac:dyDescent="0.2">
      <c r="A12" t="s">
        <v>69</v>
      </c>
      <c r="B12" s="3" t="s">
        <v>33</v>
      </c>
      <c r="C12" t="s">
        <v>75</v>
      </c>
      <c r="D12" s="6" cm="1">
        <f t="array" ref="D12">IF(ISBLANK(INDEX($P$2:$Y$60, MATCH(1, ($P$2:$P$60=$A12) * ($Q$2:$Q$60=$B12), 0), MATCH(D$3, $P$1:$Y$1, 0))), "-", INDEX($P$2:$Y$60, MATCH(1, ($P$2:$P$60=$A12) * ($Q$2:$Q$60=$B12), 0), MATCH(D$3, $P$1:$Y$1, 0)))</f>
        <v>4</v>
      </c>
      <c r="E12" t="e" cm="1">
        <f t="array" ref="E12">INDEX($P$2:$X$60, MATCH(1, ($P$2:$P$60=$A12) * ($Q$2:$Q$60=$B12), 0), MATCH(E$3, $P$1:$X$1, 0))</f>
        <v>#N/A</v>
      </c>
      <c r="F12" cm="1">
        <f t="array" ref="F12">INDEX($P$2:$X$60, MATCH(1, ($P$2:$P$60=$A12) * ($Q$2:$Q$60=$B12), 0), MATCH(F$3, $P$1:$X$1, 0))</f>
        <v>0.669624</v>
      </c>
      <c r="G12" cm="1">
        <f t="array" ref="G12">INDEX($P$2:$X$60, MATCH(1, ($P$2:$P$60=$A12) * ($Q$2:$Q$60=$B12), 0), MATCH(G$3, $P$1:$X$1, 0))</f>
        <v>0.177232</v>
      </c>
      <c r="H12" cm="1">
        <f t="array" ref="H12">INDEX($P$2:$X$60, MATCH(1, ($P$2:$P$60=$A12) * ($Q$2:$Q$60=$B12), 0), MATCH(H$3, $P$1:$X$1, 0))</f>
        <v>0.172121</v>
      </c>
      <c r="I12" cm="1">
        <f t="array" ref="I12">INDEX($P$2:$X$60, MATCH(1, ($P$2:$P$60=$A12) * ($Q$2:$Q$60=$B12), 0), MATCH(I$3, $P$1:$X$1, 0))</f>
        <v>3.8904259212995509</v>
      </c>
      <c r="J12" t="str" cm="1">
        <f t="array" ref="J12">INDEX($P$2:$X$60, MATCH(1, ($P$2:$P$60=$A12) * ($Q$2:$Q$60=$B12), 0), MATCH(J$3, $P$1:$X$1, 0))</f>
        <v>DNF</v>
      </c>
      <c r="K12" cm="1">
        <f t="array" ref="K12">INDEX($P$2:$X$60, MATCH(1, ($P$2:$P$60=$A12) * ($Q$2:$Q$60=$B12), 0), MATCH(K$3, $P$1:$X$1, 0))</f>
        <v>1.0296942267358429</v>
      </c>
      <c r="L12" t="b" cm="1">
        <f t="array" ref="L12">INDEX($AA$2:$AC$60, MATCH(1, ($P$2:$P$60=$A12) * ($Q$2:$Q$60=$B12), 0), MATCH(I$3, $AA$1:$AC$1, 0))</f>
        <v>1</v>
      </c>
      <c r="M12" t="b" cm="1">
        <f t="array" ref="M12">INDEX($AA$2:$AC$60, MATCH(1, ($P$2:$P$60=$A12) * ($Q$2:$Q$60=$B12), 0), MATCH(J$3, $AA$1:$AC$1, 0))</f>
        <v>1</v>
      </c>
      <c r="N12" t="b" cm="1">
        <f t="array" ref="N12">INDEX($AA$2:$AC$60, MATCH(1, ($P$2:$P$60=$A12) * ($Q$2:$Q$60=$B12), 0), MATCH(K$3, $AA$1:$AC$1, 0))</f>
        <v>0</v>
      </c>
      <c r="P12" s="6" t="s">
        <v>65</v>
      </c>
      <c r="Q12" s="6" t="s">
        <v>44</v>
      </c>
      <c r="R12">
        <f>small!M11</f>
        <v>1.3899E-2</v>
      </c>
      <c r="S12">
        <f>small!N11</f>
        <v>0.32746900000000001</v>
      </c>
      <c r="T12">
        <f>small!O11</f>
        <v>4.0720000000000001E-3</v>
      </c>
      <c r="U12">
        <f>small!P11</f>
        <v>8.5550000000000001E-3</v>
      </c>
      <c r="V12">
        <f>small!U11</f>
        <v>38.278082992402105</v>
      </c>
      <c r="W12">
        <f>small!V11</f>
        <v>0.47597895967270604</v>
      </c>
      <c r="X12">
        <f>small!W11</f>
        <v>1.6246639392168323</v>
      </c>
      <c r="Y12">
        <v>17</v>
      </c>
      <c r="AA12" t="b">
        <f>small!X34</f>
        <v>1</v>
      </c>
      <c r="AB12" t="b">
        <f>small!Y34</f>
        <v>1</v>
      </c>
      <c r="AC12" t="b">
        <f>small!Z34</f>
        <v>0</v>
      </c>
      <c r="AJ12" s="5" t="s">
        <v>41</v>
      </c>
      <c r="AK12">
        <v>3</v>
      </c>
      <c r="AL12">
        <v>3</v>
      </c>
    </row>
    <row r="13" spans="1:38" x14ac:dyDescent="0.2">
      <c r="A13" t="s">
        <v>65</v>
      </c>
      <c r="B13" s="3" t="s">
        <v>35</v>
      </c>
      <c r="C13" t="s">
        <v>66</v>
      </c>
      <c r="D13" s="6" cm="1">
        <f t="array" ref="D13">IF(ISBLANK(INDEX($P$2:$Y$60, MATCH(1, ($P$2:$P$60=$A13) * ($Q$2:$Q$60=$B13), 0), MATCH(D$3, $P$1:$Y$1, 0))), "", INDEX($P$2:$Y$60, MATCH(1, ($P$2:$P$60=$A13) * ($Q$2:$Q$60=$B13), 0), MATCH(D$3, $P$1:$Y$1, 0)))</f>
        <v>2</v>
      </c>
      <c r="E13" cm="1">
        <f t="array" ref="E13">INDEX($P$2:$X$60, MATCH(1, ($P$2:$P$60=$A13) * ($Q$2:$Q$60=$B13), 0), MATCH(E$3, $P$1:$X$1, 0))</f>
        <v>2.1310000000000001E-3</v>
      </c>
      <c r="F13" cm="1">
        <f t="array" ref="F13">INDEX($P$2:$X$60, MATCH(1, ($P$2:$P$60=$A13) * ($Q$2:$Q$60=$B13), 0), MATCH(F$3, $P$1:$X$1, 0))</f>
        <v>3.5820999999999999E-2</v>
      </c>
      <c r="G13" cm="1">
        <f t="array" ref="G13">INDEX($P$2:$X$60, MATCH(1, ($P$2:$P$60=$A13) * ($Q$2:$Q$60=$B13), 0), MATCH(G$3, $P$1:$X$1, 0))</f>
        <v>8.9149999999999993E-3</v>
      </c>
      <c r="H13" cm="1">
        <f t="array" ref="H13">INDEX($P$2:$X$60, MATCH(1, ($P$2:$P$60=$A13) * ($Q$2:$Q$60=$B13), 0), MATCH(H$3, $P$1:$X$1, 0))</f>
        <v>8.5599999999999999E-3</v>
      </c>
      <c r="I13" cm="1">
        <f t="array" ref="I13">INDEX($P$2:$X$60, MATCH(1, ($P$2:$P$60=$A13) * ($Q$2:$Q$60=$B13), 0), MATCH(I$3, $P$1:$X$1, 0))</f>
        <v>4.1846962616822427</v>
      </c>
      <c r="J13" cm="1">
        <f t="array" ref="J13">INDEX($P$2:$X$60, MATCH(1, ($P$2:$P$60=$A13) * ($Q$2:$Q$60=$B13), 0), MATCH(J$3, $P$1:$X$1, 0))</f>
        <v>0.24894859813084114</v>
      </c>
      <c r="K13" cm="1">
        <f t="array" ref="K13">INDEX($P$2:$X$60, MATCH(1, ($P$2:$P$60=$A13) * ($Q$2:$Q$60=$B13), 0), MATCH(K$3, $P$1:$X$1, 0))</f>
        <v>1.0414719626168223</v>
      </c>
      <c r="L13" t="b" cm="1">
        <f t="array" ref="L13">INDEX($AA$2:$AC$60, MATCH(1, ($P$2:$P$60=$A13) * ($Q$2:$Q$60=$B13), 0), MATCH(I$3, $AA$1:$AC$1, 0))</f>
        <v>1</v>
      </c>
      <c r="M13" t="b" cm="1">
        <f t="array" ref="M13">INDEX($AA$2:$AC$60, MATCH(1, ($P$2:$P$60=$A13) * ($Q$2:$Q$60=$B13), 0), MATCH(J$3, $AA$1:$AC$1, 0))</f>
        <v>1</v>
      </c>
      <c r="N13" t="b" cm="1">
        <f t="array" ref="N13">INDEX($AA$2:$AC$60, MATCH(1, ($P$2:$P$60=$A13) * ($Q$2:$Q$60=$B13), 0), MATCH(K$3, $AA$1:$AC$1, 0))</f>
        <v>0</v>
      </c>
      <c r="P13" s="6" t="s">
        <v>65</v>
      </c>
      <c r="Q13" s="6" t="s">
        <v>47</v>
      </c>
      <c r="R13">
        <f>small!M12</f>
        <v>1.4302E-2</v>
      </c>
      <c r="S13">
        <f>small!N12</f>
        <v>7.6815999999999995E-2</v>
      </c>
      <c r="T13">
        <f>small!O12</f>
        <v>2.519E-3</v>
      </c>
      <c r="U13">
        <f>small!P12</f>
        <v>1.2097999999999999E-2</v>
      </c>
      <c r="V13">
        <f>small!U12</f>
        <v>6.3494792527690525</v>
      </c>
      <c r="W13">
        <f>small!V12</f>
        <v>0.20821623408827905</v>
      </c>
      <c r="X13">
        <f>small!W12</f>
        <v>1.1821788725409159</v>
      </c>
      <c r="Y13">
        <v>3</v>
      </c>
      <c r="AA13" t="b">
        <f>small!X35</f>
        <v>1</v>
      </c>
      <c r="AB13" t="b">
        <f>small!Y35</f>
        <v>1</v>
      </c>
      <c r="AC13" t="b">
        <f>small!Z35</f>
        <v>0</v>
      </c>
      <c r="AJ13" s="5" t="s">
        <v>43</v>
      </c>
      <c r="AK13">
        <v>17</v>
      </c>
      <c r="AL13">
        <v>17</v>
      </c>
    </row>
    <row r="14" spans="1:38" x14ac:dyDescent="0.2">
      <c r="A14" t="s">
        <v>67</v>
      </c>
      <c r="B14" s="3" t="s">
        <v>35</v>
      </c>
      <c r="C14" t="s">
        <v>76</v>
      </c>
      <c r="D14" s="6" cm="1">
        <f t="array" ref="D14">IF(ISBLANK(INDEX($P$2:$Y$60, MATCH(1, ($P$2:$P$60=$A14) * ($Q$2:$Q$60=$B14), 0), MATCH(D$3, $P$1:$Y$1, 0))), "-", INDEX($P$2:$Y$60, MATCH(1, ($P$2:$P$60=$A14) * ($Q$2:$Q$60=$B14), 0), MATCH(D$3, $P$1:$Y$1, 0)))</f>
        <v>5</v>
      </c>
      <c r="E14" cm="1">
        <f t="array" ref="E14">INDEX($P$2:$X$60, MATCH(1, ($P$2:$P$60=$A14) * ($Q$2:$Q$60=$B14), 0), MATCH(E$3, $P$1:$X$1, 0))</f>
        <v>139.447811</v>
      </c>
      <c r="F14" cm="1">
        <f t="array" ref="F14">INDEX($P$2:$X$60, MATCH(1, ($P$2:$P$60=$A14) * ($Q$2:$Q$60=$B14), 0), MATCH(F$3, $P$1:$X$1, 0))</f>
        <v>0.56497600000000003</v>
      </c>
      <c r="G14" cm="1">
        <f t="array" ref="G14">INDEX($P$2:$X$60, MATCH(1, ($P$2:$P$60=$A14) * ($Q$2:$Q$60=$B14), 0), MATCH(G$3, $P$1:$X$1, 0))</f>
        <v>8.3239999999999995E-2</v>
      </c>
      <c r="H14" cm="1">
        <f t="array" ref="H14">INDEX($P$2:$X$60, MATCH(1, ($P$2:$P$60=$A14) * ($Q$2:$Q$60=$B14), 0), MATCH(H$3, $P$1:$X$1, 0))</f>
        <v>7.5221999999999997E-2</v>
      </c>
      <c r="I14" cm="1">
        <f t="array" ref="I14">INDEX($P$2:$X$60, MATCH(1, ($P$2:$P$60=$A14) * ($Q$2:$Q$60=$B14), 0), MATCH(I$3, $P$1:$X$1, 0))</f>
        <v>7.5107814203291596</v>
      </c>
      <c r="J14" cm="1">
        <f t="array" ref="J14">INDEX($P$2:$X$60, MATCH(1, ($P$2:$P$60=$A14) * ($Q$2:$Q$60=$B14), 0), MATCH(J$3, $P$1:$X$1, 0))</f>
        <v>1853.8168487942357</v>
      </c>
      <c r="K14" cm="1">
        <f t="array" ref="K14">INDEX($P$2:$X$60, MATCH(1, ($P$2:$P$60=$A14) * ($Q$2:$Q$60=$B14), 0), MATCH(K$3, $P$1:$X$1, 0))</f>
        <v>1.1065911568424132</v>
      </c>
      <c r="L14" t="b" cm="1">
        <f t="array" ref="L14">INDEX($AA$2:$AC$60, MATCH(1, ($P$2:$P$60=$A14) * ($Q$2:$Q$60=$B14), 0), MATCH(I$3, $AA$1:$AC$1, 0))</f>
        <v>1</v>
      </c>
      <c r="M14" t="b" cm="1">
        <f t="array" ref="M14">INDEX($AA$2:$AC$60, MATCH(1, ($P$2:$P$60=$A14) * ($Q$2:$Q$60=$B14), 0), MATCH(J$3, $AA$1:$AC$1, 0))</f>
        <v>1</v>
      </c>
      <c r="N14" t="b" cm="1">
        <f t="array" ref="N14">INDEX($AA$2:$AC$60, MATCH(1, ($P$2:$P$60=$A14) * ($Q$2:$Q$60=$B14), 0), MATCH(K$3, $AA$1:$AC$1, 0))</f>
        <v>0</v>
      </c>
      <c r="P14" s="6" t="s">
        <v>65</v>
      </c>
      <c r="Q14" s="6" t="s">
        <v>49</v>
      </c>
      <c r="R14">
        <f>small!M13</f>
        <v>1.1875E-2</v>
      </c>
      <c r="S14">
        <f>small!N13</f>
        <v>3.7601000000000002E-2</v>
      </c>
      <c r="T14">
        <f>small!O13</f>
        <v>2.0479999999999999E-3</v>
      </c>
      <c r="U14">
        <f>small!P13</f>
        <v>9.5499999999999995E-3</v>
      </c>
      <c r="V14">
        <f>small!U13</f>
        <v>3.9372774869109954</v>
      </c>
      <c r="W14">
        <f>small!V13</f>
        <v>0.21445026178010471</v>
      </c>
      <c r="X14">
        <f>small!W13</f>
        <v>1.243455497382199</v>
      </c>
      <c r="Y14">
        <v>2</v>
      </c>
      <c r="AA14" t="b">
        <f>small!X36</f>
        <v>1</v>
      </c>
      <c r="AB14" t="b">
        <f>small!Y36</f>
        <v>1</v>
      </c>
      <c r="AC14" t="b">
        <f>small!Z36</f>
        <v>0</v>
      </c>
      <c r="AJ14" s="5" t="s">
        <v>46</v>
      </c>
      <c r="AK14">
        <v>3</v>
      </c>
      <c r="AL14">
        <v>3</v>
      </c>
    </row>
    <row r="15" spans="1:38" x14ac:dyDescent="0.2">
      <c r="A15" t="s">
        <v>69</v>
      </c>
      <c r="B15" s="3" t="s">
        <v>35</v>
      </c>
      <c r="C15" t="s">
        <v>77</v>
      </c>
      <c r="D15" s="6" cm="1">
        <f t="array" ref="D15">IF(ISBLANK(INDEX($P$2:$Y$60, MATCH(1, ($P$2:$P$60=$A15) * ($Q$2:$Q$60=$B15), 0), MATCH(D$3, $P$1:$Y$1, 0))), "-", INDEX($P$2:$Y$60, MATCH(1, ($P$2:$P$60=$A15) * ($Q$2:$Q$60=$B15), 0), MATCH(D$3, $P$1:$Y$1, 0)))</f>
        <v>22</v>
      </c>
      <c r="E15" t="e" cm="1">
        <f t="array" ref="E15">INDEX($P$2:$X$60, MATCH(1, ($P$2:$P$60=$A15) * ($Q$2:$Q$60=$B15), 0), MATCH(E$3, $P$1:$X$1, 0))</f>
        <v>#N/A</v>
      </c>
      <c r="F15" cm="1">
        <f t="array" ref="F15">INDEX($P$2:$X$60, MATCH(1, ($P$2:$P$60=$A15) * ($Q$2:$Q$60=$B15), 0), MATCH(F$3, $P$1:$X$1, 0))</f>
        <v>14.777259000000001</v>
      </c>
      <c r="G15" cm="1">
        <f t="array" ref="G15">INDEX($P$2:$X$60, MATCH(1, ($P$2:$P$60=$A15) * ($Q$2:$Q$60=$B15), 0), MATCH(G$3, $P$1:$X$1, 0))</f>
        <v>1.1081350000000001</v>
      </c>
      <c r="H15" cm="1">
        <f t="array" ref="H15">INDEX($P$2:$X$60, MATCH(1, ($P$2:$P$60=$A15) * ($Q$2:$Q$60=$B15), 0), MATCH(H$3, $P$1:$X$1, 0))</f>
        <v>1.1151880000000001</v>
      </c>
      <c r="I15" cm="1">
        <f t="array" ref="I15">INDEX($P$2:$X$60, MATCH(1, ($P$2:$P$60=$A15) * ($Q$2:$Q$60=$B15), 0), MATCH(I$3, $P$1:$X$1, 0))</f>
        <v>13.250912850568692</v>
      </c>
      <c r="J15" t="str" cm="1">
        <f t="array" ref="J15">INDEX($P$2:$X$60, MATCH(1, ($P$2:$P$60=$A15) * ($Q$2:$Q$60=$B15), 0), MATCH(J$3, $P$1:$X$1, 0))</f>
        <v>DNF</v>
      </c>
      <c r="K15" cm="1">
        <f t="array" ref="K15">INDEX($P$2:$X$60, MATCH(1, ($P$2:$P$60=$A15) * ($Q$2:$Q$60=$B15), 0), MATCH(K$3, $P$1:$X$1, 0))</f>
        <v>0.99367550583399389</v>
      </c>
      <c r="L15" t="b" cm="1">
        <f t="array" ref="L15">INDEX($AA$2:$AC$60, MATCH(1, ($P$2:$P$60=$A15) * ($Q$2:$Q$60=$B15), 0), MATCH(I$3, $AA$1:$AC$1, 0))</f>
        <v>1</v>
      </c>
      <c r="M15" t="b" cm="1">
        <f t="array" ref="M15">INDEX($AA$2:$AC$60, MATCH(1, ($P$2:$P$60=$A15) * ($Q$2:$Q$60=$B15), 0), MATCH(J$3, $AA$1:$AC$1, 0))</f>
        <v>1</v>
      </c>
      <c r="N15" t="b" cm="1">
        <f t="array" ref="N15">INDEX($AA$2:$AC$60, MATCH(1, ($P$2:$P$60=$A15) * ($Q$2:$Q$60=$B15), 0), MATCH(K$3, $AA$1:$AC$1, 0))</f>
        <v>0</v>
      </c>
      <c r="P15" s="6" t="s">
        <v>65</v>
      </c>
      <c r="Q15" s="6" t="s">
        <v>50</v>
      </c>
      <c r="R15">
        <f>small!M14</f>
        <v>1.1764E-2</v>
      </c>
      <c r="S15">
        <f>small!N14</f>
        <v>9.8845000000000002E-2</v>
      </c>
      <c r="T15">
        <f>small!O14</f>
        <v>3.7420000000000001E-3</v>
      </c>
      <c r="U15">
        <f>small!P14</f>
        <v>9.8010000000000007E-3</v>
      </c>
      <c r="V15">
        <f>small!U14</f>
        <v>10.08519538822569</v>
      </c>
      <c r="W15">
        <f>small!V14</f>
        <v>0.38179777573716966</v>
      </c>
      <c r="X15">
        <f>small!W14</f>
        <v>1.2002856851341699</v>
      </c>
      <c r="Y15">
        <v>5</v>
      </c>
      <c r="AA15" t="b">
        <f>small!X37</f>
        <v>1</v>
      </c>
      <c r="AB15" t="b">
        <f>small!Y37</f>
        <v>0</v>
      </c>
      <c r="AC15" t="b">
        <f>small!Z37</f>
        <v>0</v>
      </c>
      <c r="AJ15" s="5" t="s">
        <v>45</v>
      </c>
      <c r="AK15">
        <v>2</v>
      </c>
      <c r="AL15">
        <v>2</v>
      </c>
    </row>
    <row r="16" spans="1:38" x14ac:dyDescent="0.2">
      <c r="A16" t="s">
        <v>65</v>
      </c>
      <c r="B16" s="3" t="s">
        <v>37</v>
      </c>
      <c r="C16" s="11" t="s">
        <v>71</v>
      </c>
      <c r="D16" s="6" cm="1">
        <f t="array" ref="D16">IF(ISBLANK(INDEX($P$2:$Y$60, MATCH(1, ($P$2:$P$60=$A16) * ($Q$2:$Q$60=$B16), 0), MATCH(D$3, $P$1:$Y$1, 0))), "", INDEX($P$2:$Y$60, MATCH(1, ($P$2:$P$60=$A16) * ($Q$2:$Q$60=$B16), 0), MATCH(D$3, $P$1:$Y$1, 0)))</f>
        <v>9</v>
      </c>
      <c r="E16" cm="1">
        <f t="array" ref="E16">INDEX($P$2:$X$60, MATCH(1, ($P$2:$P$60=$A16) * ($Q$2:$Q$60=$B16), 0), MATCH(E$3, $P$1:$X$1, 0))</f>
        <v>6.1700000000000001E-3</v>
      </c>
      <c r="F16" cm="1">
        <f t="array" ref="F16">INDEX($P$2:$X$60, MATCH(1, ($P$2:$P$60=$A16) * ($Q$2:$Q$60=$B16), 0), MATCH(F$3, $P$1:$X$1, 0))</f>
        <v>0.31134699999999998</v>
      </c>
      <c r="G16" cm="1">
        <f t="array" ref="G16">INDEX($P$2:$X$60, MATCH(1, ($P$2:$P$60=$A16) * ($Q$2:$Q$60=$B16), 0), MATCH(G$3, $P$1:$X$1, 0))</f>
        <v>2.8225E-2</v>
      </c>
      <c r="H16" cm="1">
        <f t="array" ref="H16">INDEX($P$2:$X$60, MATCH(1, ($P$2:$P$60=$A16) * ($Q$2:$Q$60=$B16), 0), MATCH(H$3, $P$1:$X$1, 0))</f>
        <v>2.4934000000000001E-2</v>
      </c>
      <c r="I16" cm="1">
        <f t="array" ref="I16">INDEX($P$2:$X$60, MATCH(1, ($P$2:$P$60=$A16) * ($Q$2:$Q$60=$B16), 0), MATCH(I$3, $P$1:$X$1, 0))</f>
        <v>12.486845271516803</v>
      </c>
      <c r="J16" cm="1">
        <f t="array" ref="J16">INDEX($P$2:$X$60, MATCH(1, ($P$2:$P$60=$A16) * ($Q$2:$Q$60=$B16), 0), MATCH(J$3, $P$1:$X$1, 0))</f>
        <v>0.24745327665035693</v>
      </c>
      <c r="K16" cm="1">
        <f t="array" ref="K16">INDEX($P$2:$X$60, MATCH(1, ($P$2:$P$60=$A16) * ($Q$2:$Q$60=$B16), 0), MATCH(K$3, $P$1:$X$1, 0))</f>
        <v>1.1319884495066976</v>
      </c>
      <c r="L16" t="b" cm="1">
        <f t="array" ref="L16">INDEX($AA$2:$AC$60, MATCH(1, ($P$2:$P$60=$A16) * ($Q$2:$Q$60=$B16), 0), MATCH(I$3, $AA$1:$AC$1, 0))</f>
        <v>1</v>
      </c>
      <c r="M16" t="b" cm="1">
        <f t="array" ref="M16">INDEX($AA$2:$AC$60, MATCH(1, ($P$2:$P$60=$A16) * ($Q$2:$Q$60=$B16), 0), MATCH(J$3, $AA$1:$AC$1, 0))</f>
        <v>1</v>
      </c>
      <c r="N16" t="b" cm="1">
        <f t="array" ref="N16">INDEX($AA$2:$AC$60, MATCH(1, ($P$2:$P$60=$A16) * ($Q$2:$Q$60=$B16), 0), MATCH(K$3, $AA$1:$AC$1, 0))</f>
        <v>0</v>
      </c>
      <c r="P16" s="6" t="s">
        <v>65</v>
      </c>
      <c r="Q16" s="6" t="s">
        <v>52</v>
      </c>
      <c r="R16">
        <f>small!M15</f>
        <v>1.6160999999999998E-2</v>
      </c>
      <c r="S16">
        <f>small!N15</f>
        <v>8.4973999999999994E-2</v>
      </c>
      <c r="T16">
        <f>small!O15</f>
        <v>2.6059999999999998E-3</v>
      </c>
      <c r="U16">
        <f>small!P15</f>
        <v>1.2428E-2</v>
      </c>
      <c r="V16">
        <f>small!U15</f>
        <v>6.8373028644995166</v>
      </c>
      <c r="W16">
        <f>small!V15</f>
        <v>0.20968780173801094</v>
      </c>
      <c r="X16">
        <f>small!W15</f>
        <v>1.30037013196009</v>
      </c>
      <c r="Y16">
        <v>3</v>
      </c>
      <c r="AA16" t="b">
        <f>small!X38</f>
        <v>1</v>
      </c>
      <c r="AB16" t="b">
        <f>small!Y38</f>
        <v>1</v>
      </c>
      <c r="AC16" t="b">
        <f>small!Z38</f>
        <v>0</v>
      </c>
      <c r="AJ16" s="5" t="s">
        <v>48</v>
      </c>
      <c r="AK16">
        <v>5</v>
      </c>
      <c r="AL16">
        <v>5</v>
      </c>
    </row>
    <row r="17" spans="1:38" x14ac:dyDescent="0.2">
      <c r="A17" t="s">
        <v>67</v>
      </c>
      <c r="B17" s="3" t="s">
        <v>37</v>
      </c>
      <c r="C17" s="11" t="s">
        <v>73</v>
      </c>
      <c r="D17" s="6" cm="1">
        <f t="array" ref="D17">IF(ISBLANK(INDEX($P$2:$Y$60, MATCH(1, ($P$2:$P$60=$A17) * ($Q$2:$Q$60=$B17), 0), MATCH(D$3, $P$1:$Y$1, 0))), "-", INDEX($P$2:$Y$60, MATCH(1, ($P$2:$P$60=$A17) * ($Q$2:$Q$60=$B17), 0), MATCH(D$3, $P$1:$Y$1, 0)))</f>
        <v>1</v>
      </c>
      <c r="E17" t="e" cm="1">
        <f t="array" ref="E17">INDEX($P$2:$X$60, MATCH(1, ($P$2:$P$60=$A17) * ($Q$2:$Q$60=$B17), 0), MATCH(E$3, $P$1:$X$1, 0))</f>
        <v>#N/A</v>
      </c>
      <c r="F17" cm="1">
        <f t="array" ref="F17">INDEX($P$2:$X$60, MATCH(1, ($P$2:$P$60=$A17) * ($Q$2:$Q$60=$B17), 0), MATCH(F$3, $P$1:$X$1, 0))</f>
        <v>5.4288999999999997E-2</v>
      </c>
      <c r="G17" cm="1">
        <f t="array" ref="G17">INDEX($P$2:$X$60, MATCH(1, ($P$2:$P$60=$A17) * ($Q$2:$Q$60=$B17), 0), MATCH(G$3, $P$1:$X$1, 0))</f>
        <v>1.9879999999999998E-2</v>
      </c>
      <c r="H17" cm="1">
        <f t="array" ref="H17">INDEX($P$2:$X$60, MATCH(1, ($P$2:$P$60=$A17) * ($Q$2:$Q$60=$B17), 0), MATCH(H$3, $P$1:$X$1, 0))</f>
        <v>1.6522999999999999E-2</v>
      </c>
      <c r="I17" cm="1">
        <f t="array" ref="I17">INDEX($P$2:$X$60, MATCH(1, ($P$2:$P$60=$A17) * ($Q$2:$Q$60=$B17), 0), MATCH(I$3, $P$1:$X$1, 0))</f>
        <v>3.2856624099739755</v>
      </c>
      <c r="J17" t="str" cm="1">
        <f t="array" ref="J17">INDEX($P$2:$X$60, MATCH(1, ($P$2:$P$60=$A17) * ($Q$2:$Q$60=$B17), 0), MATCH(J$3, $P$1:$X$1, 0))</f>
        <v>DNF</v>
      </c>
      <c r="K17" cm="1">
        <f t="array" ref="K17">INDEX($P$2:$X$60, MATCH(1, ($P$2:$P$60=$A17) * ($Q$2:$Q$60=$B17), 0), MATCH(K$3, $P$1:$X$1, 0))</f>
        <v>1.2031713369242873</v>
      </c>
      <c r="L17" t="b" cm="1">
        <f t="array" ref="L17">INDEX($AA$2:$AC$60, MATCH(1, ($P$2:$P$60=$A17) * ($Q$2:$Q$60=$B17), 0), MATCH(I$3, $AA$1:$AC$1, 0))</f>
        <v>1</v>
      </c>
      <c r="M17" t="b" cm="1">
        <f t="array" ref="M17">INDEX($AA$2:$AC$60, MATCH(1, ($P$2:$P$60=$A17) * ($Q$2:$Q$60=$B17), 0), MATCH(J$3, $AA$1:$AC$1, 0))</f>
        <v>1</v>
      </c>
      <c r="N17" t="b" cm="1">
        <f t="array" ref="N17">INDEX($AA$2:$AC$60, MATCH(1, ($P$2:$P$60=$A17) * ($Q$2:$Q$60=$B17), 0), MATCH(K$3, $AA$1:$AC$1, 0))</f>
        <v>0</v>
      </c>
      <c r="P17" s="6" t="s">
        <v>65</v>
      </c>
      <c r="Q17" s="6" t="s">
        <v>54</v>
      </c>
      <c r="R17">
        <f>small!M16</f>
        <v>8.5100000000000002E-3</v>
      </c>
      <c r="S17">
        <f>small!N16</f>
        <v>6.8136000000000002E-2</v>
      </c>
      <c r="T17">
        <f>small!O16</f>
        <v>2.5100000000000001E-3</v>
      </c>
      <c r="U17">
        <f>small!P16</f>
        <v>8.6239999999999997E-3</v>
      </c>
      <c r="V17">
        <f>small!U16</f>
        <v>7.9007421150278301</v>
      </c>
      <c r="W17">
        <f>small!V16</f>
        <v>0.29104823747680891</v>
      </c>
      <c r="X17">
        <f>small!W16</f>
        <v>0.98678107606679044</v>
      </c>
      <c r="Y17">
        <v>5</v>
      </c>
      <c r="AA17" t="b">
        <f>small!X39</f>
        <v>1</v>
      </c>
      <c r="AB17" t="b">
        <f>small!Y39</f>
        <v>0</v>
      </c>
      <c r="AC17" t="b">
        <f>small!Z39</f>
        <v>0</v>
      </c>
      <c r="AJ17" s="5" t="s">
        <v>51</v>
      </c>
      <c r="AK17">
        <v>3</v>
      </c>
      <c r="AL17">
        <v>3</v>
      </c>
    </row>
    <row r="18" spans="1:38" x14ac:dyDescent="0.2">
      <c r="A18" t="s">
        <v>69</v>
      </c>
      <c r="B18" s="3" t="s">
        <v>37</v>
      </c>
      <c r="C18" s="11" t="s">
        <v>78</v>
      </c>
      <c r="D18" s="6" cm="1">
        <f t="array" ref="D18">IF(ISBLANK(INDEX($P$2:$Y$60, MATCH(1, ($P$2:$P$60=$A18) * ($Q$2:$Q$60=$B18), 0), MATCH(D$3, $P$1:$Y$1, 0))), "-", INDEX($P$2:$Y$60, MATCH(1, ($P$2:$P$60=$A18) * ($Q$2:$Q$60=$B18), 0), MATCH(D$3, $P$1:$Y$1, 0)))</f>
        <v>1</v>
      </c>
      <c r="E18" t="e" cm="1">
        <f t="array" ref="E18">INDEX($P$2:$X$60, MATCH(1, ($P$2:$P$60=$A18) * ($Q$2:$Q$60=$B18), 0), MATCH(E$3, $P$1:$X$1, 0))</f>
        <v>#N/A</v>
      </c>
      <c r="F18" cm="1">
        <f t="array" ref="F18">INDEX($P$2:$X$60, MATCH(1, ($P$2:$P$60=$A18) * ($Q$2:$Q$60=$B18), 0), MATCH(F$3, $P$1:$X$1, 0))</f>
        <v>5.9309000000000001E-2</v>
      </c>
      <c r="G18" cm="1">
        <f t="array" ref="G18">INDEX($P$2:$X$60, MATCH(1, ($P$2:$P$60=$A18) * ($Q$2:$Q$60=$B18), 0), MATCH(G$3, $P$1:$X$1, 0))</f>
        <v>2.3800000000000002E-2</v>
      </c>
      <c r="H18" cm="1">
        <f t="array" ref="H18">INDEX($P$2:$X$60, MATCH(1, ($P$2:$P$60=$A18) * ($Q$2:$Q$60=$B18), 0), MATCH(H$3, $P$1:$X$1, 0))</f>
        <v>1.9702000000000001E-2</v>
      </c>
      <c r="I18" cm="1">
        <f t="array" ref="I18">INDEX($P$2:$X$60, MATCH(1, ($P$2:$P$60=$A18) * ($Q$2:$Q$60=$B18), 0), MATCH(I$3, $P$1:$X$1, 0))</f>
        <v>3.0103035224850268</v>
      </c>
      <c r="J18" t="str" cm="1">
        <f t="array" ref="J18">INDEX($P$2:$X$60, MATCH(1, ($P$2:$P$60=$A18) * ($Q$2:$Q$60=$B18), 0), MATCH(J$3, $P$1:$X$1, 0))</f>
        <v>DNF</v>
      </c>
      <c r="K18" cm="1">
        <f t="array" ref="K18">INDEX($P$2:$X$60, MATCH(1, ($P$2:$P$60=$A18) * ($Q$2:$Q$60=$B18), 0), MATCH(K$3, $P$1:$X$1, 0))</f>
        <v>1.2079991878997056</v>
      </c>
      <c r="L18" t="b" cm="1">
        <f t="array" ref="L18">INDEX($AA$2:$AC$60, MATCH(1, ($P$2:$P$60=$A18) * ($Q$2:$Q$60=$B18), 0), MATCH(I$3, $AA$1:$AC$1, 0))</f>
        <v>1</v>
      </c>
      <c r="M18" t="b" cm="1">
        <f t="array" ref="M18">INDEX($AA$2:$AC$60, MATCH(1, ($P$2:$P$60=$A18) * ($Q$2:$Q$60=$B18), 0), MATCH(J$3, $AA$1:$AC$1, 0))</f>
        <v>1</v>
      </c>
      <c r="N18" t="b" cm="1">
        <f t="array" ref="N18">INDEX($AA$2:$AC$60, MATCH(1, ($P$2:$P$60=$A18) * ($Q$2:$Q$60=$B18), 0), MATCH(K$3, $AA$1:$AC$1, 0))</f>
        <v>0</v>
      </c>
      <c r="P18" s="6" t="s">
        <v>65</v>
      </c>
      <c r="Q18" s="6" t="s">
        <v>55</v>
      </c>
      <c r="R18">
        <f>small!M17</f>
        <v>6.8710000000000004E-3</v>
      </c>
      <c r="S18">
        <f>small!N17</f>
        <v>3.0762000000000001E-2</v>
      </c>
      <c r="T18">
        <f>small!O17</f>
        <v>1.4760000000000001E-3</v>
      </c>
      <c r="U18">
        <f>small!P17</f>
        <v>4.9890000000000004E-3</v>
      </c>
      <c r="V18">
        <f>small!U17</f>
        <v>6.1659651232711967</v>
      </c>
      <c r="W18">
        <f>small!V17</f>
        <v>0.29585087191822007</v>
      </c>
      <c r="X18">
        <f>small!W17</f>
        <v>1.377229905792744</v>
      </c>
      <c r="Y18">
        <v>2</v>
      </c>
      <c r="AA18" t="b">
        <f>small!X40</f>
        <v>1</v>
      </c>
      <c r="AB18" t="b">
        <f>small!Y40</f>
        <v>1</v>
      </c>
      <c r="AC18" t="b">
        <f>small!Z40</f>
        <v>0</v>
      </c>
      <c r="AJ18" s="5" t="s">
        <v>26</v>
      </c>
      <c r="AK18">
        <v>5</v>
      </c>
      <c r="AL18">
        <v>5</v>
      </c>
    </row>
    <row r="19" spans="1:38" x14ac:dyDescent="0.2">
      <c r="A19" t="s">
        <v>65</v>
      </c>
      <c r="B19" s="3" t="s">
        <v>38</v>
      </c>
      <c r="C19" t="s">
        <v>66</v>
      </c>
      <c r="D19" s="6" cm="1">
        <f t="array" ref="D19">IF(ISBLANK(INDEX($P$2:$Y$60, MATCH(1, ($P$2:$P$60=$A19) * ($Q$2:$Q$60=$B19), 0), MATCH(D$3, $P$1:$Y$1, 0))), "", INDEX($P$2:$Y$60, MATCH(1, ($P$2:$P$60=$A19) * ($Q$2:$Q$60=$B19), 0), MATCH(D$3, $P$1:$Y$1, 0)))</f>
        <v>3</v>
      </c>
      <c r="E19" cm="1">
        <f t="array" ref="E19">INDEX($P$2:$X$60, MATCH(1, ($P$2:$P$60=$A19) * ($Q$2:$Q$60=$B19), 0), MATCH(E$3, $P$1:$X$1, 0))</f>
        <v>2.4269999999999999E-3</v>
      </c>
      <c r="F19" cm="1">
        <f t="array" ref="F19">INDEX($P$2:$X$60, MATCH(1, ($P$2:$P$60=$A19) * ($Q$2:$Q$60=$B19), 0), MATCH(F$3, $P$1:$X$1, 0))</f>
        <v>7.0066000000000003E-2</v>
      </c>
      <c r="G19" cm="1">
        <f t="array" ref="G19">INDEX($P$2:$X$60, MATCH(1, ($P$2:$P$60=$A19) * ($Q$2:$Q$60=$B19), 0), MATCH(G$3, $P$1:$X$1, 0))</f>
        <v>1.1313999999999999E-2</v>
      </c>
      <c r="H19" cm="1">
        <f t="array" ref="H19">INDEX($P$2:$X$60, MATCH(1, ($P$2:$P$60=$A19) * ($Q$2:$Q$60=$B19), 0), MATCH(H$3, $P$1:$X$1, 0))</f>
        <v>9.2339999999999992E-3</v>
      </c>
      <c r="I19" cm="1">
        <f t="array" ref="I19">INDEX($P$2:$X$60, MATCH(1, ($P$2:$P$60=$A19) * ($Q$2:$Q$60=$B19), 0), MATCH(I$3, $P$1:$X$1, 0))</f>
        <v>7.5878275936755477</v>
      </c>
      <c r="J19" cm="1">
        <f t="array" ref="J19">INDEX($P$2:$X$60, MATCH(1, ($P$2:$P$60=$A19) * ($Q$2:$Q$60=$B19), 0), MATCH(J$3, $P$1:$X$1, 0))</f>
        <v>0.26283300844704355</v>
      </c>
      <c r="K19" cm="1">
        <f t="array" ref="K19">INDEX($P$2:$X$60, MATCH(1, ($P$2:$P$60=$A19) * ($Q$2:$Q$60=$B19), 0), MATCH(K$3, $P$1:$X$1, 0))</f>
        <v>1.2252544942603423</v>
      </c>
      <c r="L19" t="b" cm="1">
        <f t="array" ref="L19">INDEX($AA$2:$AC$60, MATCH(1, ($P$2:$P$60=$A19) * ($Q$2:$Q$60=$B19), 0), MATCH(I$3, $AA$1:$AC$1, 0))</f>
        <v>1</v>
      </c>
      <c r="M19" t="b" cm="1">
        <f t="array" ref="M19">INDEX($AA$2:$AC$60, MATCH(1, ($P$2:$P$60=$A19) * ($Q$2:$Q$60=$B19), 0), MATCH(J$3, $AA$1:$AC$1, 0))</f>
        <v>1</v>
      </c>
      <c r="N19" t="b" cm="1">
        <f t="array" ref="N19">INDEX($AA$2:$AC$60, MATCH(1, ($P$2:$P$60=$A19) * ($Q$2:$Q$60=$B19), 0), MATCH(K$3, $AA$1:$AC$1, 0))</f>
        <v>0</v>
      </c>
      <c r="P19" s="6" t="s">
        <v>65</v>
      </c>
      <c r="Q19" s="6" t="s">
        <v>56</v>
      </c>
      <c r="R19">
        <f>small!M18</f>
        <v>1.1426E-2</v>
      </c>
      <c r="S19">
        <f>small!N18</f>
        <v>0.15992999999999999</v>
      </c>
      <c r="T19">
        <f>small!O18</f>
        <v>2.8660000000000001E-3</v>
      </c>
      <c r="U19">
        <f>small!P18</f>
        <v>8.2719999999999998E-3</v>
      </c>
      <c r="V19">
        <f>small!U18</f>
        <v>19.333897485493228</v>
      </c>
      <c r="W19">
        <f>small!V18</f>
        <v>0.34647001934235977</v>
      </c>
      <c r="X19">
        <f>small!W18</f>
        <v>1.3812862669245649</v>
      </c>
      <c r="Y19">
        <v>7</v>
      </c>
      <c r="AA19" t="b">
        <f>small!X41</f>
        <v>1</v>
      </c>
      <c r="AB19" t="b">
        <f>small!Y41</f>
        <v>1</v>
      </c>
      <c r="AC19" t="b">
        <f>small!Z41</f>
        <v>0</v>
      </c>
      <c r="AJ19" s="5" t="s">
        <v>30</v>
      </c>
      <c r="AK19">
        <v>2</v>
      </c>
      <c r="AL19">
        <v>2</v>
      </c>
    </row>
    <row r="20" spans="1:38" x14ac:dyDescent="0.2">
      <c r="A20" t="s">
        <v>67</v>
      </c>
      <c r="B20" s="3" t="s">
        <v>38</v>
      </c>
      <c r="C20" t="s">
        <v>74</v>
      </c>
      <c r="D20" s="6" cm="1">
        <f t="array" ref="D20">IF(ISBLANK(INDEX($P$2:$Y$60, MATCH(1, ($P$2:$P$60=$A20) * ($Q$2:$Q$60=$B20), 0), MATCH(D$3, $P$1:$Y$1, 0))), "-", INDEX($P$2:$Y$60, MATCH(1, ($P$2:$P$60=$A20) * ($Q$2:$Q$60=$B20), 0), MATCH(D$3, $P$1:$Y$1, 0)))</f>
        <v>3</v>
      </c>
      <c r="E20" cm="1">
        <f t="array" ref="E20">INDEX($P$2:$X$60, MATCH(1, ($P$2:$P$60=$A20) * ($Q$2:$Q$60=$B20), 0), MATCH(E$3, $P$1:$X$1, 0))</f>
        <v>13.838817000000001</v>
      </c>
      <c r="F20" cm="1">
        <f t="array" ref="F20">INDEX($P$2:$X$60, MATCH(1, ($P$2:$P$60=$A20) * ($Q$2:$Q$60=$B20), 0), MATCH(F$3, $P$1:$X$1, 0))</f>
        <v>0.76590000000000003</v>
      </c>
      <c r="G20" cm="1">
        <f t="array" ref="G20">INDEX($P$2:$X$60, MATCH(1, ($P$2:$P$60=$A20) * ($Q$2:$Q$60=$B20), 0), MATCH(G$3, $P$1:$X$1, 0))</f>
        <v>0.29500500000000002</v>
      </c>
      <c r="H20" cm="1">
        <f t="array" ref="H20">INDEX($P$2:$X$60, MATCH(1, ($P$2:$P$60=$A20) * ($Q$2:$Q$60=$B20), 0), MATCH(H$3, $P$1:$X$1, 0))</f>
        <v>0.29999700000000001</v>
      </c>
      <c r="I20" cm="1">
        <f t="array" ref="I20">INDEX($P$2:$X$60, MATCH(1, ($P$2:$P$60=$A20) * ($Q$2:$Q$60=$B20), 0), MATCH(I$3, $P$1:$X$1, 0))</f>
        <v>2.5530255302553027</v>
      </c>
      <c r="J20" cm="1">
        <f t="array" ref="J20">INDEX($P$2:$X$60, MATCH(1, ($P$2:$P$60=$A20) * ($Q$2:$Q$60=$B20), 0), MATCH(J$3, $P$1:$X$1, 0))</f>
        <v>46.129851298512982</v>
      </c>
      <c r="K20" cm="1">
        <f t="array" ref="K20">INDEX($P$2:$X$60, MATCH(1, ($P$2:$P$60=$A20) * ($Q$2:$Q$60=$B20), 0), MATCH(K$3, $P$1:$X$1, 0))</f>
        <v>0.98335983359833601</v>
      </c>
      <c r="L20" t="b" cm="1">
        <f t="array" ref="L20">INDEX($AA$2:$AC$60, MATCH(1, ($P$2:$P$60=$A20) * ($Q$2:$Q$60=$B20), 0), MATCH(I$3, $AA$1:$AC$1, 0))</f>
        <v>1</v>
      </c>
      <c r="M20" t="b" cm="1">
        <f t="array" ref="M20">INDEX($AA$2:$AC$60, MATCH(1, ($P$2:$P$60=$A20) * ($Q$2:$Q$60=$B20), 0), MATCH(J$3, $AA$1:$AC$1, 0))</f>
        <v>1</v>
      </c>
      <c r="N20" t="b" cm="1">
        <f t="array" ref="N20">INDEX($AA$2:$AC$60, MATCH(1, ($P$2:$P$60=$A20) * ($Q$2:$Q$60=$B20), 0), MATCH(K$3, $AA$1:$AC$1, 0))</f>
        <v>0</v>
      </c>
      <c r="AJ20" s="5" t="s">
        <v>53</v>
      </c>
      <c r="AK20">
        <v>7</v>
      </c>
      <c r="AL20">
        <v>7</v>
      </c>
    </row>
    <row r="21" spans="1:38" x14ac:dyDescent="0.2">
      <c r="A21" t="s">
        <v>69</v>
      </c>
      <c r="B21" s="3" t="s">
        <v>38</v>
      </c>
      <c r="C21" t="s">
        <v>105</v>
      </c>
      <c r="D21" s="6" cm="1">
        <f t="array" ref="D21">IF(ISBLANK(INDEX($P$2:$Y$60, MATCH(1, ($P$2:$P$60=$A21) * ($Q$2:$Q$60=$B21), 0), MATCH(D$3, $P$1:$Y$1, 0))), "-", INDEX($P$2:$Y$60, MATCH(1, ($P$2:$P$60=$A21) * ($Q$2:$Q$60=$B21), 0), MATCH(D$3, $P$1:$Y$1, 0)))</f>
        <v>3</v>
      </c>
      <c r="E21" cm="1">
        <f t="array" ref="E21">INDEX($P$2:$X$60, MATCH(1, ($P$2:$P$60=$A21) * ($Q$2:$Q$60=$B21), 0), MATCH(E$3, $P$1:$X$1, 0))</f>
        <v>40.566226999999998</v>
      </c>
      <c r="F21" cm="1">
        <f t="array" ref="F21">INDEX($P$2:$X$60, MATCH(1, ($P$2:$P$60=$A21) * ($Q$2:$Q$60=$B21), 0), MATCH(F$3, $P$1:$X$1, 0))</f>
        <v>1.0160309999999999</v>
      </c>
      <c r="G21" cm="1">
        <f t="array" ref="G21">INDEX($P$2:$X$60, MATCH(1, ($P$2:$P$60=$A21) * ($Q$2:$Q$60=$B21), 0), MATCH(G$3, $P$1:$X$1, 0))</f>
        <v>0.83143599999999995</v>
      </c>
      <c r="H21" cm="1">
        <f t="array" ref="H21">INDEX($P$2:$X$60, MATCH(1, ($P$2:$P$60=$A21) * ($Q$2:$Q$60=$B21), 0), MATCH(H$3, $P$1:$X$1, 0))</f>
        <v>0.78751300000000002</v>
      </c>
      <c r="I21" cm="1">
        <f t="array" ref="I21">INDEX($P$2:$X$60, MATCH(1, ($P$2:$P$60=$A21) * ($Q$2:$Q$60=$B21), 0), MATCH(I$3, $P$1:$X$1, 0))</f>
        <v>1.2901767970814448</v>
      </c>
      <c r="J21" cm="1">
        <f t="array" ref="J21">INDEX($P$2:$X$60, MATCH(1, ($P$2:$P$60=$A21) * ($Q$2:$Q$60=$B21), 0), MATCH(J$3, $P$1:$X$1, 0))</f>
        <v>51.511818852514175</v>
      </c>
      <c r="K21" cm="1">
        <f t="array" ref="K21">INDEX($P$2:$X$60, MATCH(1, ($P$2:$P$60=$A21) * ($Q$2:$Q$60=$B21), 0), MATCH(K$3, $P$1:$X$1, 0))</f>
        <v>1.0557743173763481</v>
      </c>
      <c r="L21" t="b" cm="1">
        <f t="array" ref="L21">INDEX($AA$2:$AC$60, MATCH(1, ($P$2:$P$60=$A21) * ($Q$2:$Q$60=$B21), 0), MATCH(I$3, $AA$1:$AC$1, 0))</f>
        <v>1</v>
      </c>
      <c r="M21" t="b" cm="1">
        <f t="array" ref="M21">INDEX($AA$2:$AC$60, MATCH(1, ($P$2:$P$60=$A21) * ($Q$2:$Q$60=$B21), 0), MATCH(J$3, $AA$1:$AC$1, 0))</f>
        <v>1</v>
      </c>
      <c r="N21" t="b" cm="1">
        <f t="array" ref="N21">INDEX($AA$2:$AC$60, MATCH(1, ($P$2:$P$60=$A21) * ($Q$2:$Q$60=$B21), 0), MATCH(K$3, $AA$1:$AC$1, 0))</f>
        <v>0</v>
      </c>
    </row>
    <row r="22" spans="1:38" x14ac:dyDescent="0.2">
      <c r="A22" t="s">
        <v>65</v>
      </c>
      <c r="B22" s="3" t="s">
        <v>40</v>
      </c>
      <c r="C22" t="s">
        <v>66</v>
      </c>
      <c r="D22" s="6" cm="1">
        <f t="array" ref="D22">IF(ISBLANK(INDEX($P$2:$Y$60, MATCH(1, ($P$2:$P$60=$A22) * ($Q$2:$Q$60=$B22), 0), MATCH(D$3, $P$1:$Y$1, 0))), "", INDEX($P$2:$Y$60, MATCH(1, ($P$2:$P$60=$A22) * ($Q$2:$Q$60=$B22), 0), MATCH(D$3, $P$1:$Y$1, 0)))</f>
        <v>5</v>
      </c>
      <c r="E22" cm="1">
        <f t="array" ref="E22">INDEX($P$2:$X$60, MATCH(1, ($P$2:$P$60=$A22) * ($Q$2:$Q$60=$B22), 0), MATCH(E$3, $P$1:$X$1, 0))</f>
        <v>2.7550000000000001E-3</v>
      </c>
      <c r="F22" cm="1">
        <f t="array" ref="F22">INDEX($P$2:$X$60, MATCH(1, ($P$2:$P$60=$A22) * ($Q$2:$Q$60=$B22), 0), MATCH(F$3, $P$1:$X$1, 0))</f>
        <v>0.17114599999999999</v>
      </c>
      <c r="G22" cm="1">
        <f t="array" ref="G22">INDEX($P$2:$X$60, MATCH(1, ($P$2:$P$60=$A22) * ($Q$2:$Q$60=$B22), 0), MATCH(G$3, $P$1:$X$1, 0))</f>
        <v>2.3838000000000002E-2</v>
      </c>
      <c r="H22" cm="1">
        <f t="array" ref="H22">INDEX($P$2:$X$60, MATCH(1, ($P$2:$P$60=$A22) * ($Q$2:$Q$60=$B22), 0), MATCH(H$3, $P$1:$X$1, 0))</f>
        <v>1.8013999999999999E-2</v>
      </c>
      <c r="I22" cm="1">
        <f t="array" ref="I22">INDEX($P$2:$X$60, MATCH(1, ($P$2:$P$60=$A22) * ($Q$2:$Q$60=$B22), 0), MATCH(I$3, $P$1:$X$1, 0))</f>
        <v>9.5007216609303882</v>
      </c>
      <c r="J22" cm="1">
        <f t="array" ref="J22">INDEX($P$2:$X$60, MATCH(1, ($P$2:$P$60=$A22) * ($Q$2:$Q$60=$B22), 0), MATCH(J$3, $P$1:$X$1, 0))</f>
        <v>0.15293660486288443</v>
      </c>
      <c r="K22" cm="1">
        <f t="array" ref="K22">INDEX($P$2:$X$60, MATCH(1, ($P$2:$P$60=$A22) * ($Q$2:$Q$60=$B22), 0), MATCH(K$3, $P$1:$X$1, 0))</f>
        <v>1.3233040968135896</v>
      </c>
      <c r="L22" t="b" cm="1">
        <f t="array" ref="L22">INDEX($AA$2:$AC$60, MATCH(1, ($P$2:$P$60=$A22) * ($Q$2:$Q$60=$B22), 0), MATCH(I$3, $AA$1:$AC$1, 0))</f>
        <v>1</v>
      </c>
      <c r="M22" t="b" cm="1">
        <f t="array" ref="M22">INDEX($AA$2:$AC$60, MATCH(1, ($P$2:$P$60=$A22) * ($Q$2:$Q$60=$B22), 0), MATCH(J$3, $AA$1:$AC$1, 0))</f>
        <v>1</v>
      </c>
      <c r="N22" t="b" cm="1">
        <f t="array" ref="N22">INDEX($AA$2:$AC$60, MATCH(1, ($P$2:$P$60=$A22) * ($Q$2:$Q$60=$B22), 0), MATCH(K$3, $AA$1:$AC$1, 0))</f>
        <v>0</v>
      </c>
    </row>
    <row r="23" spans="1:38" x14ac:dyDescent="0.2">
      <c r="A23" t="s">
        <v>67</v>
      </c>
      <c r="B23" s="3" t="s">
        <v>40</v>
      </c>
      <c r="C23" t="s">
        <v>76</v>
      </c>
      <c r="D23" s="6" cm="1">
        <f t="array" ref="D23">IF(ISBLANK(INDEX($P$2:$Y$60, MATCH(1, ($P$2:$P$60=$A23) * ($Q$2:$Q$60=$B23), 0), MATCH(D$3, $P$1:$Y$1, 0))), "-", INDEX($P$2:$Y$60, MATCH(1, ($P$2:$P$60=$A23) * ($Q$2:$Q$60=$B23), 0), MATCH(D$3, $P$1:$Y$1, 0)))</f>
        <v>11</v>
      </c>
      <c r="E23" t="e" cm="1">
        <f t="array" ref="E23">INDEX($P$2:$X$60, MATCH(1, ($P$2:$P$60=$A23) * ($Q$2:$Q$60=$B23), 0), MATCH(E$3, $P$1:$X$1, 0))</f>
        <v>#N/A</v>
      </c>
      <c r="F23" cm="1">
        <f t="array" ref="F23">INDEX($P$2:$X$60, MATCH(1, ($P$2:$P$60=$A23) * ($Q$2:$Q$60=$B23), 0), MATCH(F$3, $P$1:$X$1, 0))</f>
        <v>5.7115309999999999</v>
      </c>
      <c r="G23" cm="1">
        <f t="array" ref="G23">INDEX($P$2:$X$60, MATCH(1, ($P$2:$P$60=$A23) * ($Q$2:$Q$60=$B23), 0), MATCH(G$3, $P$1:$X$1, 0))</f>
        <v>1.06881</v>
      </c>
      <c r="H23" cm="1">
        <f t="array" ref="H23">INDEX($P$2:$X$60, MATCH(1, ($P$2:$P$60=$A23) * ($Q$2:$Q$60=$B23), 0), MATCH(H$3, $P$1:$X$1, 0))</f>
        <v>1.109318</v>
      </c>
      <c r="I23" cm="1">
        <f t="array" ref="I23">INDEX($P$2:$X$60, MATCH(1, ($P$2:$P$60=$A23) * ($Q$2:$Q$60=$B23), 0), MATCH(I$3, $P$1:$X$1, 0))</f>
        <v>5.1486868508398853</v>
      </c>
      <c r="J23" t="str" cm="1">
        <f t="array" ref="J23">INDEX($P$2:$X$60, MATCH(1, ($P$2:$P$60=$A23) * ($Q$2:$Q$60=$B23), 0), MATCH(J$3, $P$1:$X$1, 0))</f>
        <v>DNF</v>
      </c>
      <c r="K23" cm="1">
        <f t="array" ref="K23">INDEX($P$2:$X$60, MATCH(1, ($P$2:$P$60=$A23) * ($Q$2:$Q$60=$B23), 0), MATCH(K$3, $P$1:$X$1, 0))</f>
        <v>0.9634838702698415</v>
      </c>
      <c r="L23" t="b" cm="1">
        <f t="array" ref="L23">INDEX($AA$2:$AC$60, MATCH(1, ($P$2:$P$60=$A23) * ($Q$2:$Q$60=$B23), 0), MATCH(I$3, $AA$1:$AC$1, 0))</f>
        <v>1</v>
      </c>
      <c r="M23" t="b" cm="1">
        <f t="array" ref="M23">INDEX($AA$2:$AC$60, MATCH(1, ($P$2:$P$60=$A23) * ($Q$2:$Q$60=$B23), 0), MATCH(J$3, $AA$1:$AC$1, 0))</f>
        <v>1</v>
      </c>
      <c r="N23" t="b" cm="1">
        <f t="array" ref="N23">INDEX($AA$2:$AC$60, MATCH(1, ($P$2:$P$60=$A23) * ($Q$2:$Q$60=$B23), 0), MATCH(K$3, $AA$1:$AC$1, 0))</f>
        <v>0</v>
      </c>
      <c r="P23" s="6" t="s">
        <v>31</v>
      </c>
      <c r="Q23" s="6"/>
    </row>
    <row r="24" spans="1:38" x14ac:dyDescent="0.2">
      <c r="A24" t="s">
        <v>69</v>
      </c>
      <c r="B24" s="3" t="s">
        <v>40</v>
      </c>
      <c r="C24" t="s">
        <v>68</v>
      </c>
      <c r="D24" s="6" cm="1">
        <f t="array" ref="D24">IF(ISBLANK(INDEX($P$2:$Y$60, MATCH(1, ($P$2:$P$60=$A24) * ($Q$2:$Q$60=$B24), 0), MATCH(D$3, $P$1:$Y$1, 0))), "-", INDEX($P$2:$Y$60, MATCH(1, ($P$2:$P$60=$A24) * ($Q$2:$Q$60=$B24), 0), MATCH(D$3, $P$1:$Y$1, 0)))</f>
        <v>14</v>
      </c>
      <c r="E24" t="e" cm="1">
        <f t="array" ref="E24">INDEX($P$2:$X$60, MATCH(1, ($P$2:$P$60=$A24) * ($Q$2:$Q$60=$B24), 0), MATCH(E$3, $P$1:$X$1, 0))</f>
        <v>#N/A</v>
      </c>
      <c r="F24" cm="1">
        <f t="array" ref="F24">INDEX($P$2:$X$60, MATCH(1, ($P$2:$P$60=$A24) * ($Q$2:$Q$60=$B24), 0), MATCH(F$3, $P$1:$X$1, 0))</f>
        <v>318.531181</v>
      </c>
      <c r="G24" cm="1">
        <f t="array" ref="G24">INDEX($P$2:$X$60, MATCH(1, ($P$2:$P$60=$A24) * ($Q$2:$Q$60=$B24), 0), MATCH(G$3, $P$1:$X$1, 0))</f>
        <v>31.674879000000001</v>
      </c>
      <c r="H24" cm="1">
        <f t="array" ref="H24">INDEX($P$2:$X$60, MATCH(1, ($P$2:$P$60=$A24) * ($Q$2:$Q$60=$B24), 0), MATCH(H$3, $P$1:$X$1, 0))</f>
        <v>31.570931000000002</v>
      </c>
      <c r="I24" cm="1">
        <f t="array" ref="I24">INDEX($P$2:$X$60, MATCH(1, ($P$2:$P$60=$A24) * ($Q$2:$Q$60=$B24), 0), MATCH(I$3, $P$1:$X$1, 0))</f>
        <v>10.089381938087286</v>
      </c>
      <c r="J24" t="str" cm="1">
        <f t="array" ref="J24">INDEX($P$2:$X$60, MATCH(1, ($P$2:$P$60=$A24) * ($Q$2:$Q$60=$B24), 0), MATCH(J$3, $P$1:$X$1, 0))</f>
        <v>DNF</v>
      </c>
      <c r="K24" cm="1">
        <f t="array" ref="K24">INDEX($P$2:$X$60, MATCH(1, ($P$2:$P$60=$A24) * ($Q$2:$Q$60=$B24), 0), MATCH(K$3, $P$1:$X$1, 0))</f>
        <v>1.0032925224789855</v>
      </c>
      <c r="L24" t="b" cm="1">
        <f t="array" ref="L24">INDEX($AA$2:$AC$60, MATCH(1, ($P$2:$P$60=$A24) * ($Q$2:$Q$60=$B24), 0), MATCH(I$3, $AA$1:$AC$1, 0))</f>
        <v>1</v>
      </c>
      <c r="M24" t="b" cm="1">
        <f t="array" ref="M24">INDEX($AA$2:$AC$60, MATCH(1, ($P$2:$P$60=$A24) * ($Q$2:$Q$60=$B24), 0), MATCH(J$3, $AA$1:$AC$1, 0))</f>
        <v>1</v>
      </c>
      <c r="N24" t="b" cm="1">
        <f t="array" ref="N24">INDEX($AA$2:$AC$60, MATCH(1, ($P$2:$P$60=$A24) * ($Q$2:$Q$60=$B24), 0), MATCH(K$3, $AA$1:$AC$1, 0))</f>
        <v>0</v>
      </c>
      <c r="P24" s="6" t="s">
        <v>67</v>
      </c>
      <c r="Q24" s="6" t="s">
        <v>25</v>
      </c>
      <c r="R24">
        <f>medium!M3</f>
        <v>0.20930399999999999</v>
      </c>
      <c r="S24">
        <f>medium!N3</f>
        <v>0.42259600000000003</v>
      </c>
      <c r="T24">
        <f>medium!O3</f>
        <v>3.7118329999999999</v>
      </c>
      <c r="U24">
        <f>medium!P3</f>
        <v>0.213615</v>
      </c>
      <c r="V24">
        <f>medium!U3</f>
        <v>1.9783067668468977</v>
      </c>
      <c r="W24">
        <f>medium!V3</f>
        <v>17.376275074315942</v>
      </c>
      <c r="X24">
        <f>medium!W3</f>
        <v>0.97981883294712446</v>
      </c>
      <c r="Y24">
        <v>15</v>
      </c>
      <c r="AA24" t="b">
        <f>medium!X26</f>
        <v>1</v>
      </c>
      <c r="AB24" t="b">
        <f>medium!Y26</f>
        <v>1</v>
      </c>
      <c r="AC24" t="b">
        <f>medium!Z26</f>
        <v>0</v>
      </c>
      <c r="AJ24" t="s">
        <v>59</v>
      </c>
      <c r="AK24" t="s">
        <v>1</v>
      </c>
    </row>
    <row r="25" spans="1:38" x14ac:dyDescent="0.2">
      <c r="A25" t="s">
        <v>65</v>
      </c>
      <c r="B25" s="3" t="s">
        <v>42</v>
      </c>
      <c r="C25" s="11" t="s">
        <v>66</v>
      </c>
      <c r="D25" s="6" cm="1">
        <f t="array" ref="D25">IF(ISBLANK(INDEX($P$2:$Y$60, MATCH(1, ($P$2:$P$60=$A25) * ($Q$2:$Q$60=$B25), 0), MATCH(D$3, $P$1:$Y$1, 0))), "", INDEX($P$2:$Y$60, MATCH(1, ($P$2:$P$60=$A25) * ($Q$2:$Q$60=$B25), 0), MATCH(D$3, $P$1:$Y$1, 0)))</f>
        <v>3</v>
      </c>
      <c r="E25" cm="1">
        <f t="array" ref="E25">INDEX($P$2:$X$60, MATCH(1, ($P$2:$P$60=$A25) * ($Q$2:$Q$60=$B25), 0), MATCH(E$3, $P$1:$X$1, 0))</f>
        <v>1.9889999999999999E-3</v>
      </c>
      <c r="F25" cm="1">
        <f t="array" ref="F25">INDEX($P$2:$X$60, MATCH(1, ($P$2:$P$60=$A25) * ($Q$2:$Q$60=$B25), 0), MATCH(F$3, $P$1:$X$1, 0))</f>
        <v>4.7777E-2</v>
      </c>
      <c r="G25" cm="1">
        <f t="array" ref="G25">INDEX($P$2:$X$60, MATCH(1, ($P$2:$P$60=$A25) * ($Q$2:$Q$60=$B25), 0), MATCH(G$3, $P$1:$X$1, 0))</f>
        <v>6.463E-3</v>
      </c>
      <c r="H25" cm="1">
        <f t="array" ref="H25">INDEX($P$2:$X$60, MATCH(1, ($P$2:$P$60=$A25) * ($Q$2:$Q$60=$B25), 0), MATCH(H$3, $P$1:$X$1, 0))</f>
        <v>5.2269999999999999E-3</v>
      </c>
      <c r="I25" cm="1">
        <f t="array" ref="I25">INDEX($P$2:$X$60, MATCH(1, ($P$2:$P$60=$A25) * ($Q$2:$Q$60=$B25), 0), MATCH(I$3, $P$1:$X$1, 0))</f>
        <v>9.1404247178113636</v>
      </c>
      <c r="J25" cm="1">
        <f t="array" ref="J25">INDEX($P$2:$X$60, MATCH(1, ($P$2:$P$60=$A25) * ($Q$2:$Q$60=$B25), 0), MATCH(J$3, $P$1:$X$1, 0))</f>
        <v>0.38052420126267456</v>
      </c>
      <c r="K25" cm="1">
        <f t="array" ref="K25">INDEX($P$2:$X$60, MATCH(1, ($P$2:$P$60=$A25) * ($Q$2:$Q$60=$B25), 0), MATCH(K$3, $P$1:$X$1, 0))</f>
        <v>1.2364645111918884</v>
      </c>
      <c r="L25" t="b" cm="1">
        <f t="array" ref="L25">INDEX($AA$2:$AC$60, MATCH(1, ($P$2:$P$60=$A25) * ($Q$2:$Q$60=$B25), 0), MATCH(I$3, $AA$1:$AC$1, 0))</f>
        <v>1</v>
      </c>
      <c r="M25" t="b" cm="1">
        <f t="array" ref="M25">INDEX($AA$2:$AC$60, MATCH(1, ($P$2:$P$60=$A25) * ($Q$2:$Q$60=$B25), 0), MATCH(J$3, $AA$1:$AC$1, 0))</f>
        <v>1</v>
      </c>
      <c r="N25" t="b" cm="1">
        <f t="array" ref="N25">INDEX($AA$2:$AC$60, MATCH(1, ($P$2:$P$60=$A25) * ($Q$2:$Q$60=$B25), 0), MATCH(K$3, $AA$1:$AC$1, 0))</f>
        <v>0</v>
      </c>
      <c r="P25" s="6" t="s">
        <v>67</v>
      </c>
      <c r="Q25" s="6" t="s">
        <v>29</v>
      </c>
      <c r="R25">
        <f>medium!M4</f>
        <v>2.0128E-2</v>
      </c>
      <c r="S25">
        <f>medium!N4</f>
        <v>8.6501999999999996E-2</v>
      </c>
      <c r="T25">
        <f>medium!O4</f>
        <v>4.8585609999999999</v>
      </c>
      <c r="U25">
        <f>medium!P4</f>
        <v>1.6421000000000002E-2</v>
      </c>
      <c r="V25">
        <f>medium!U4</f>
        <v>5.2677668838682168</v>
      </c>
      <c r="W25">
        <f>medium!V4</f>
        <v>295.87485536812613</v>
      </c>
      <c r="X25">
        <f>medium!W4</f>
        <v>1.2257475184215334</v>
      </c>
      <c r="Y25">
        <v>4</v>
      </c>
      <c r="AA25" t="b">
        <f>medium!X27</f>
        <v>1</v>
      </c>
      <c r="AB25" t="b">
        <f>medium!Y27</f>
        <v>1</v>
      </c>
      <c r="AC25" t="b">
        <f>medium!Z27</f>
        <v>0</v>
      </c>
      <c r="AJ25" t="s">
        <v>19</v>
      </c>
      <c r="AK25" t="s">
        <v>20</v>
      </c>
    </row>
    <row r="26" spans="1:38" x14ac:dyDescent="0.2">
      <c r="A26" t="s">
        <v>67</v>
      </c>
      <c r="B26" s="3" t="s">
        <v>42</v>
      </c>
      <c r="C26" s="11" t="s">
        <v>90</v>
      </c>
      <c r="D26" s="6" cm="1">
        <f t="array" ref="D26">IF(ISBLANK(INDEX($P$2:$Y$60, MATCH(1, ($P$2:$P$60=$A26) * ($Q$2:$Q$60=$B26), 0), MATCH(D$3, $P$1:$Y$1, 0))), "-", INDEX($P$2:$Y$60, MATCH(1, ($P$2:$P$60=$A26) * ($Q$2:$Q$60=$B26), 0), MATCH(D$3, $P$1:$Y$1, 0)))</f>
        <v>3</v>
      </c>
      <c r="E26" cm="1">
        <f t="array" ref="E26">INDEX($P$2:$X$60, MATCH(1, ($P$2:$P$60=$A26) * ($Q$2:$Q$60=$B26), 0), MATCH(E$3, $P$1:$X$1, 0))</f>
        <v>17.674676000000002</v>
      </c>
      <c r="F26" cm="1">
        <f t="array" ref="F26">INDEX($P$2:$X$60, MATCH(1, ($P$2:$P$60=$A26) * ($Q$2:$Q$60=$B26), 0), MATCH(F$3, $P$1:$X$1, 0))</f>
        <v>5.8332000000000002E-2</v>
      </c>
      <c r="G26" cm="1">
        <f t="array" ref="G26">INDEX($P$2:$X$60, MATCH(1, ($P$2:$P$60=$A26) * ($Q$2:$Q$60=$B26), 0), MATCH(G$3, $P$1:$X$1, 0))</f>
        <v>9.9919999999999991E-3</v>
      </c>
      <c r="H26" cm="1">
        <f t="array" ref="H26">INDEX($P$2:$X$60, MATCH(1, ($P$2:$P$60=$A26) * ($Q$2:$Q$60=$B26), 0), MATCH(H$3, $P$1:$X$1, 0))</f>
        <v>8.3560000000000006E-3</v>
      </c>
      <c r="I26" cm="1">
        <f t="array" ref="I26">INDEX($P$2:$X$60, MATCH(1, ($P$2:$P$60=$A26) * ($Q$2:$Q$60=$B26), 0), MATCH(I$3, $P$1:$X$1, 0))</f>
        <v>6.980852082336046</v>
      </c>
      <c r="J26" cm="1">
        <f t="array" ref="J26">INDEX($P$2:$X$60, MATCH(1, ($P$2:$P$60=$A26) * ($Q$2:$Q$60=$B26), 0), MATCH(J$3, $P$1:$X$1, 0))</f>
        <v>2115.2077549066539</v>
      </c>
      <c r="K26" cm="1">
        <f t="array" ref="K26">INDEX($P$2:$X$60, MATCH(1, ($P$2:$P$60=$A26) * ($Q$2:$Q$60=$B26), 0), MATCH(K$3, $P$1:$X$1, 0))</f>
        <v>1.1957874581139298</v>
      </c>
      <c r="L26" t="b" cm="1">
        <f t="array" ref="L26">INDEX($AA$2:$AC$60, MATCH(1, ($P$2:$P$60=$A26) * ($Q$2:$Q$60=$B26), 0), MATCH(I$3, $AA$1:$AC$1, 0))</f>
        <v>1</v>
      </c>
      <c r="M26" t="b" cm="1">
        <f t="array" ref="M26">INDEX($AA$2:$AC$60, MATCH(1, ($P$2:$P$60=$A26) * ($Q$2:$Q$60=$B26), 0), MATCH(J$3, $AA$1:$AC$1, 0))</f>
        <v>1</v>
      </c>
      <c r="N26" t="b" cm="1">
        <f t="array" ref="N26">INDEX($AA$2:$AC$60, MATCH(1, ($P$2:$P$60=$A26) * ($Q$2:$Q$60=$B26), 0), MATCH(K$3, $AA$1:$AC$1, 0))</f>
        <v>0</v>
      </c>
      <c r="P26" s="6" t="s">
        <v>67</v>
      </c>
      <c r="Q26" s="6" t="s">
        <v>33</v>
      </c>
      <c r="R26">
        <f>medium!M5</f>
        <v>4.7767999999999998E-2</v>
      </c>
      <c r="S26">
        <f>medium!N5</f>
        <v>0.187528</v>
      </c>
      <c r="T26">
        <f>medium!O5</f>
        <v>33.197488999999997</v>
      </c>
      <c r="U26">
        <f>medium!P5</f>
        <v>4.5340999999999999E-2</v>
      </c>
      <c r="V26">
        <f>medium!U5</f>
        <v>4.1359475970975499</v>
      </c>
      <c r="W26">
        <f>medium!V5</f>
        <v>732.17372797247515</v>
      </c>
      <c r="X26">
        <f>medium!W5</f>
        <v>1.0535277122251383</v>
      </c>
      <c r="Y26">
        <v>3</v>
      </c>
      <c r="AA26" t="b">
        <f>medium!X28</f>
        <v>1</v>
      </c>
      <c r="AB26" t="b">
        <f>medium!Y28</f>
        <v>1</v>
      </c>
      <c r="AC26" t="b">
        <f>medium!Z28</f>
        <v>0</v>
      </c>
      <c r="AJ26" s="5" t="s">
        <v>24</v>
      </c>
      <c r="AK26">
        <v>15</v>
      </c>
      <c r="AL26">
        <v>15</v>
      </c>
    </row>
    <row r="27" spans="1:38" x14ac:dyDescent="0.2">
      <c r="A27" t="s">
        <v>69</v>
      </c>
      <c r="B27" s="3" t="s">
        <v>42</v>
      </c>
      <c r="C27" s="11" t="s">
        <v>72</v>
      </c>
      <c r="D27" s="6" cm="1">
        <f t="array" ref="D27">IF(ISBLANK(INDEX($P$2:$Y$60, MATCH(1, ($P$2:$P$60=$A27) * ($Q$2:$Q$60=$B27), 0), MATCH(D$3, $P$1:$Y$1, 0))), "-", INDEX($P$2:$Y$60, MATCH(1, ($P$2:$P$60=$A27) * ($Q$2:$Q$60=$B27), 0), MATCH(D$3, $P$1:$Y$1, 0)))</f>
        <v>5</v>
      </c>
      <c r="E27" cm="1">
        <f t="array" ref="E27">INDEX($P$2:$X$60, MATCH(1, ($P$2:$P$60=$A27) * ($Q$2:$Q$60=$B27), 0), MATCH(E$3, $P$1:$X$1, 0))</f>
        <v>257.40468099999998</v>
      </c>
      <c r="F27" cm="1">
        <f t="array" ref="F27">INDEX($P$2:$X$60, MATCH(1, ($P$2:$P$60=$A27) * ($Q$2:$Q$60=$B27), 0), MATCH(F$3, $P$1:$X$1, 0))</f>
        <v>0.12911900000000001</v>
      </c>
      <c r="G27" cm="1">
        <f t="array" ref="G27">INDEX($P$2:$X$60, MATCH(1, ($P$2:$P$60=$A27) * ($Q$2:$Q$60=$B27), 0), MATCH(G$3, $P$1:$X$1, 0))</f>
        <v>1.3561E-2</v>
      </c>
      <c r="H27" cm="1">
        <f t="array" ref="H27">INDEX($P$2:$X$60, MATCH(1, ($P$2:$P$60=$A27) * ($Q$2:$Q$60=$B27), 0), MATCH(H$3, $P$1:$X$1, 0))</f>
        <v>1.2593E-2</v>
      </c>
      <c r="I27" cm="1">
        <f t="array" ref="I27">INDEX($P$2:$X$60, MATCH(1, ($P$2:$P$60=$A27) * ($Q$2:$Q$60=$B27), 0), MATCH(I$3, $P$1:$X$1, 0))</f>
        <v>10.253235924720084</v>
      </c>
      <c r="J27" cm="1">
        <f t="array" ref="J27">INDEX($P$2:$X$60, MATCH(1, ($P$2:$P$60=$A27) * ($Q$2:$Q$60=$B27), 0), MATCH(J$3, $P$1:$X$1, 0))</f>
        <v>20440.298657984593</v>
      </c>
      <c r="K27" cm="1">
        <f t="array" ref="K27">INDEX($P$2:$X$60, MATCH(1, ($P$2:$P$60=$A27) * ($Q$2:$Q$60=$B27), 0), MATCH(K$3, $P$1:$X$1, 0))</f>
        <v>1.0768681013261336</v>
      </c>
      <c r="L27" t="b" cm="1">
        <f t="array" ref="L27">INDEX($AA$2:$AC$60, MATCH(1, ($P$2:$P$60=$A27) * ($Q$2:$Q$60=$B27), 0), MATCH(I$3, $AA$1:$AC$1, 0))</f>
        <v>1</v>
      </c>
      <c r="M27" t="b" cm="1">
        <f t="array" ref="M27">INDEX($AA$2:$AC$60, MATCH(1, ($P$2:$P$60=$A27) * ($Q$2:$Q$60=$B27), 0), MATCH(J$3, $AA$1:$AC$1, 0))</f>
        <v>1</v>
      </c>
      <c r="N27" t="b" cm="1">
        <f t="array" ref="N27">INDEX($AA$2:$AC$60, MATCH(1, ($P$2:$P$60=$A27) * ($Q$2:$Q$60=$B27), 0), MATCH(K$3, $AA$1:$AC$1, 0))</f>
        <v>0</v>
      </c>
      <c r="P27" s="6" t="s">
        <v>67</v>
      </c>
      <c r="Q27" s="6" t="s">
        <v>35</v>
      </c>
      <c r="R27">
        <f>medium!M6</f>
        <v>8.3239999999999995E-2</v>
      </c>
      <c r="S27">
        <f>medium!N6</f>
        <v>0.56497600000000003</v>
      </c>
      <c r="T27">
        <f>medium!O6</f>
        <v>139.447811</v>
      </c>
      <c r="U27">
        <f>medium!P6</f>
        <v>7.5221999999999997E-2</v>
      </c>
      <c r="V27">
        <f>medium!U6</f>
        <v>7.5107814203291596</v>
      </c>
      <c r="W27">
        <f>medium!V6</f>
        <v>1853.8168487942357</v>
      </c>
      <c r="X27">
        <f>medium!W6</f>
        <v>1.1065911568424132</v>
      </c>
      <c r="Y27">
        <v>5</v>
      </c>
      <c r="AA27" t="b">
        <f>medium!X29</f>
        <v>1</v>
      </c>
      <c r="AB27" t="b">
        <f>medium!Y29</f>
        <v>1</v>
      </c>
      <c r="AC27" t="b">
        <f>medium!Z29</f>
        <v>0</v>
      </c>
      <c r="AF27" s="17"/>
      <c r="AG27" s="17"/>
      <c r="AJ27" s="5" t="s">
        <v>28</v>
      </c>
      <c r="AK27">
        <v>9</v>
      </c>
      <c r="AL27">
        <v>9</v>
      </c>
    </row>
    <row r="28" spans="1:38" x14ac:dyDescent="0.2">
      <c r="A28" t="s">
        <v>65</v>
      </c>
      <c r="B28" s="3" t="s">
        <v>44</v>
      </c>
      <c r="C28" t="s">
        <v>66</v>
      </c>
      <c r="D28" s="6" cm="1">
        <f t="array" ref="D28">IF(ISBLANK(INDEX($P$2:$Y$60, MATCH(1, ($P$2:$P$60=$A28) * ($Q$2:$Q$60=$B28), 0), MATCH(D$3, $P$1:$Y$1, 0))), "", INDEX($P$2:$Y$60, MATCH(1, ($P$2:$P$60=$A28) * ($Q$2:$Q$60=$B28), 0), MATCH(D$3, $P$1:$Y$1, 0)))</f>
        <v>17</v>
      </c>
      <c r="E28" cm="1">
        <f t="array" ref="E28">INDEX($P$2:$X$60, MATCH(1, ($P$2:$P$60=$A28) * ($Q$2:$Q$60=$B28), 0), MATCH(E$3, $P$1:$X$1, 0))</f>
        <v>4.0720000000000001E-3</v>
      </c>
      <c r="F28" cm="1">
        <f t="array" ref="F28">INDEX($P$2:$X$60, MATCH(1, ($P$2:$P$60=$A28) * ($Q$2:$Q$60=$B28), 0), MATCH(F$3, $P$1:$X$1, 0))</f>
        <v>0.32746900000000001</v>
      </c>
      <c r="G28" cm="1">
        <f t="array" ref="G28">INDEX($P$2:$X$60, MATCH(1, ($P$2:$P$60=$A28) * ($Q$2:$Q$60=$B28), 0), MATCH(G$3, $P$1:$X$1, 0))</f>
        <v>1.3899E-2</v>
      </c>
      <c r="H28" cm="1">
        <f t="array" ref="H28">INDEX($P$2:$X$60, MATCH(1, ($P$2:$P$60=$A28) * ($Q$2:$Q$60=$B28), 0), MATCH(H$3, $P$1:$X$1, 0))</f>
        <v>8.5550000000000001E-3</v>
      </c>
      <c r="I28" cm="1">
        <f t="array" ref="I28">INDEX($P$2:$X$60, MATCH(1, ($P$2:$P$60=$A28) * ($Q$2:$Q$60=$B28), 0), MATCH(I$3, $P$1:$X$1, 0))</f>
        <v>38.278082992402105</v>
      </c>
      <c r="J28" cm="1">
        <f t="array" ref="J28">INDEX($P$2:$X$60, MATCH(1, ($P$2:$P$60=$A28) * ($Q$2:$Q$60=$B28), 0), MATCH(J$3, $P$1:$X$1, 0))</f>
        <v>0.47597895967270604</v>
      </c>
      <c r="K28" cm="1">
        <f t="array" ref="K28">INDEX($P$2:$X$60, MATCH(1, ($P$2:$P$60=$A28) * ($Q$2:$Q$60=$B28), 0), MATCH(K$3, $P$1:$X$1, 0))</f>
        <v>1.6246639392168323</v>
      </c>
      <c r="L28" t="b" cm="1">
        <f t="array" ref="L28">INDEX($AA$2:$AC$60, MATCH(1, ($P$2:$P$60=$A28) * ($Q$2:$Q$60=$B28), 0), MATCH(I$3, $AA$1:$AC$1, 0))</f>
        <v>1</v>
      </c>
      <c r="M28" t="b" cm="1">
        <f t="array" ref="M28">INDEX($AA$2:$AC$60, MATCH(1, ($P$2:$P$60=$A28) * ($Q$2:$Q$60=$B28), 0), MATCH(J$3, $AA$1:$AC$1, 0))</f>
        <v>1</v>
      </c>
      <c r="N28" t="b" cm="1">
        <f t="array" ref="N28">INDEX($AA$2:$AC$60, MATCH(1, ($P$2:$P$60=$A28) * ($Q$2:$Q$60=$B28), 0), MATCH(K$3, $AA$1:$AC$1, 0))</f>
        <v>0</v>
      </c>
      <c r="P28" s="6" t="s">
        <v>67</v>
      </c>
      <c r="Q28" s="6" t="s">
        <v>37</v>
      </c>
      <c r="R28">
        <f>medium!M7</f>
        <v>1.9879999999999998E-2</v>
      </c>
      <c r="S28">
        <f>medium!N7</f>
        <v>5.4288999999999997E-2</v>
      </c>
      <c r="T28" t="e">
        <f>medium!O7</f>
        <v>#N/A</v>
      </c>
      <c r="U28">
        <f>medium!P7</f>
        <v>1.6522999999999999E-2</v>
      </c>
      <c r="V28">
        <f>medium!U7</f>
        <v>3.2856624099739755</v>
      </c>
      <c r="W28" t="str">
        <f>medium!V7</f>
        <v>DNF</v>
      </c>
      <c r="X28">
        <f>medium!W7</f>
        <v>1.2031713369242873</v>
      </c>
      <c r="Y28">
        <v>1</v>
      </c>
      <c r="AA28" t="b">
        <f>medium!X30</f>
        <v>1</v>
      </c>
      <c r="AB28" t="b">
        <f>medium!Y30</f>
        <v>1</v>
      </c>
      <c r="AC28" t="b">
        <f>medium!Z30</f>
        <v>0</v>
      </c>
      <c r="AF28" s="17"/>
      <c r="AG28" s="17"/>
      <c r="AJ28" s="5" t="s">
        <v>32</v>
      </c>
      <c r="AK28">
        <v>3</v>
      </c>
      <c r="AL28">
        <v>3</v>
      </c>
    </row>
    <row r="29" spans="1:38" x14ac:dyDescent="0.2">
      <c r="A29" t="s">
        <v>67</v>
      </c>
      <c r="B29" s="3" t="s">
        <v>44</v>
      </c>
      <c r="C29" t="s">
        <v>74</v>
      </c>
      <c r="D29" s="6" t="str" cm="1">
        <f t="array" ref="D29">IF(ISBLANK(INDEX($P$2:$Y$60, MATCH(1, ($P$2:$P$60=$A29) * ($Q$2:$Q$60=$B29), 0), MATCH(D$3, $P$1:$Y$1, 0))), "-", INDEX($P$2:$Y$60, MATCH(1, ($P$2:$P$60=$A29) * ($Q$2:$Q$60=$B29), 0), MATCH(D$3, $P$1:$Y$1, 0)))</f>
        <v>-</v>
      </c>
      <c r="E29" t="e" cm="1">
        <f t="array" ref="E29">INDEX($P$2:$X$60, MATCH(1, ($P$2:$P$60=$A29) * ($Q$2:$Q$60=$B29), 0), MATCH(E$3, $P$1:$X$1, 0))</f>
        <v>#N/A</v>
      </c>
      <c r="F29" t="e" cm="1">
        <f t="array" ref="F29">INDEX($P$2:$X$60, MATCH(1, ($P$2:$P$60=$A29) * ($Q$2:$Q$60=$B29), 0), MATCH(F$3, $P$1:$X$1, 0))</f>
        <v>#N/A</v>
      </c>
      <c r="G29" cm="1">
        <f t="array" ref="G29">INDEX($P$2:$X$60, MATCH(1, ($P$2:$P$60=$A29) * ($Q$2:$Q$60=$B29), 0), MATCH(G$3, $P$1:$X$1, 0))</f>
        <v>181.487921</v>
      </c>
      <c r="H29" cm="1">
        <f t="array" ref="H29">INDEX($P$2:$X$60, MATCH(1, ($P$2:$P$60=$A29) * ($Q$2:$Q$60=$B29), 0), MATCH(H$3, $P$1:$X$1, 0))</f>
        <v>178.27417199999999</v>
      </c>
      <c r="I29" t="str" cm="1">
        <f t="array" ref="I29">INDEX($P$2:$X$60, MATCH(1, ($P$2:$P$60=$A29) * ($Q$2:$Q$60=$B29), 0), MATCH(I$3, $P$1:$X$1, 0))</f>
        <v>DNF</v>
      </c>
      <c r="J29" t="str" cm="1">
        <f t="array" ref="J29">INDEX($P$2:$X$60, MATCH(1, ($P$2:$P$60=$A29) * ($Q$2:$Q$60=$B29), 0), MATCH(J$3, $P$1:$X$1, 0))</f>
        <v>DNF</v>
      </c>
      <c r="K29" cm="1">
        <f t="array" ref="K29">INDEX($P$2:$X$60, MATCH(1, ($P$2:$P$60=$A29) * ($Q$2:$Q$60=$B29), 0), MATCH(K$3, $P$1:$X$1, 0))</f>
        <v>1.0180270028122751</v>
      </c>
      <c r="L29" t="b" cm="1">
        <f t="array" ref="L29">INDEX($AA$2:$AC$60, MATCH(1, ($P$2:$P$60=$A29) * ($Q$2:$Q$60=$B29), 0), MATCH(I$3, $AA$1:$AC$1, 0))</f>
        <v>1</v>
      </c>
      <c r="M29" t="b" cm="1">
        <f t="array" ref="M29">INDEX($AA$2:$AC$60, MATCH(1, ($P$2:$P$60=$A29) * ($Q$2:$Q$60=$B29), 0), MATCH(J$3, $AA$1:$AC$1, 0))</f>
        <v>1</v>
      </c>
      <c r="N29" t="b" cm="1">
        <f t="array" ref="N29">INDEX($AA$2:$AC$60, MATCH(1, ($P$2:$P$60=$A29) * ($Q$2:$Q$60=$B29), 0), MATCH(K$3, $AA$1:$AC$1, 0))</f>
        <v>0</v>
      </c>
      <c r="P29" s="6" t="s">
        <v>67</v>
      </c>
      <c r="Q29" s="6" t="s">
        <v>38</v>
      </c>
      <c r="R29">
        <f>medium!M8</f>
        <v>0.29500500000000002</v>
      </c>
      <c r="S29">
        <f>medium!N8</f>
        <v>0.76590000000000003</v>
      </c>
      <c r="T29">
        <f>medium!O8</f>
        <v>13.838817000000001</v>
      </c>
      <c r="U29">
        <f>medium!P8</f>
        <v>0.29999700000000001</v>
      </c>
      <c r="V29">
        <f>medium!U8</f>
        <v>2.5530255302553027</v>
      </c>
      <c r="W29">
        <f>medium!V8</f>
        <v>46.129851298512982</v>
      </c>
      <c r="X29">
        <f>medium!W8</f>
        <v>0.98335983359833601</v>
      </c>
      <c r="Y29">
        <v>3</v>
      </c>
      <c r="AA29" t="b">
        <f>medium!X31</f>
        <v>1</v>
      </c>
      <c r="AB29" t="b">
        <f>medium!Y31</f>
        <v>1</v>
      </c>
      <c r="AC29" t="b">
        <f>medium!Z31</f>
        <v>0</v>
      </c>
      <c r="AF29" s="17"/>
      <c r="AG29" s="17"/>
      <c r="AJ29" s="5" t="s">
        <v>34</v>
      </c>
      <c r="AK29">
        <v>5</v>
      </c>
      <c r="AL29">
        <v>5</v>
      </c>
    </row>
    <row r="30" spans="1:38" x14ac:dyDescent="0.2">
      <c r="A30" t="s">
        <v>69</v>
      </c>
      <c r="B30" s="3" t="s">
        <v>44</v>
      </c>
      <c r="C30" t="s">
        <v>76</v>
      </c>
      <c r="D30" s="6" t="str" cm="1">
        <f t="array" ref="D30">IF(ISBLANK(INDEX($P$2:$Y$60, MATCH(1, ($P$2:$P$60=$A30) * ($Q$2:$Q$60=$B30), 0), MATCH(D$3, $P$1:$Y$1, 0))), "-", INDEX($P$2:$Y$60, MATCH(1, ($P$2:$P$60=$A30) * ($Q$2:$Q$60=$B30), 0), MATCH(D$3, $P$1:$Y$1, 0)))</f>
        <v>-</v>
      </c>
      <c r="E30" t="e" cm="1">
        <f t="array" ref="E30">INDEX($P$2:$X$60, MATCH(1, ($P$2:$P$60=$A30) * ($Q$2:$Q$60=$B30), 0), MATCH(E$3, $P$1:$X$1, 0))</f>
        <v>#N/A</v>
      </c>
      <c r="F30" t="e" cm="1">
        <f t="array" ref="F30">INDEX($P$2:$X$60, MATCH(1, ($P$2:$P$60=$A30) * ($Q$2:$Q$60=$B30), 0), MATCH(F$3, $P$1:$X$1, 0))</f>
        <v>#N/A</v>
      </c>
      <c r="G30" cm="1">
        <f t="array" ref="G30">INDEX($P$2:$X$60, MATCH(1, ($P$2:$P$60=$A30) * ($Q$2:$Q$60=$B30), 0), MATCH(G$3, $P$1:$X$1, 0))</f>
        <v>450.077224</v>
      </c>
      <c r="H30" cm="1">
        <f t="array" ref="H30">INDEX($P$2:$X$60, MATCH(1, ($P$2:$P$60=$A30) * ($Q$2:$Q$60=$B30), 0), MATCH(H$3, $P$1:$X$1, 0))</f>
        <v>454.28804400000001</v>
      </c>
      <c r="I30" t="str" cm="1">
        <f t="array" ref="I30">INDEX($P$2:$X$60, MATCH(1, ($P$2:$P$60=$A30) * ($Q$2:$Q$60=$B30), 0), MATCH(I$3, $P$1:$X$1, 0))</f>
        <v>DNF</v>
      </c>
      <c r="J30" t="str" cm="1">
        <f t="array" ref="J30">INDEX($P$2:$X$60, MATCH(1, ($P$2:$P$60=$A30) * ($Q$2:$Q$60=$B30), 0), MATCH(J$3, $P$1:$X$1, 0))</f>
        <v>DNF</v>
      </c>
      <c r="K30" cm="1">
        <f t="array" ref="K30">INDEX($P$2:$X$60, MATCH(1, ($P$2:$P$60=$A30) * ($Q$2:$Q$60=$B30), 0), MATCH(K$3, $P$1:$X$1, 0))</f>
        <v>0.99073094690557162</v>
      </c>
      <c r="L30" t="b" cm="1">
        <f t="array" ref="L30">INDEX($AA$2:$AC$60, MATCH(1, ($P$2:$P$60=$A30) * ($Q$2:$Q$60=$B30), 0), MATCH(I$3, $AA$1:$AC$1, 0))</f>
        <v>1</v>
      </c>
      <c r="M30" t="b" cm="1">
        <f t="array" ref="M30">INDEX($AA$2:$AC$60, MATCH(1, ($P$2:$P$60=$A30) * ($Q$2:$Q$60=$B30), 0), MATCH(J$3, $AA$1:$AC$1, 0))</f>
        <v>1</v>
      </c>
      <c r="N30" t="b" cm="1">
        <f t="array" ref="N30">INDEX($AA$2:$AC$60, MATCH(1, ($P$2:$P$60=$A30) * ($Q$2:$Q$60=$B30), 0), MATCH(K$3, $AA$1:$AC$1, 0))</f>
        <v>0</v>
      </c>
      <c r="P30" s="6" t="s">
        <v>67</v>
      </c>
      <c r="Q30" s="6" t="s">
        <v>40</v>
      </c>
      <c r="R30">
        <f>medium!M9</f>
        <v>1.06881</v>
      </c>
      <c r="S30">
        <f>medium!N9</f>
        <v>5.7115309999999999</v>
      </c>
      <c r="T30" t="e">
        <f>medium!O9</f>
        <v>#N/A</v>
      </c>
      <c r="U30">
        <f>medium!P9</f>
        <v>1.109318</v>
      </c>
      <c r="V30">
        <f>medium!U9</f>
        <v>5.1486868508398853</v>
      </c>
      <c r="W30" t="str">
        <f>medium!V9</f>
        <v>DNF</v>
      </c>
      <c r="X30">
        <f>medium!W9</f>
        <v>0.9634838702698415</v>
      </c>
      <c r="Y30">
        <v>11</v>
      </c>
      <c r="AA30" t="b">
        <f>medium!X32</f>
        <v>1</v>
      </c>
      <c r="AB30" t="b">
        <f>medium!Y32</f>
        <v>1</v>
      </c>
      <c r="AC30" t="b">
        <f>medium!Z32</f>
        <v>0</v>
      </c>
      <c r="AF30" s="17"/>
      <c r="AG30" s="17"/>
      <c r="AJ30" s="5" t="s">
        <v>36</v>
      </c>
      <c r="AK30">
        <v>1</v>
      </c>
      <c r="AL30">
        <v>1</v>
      </c>
    </row>
    <row r="31" spans="1:38" x14ac:dyDescent="0.2">
      <c r="A31" t="s">
        <v>65</v>
      </c>
      <c r="B31" s="3" t="s">
        <v>47</v>
      </c>
      <c r="C31" s="11" t="s">
        <v>71</v>
      </c>
      <c r="D31" s="6" cm="1">
        <f t="array" ref="D31">IF(ISBLANK(INDEX($P$2:$Y$60, MATCH(1, ($P$2:$P$60=$A31) * ($Q$2:$Q$60=$B31), 0), MATCH(D$3, $P$1:$Y$1, 0))), "", INDEX($P$2:$Y$60, MATCH(1, ($P$2:$P$60=$A31) * ($Q$2:$Q$60=$B31), 0), MATCH(D$3, $P$1:$Y$1, 0)))</f>
        <v>3</v>
      </c>
      <c r="E31" cm="1">
        <f t="array" ref="E31">INDEX($P$2:$X$60, MATCH(1, ($P$2:$P$60=$A31) * ($Q$2:$Q$60=$B31), 0), MATCH(E$3, $P$1:$X$1, 0))</f>
        <v>2.519E-3</v>
      </c>
      <c r="F31" cm="1">
        <f t="array" ref="F31">INDEX($P$2:$X$60, MATCH(1, ($P$2:$P$60=$A31) * ($Q$2:$Q$60=$B31), 0), MATCH(F$3, $P$1:$X$1, 0))</f>
        <v>7.6815999999999995E-2</v>
      </c>
      <c r="G31" cm="1">
        <f t="array" ref="G31">INDEX($P$2:$X$60, MATCH(1, ($P$2:$P$60=$A31) * ($Q$2:$Q$60=$B31), 0), MATCH(G$3, $P$1:$X$1, 0))</f>
        <v>1.4302E-2</v>
      </c>
      <c r="H31" cm="1">
        <f t="array" ref="H31">INDEX($P$2:$X$60, MATCH(1, ($P$2:$P$60=$A31) * ($Q$2:$Q$60=$B31), 0), MATCH(H$3, $P$1:$X$1, 0))</f>
        <v>1.2097999999999999E-2</v>
      </c>
      <c r="I31" cm="1">
        <f t="array" ref="I31">INDEX($P$2:$X$60, MATCH(1, ($P$2:$P$60=$A31) * ($Q$2:$Q$60=$B31), 0), MATCH(I$3, $P$1:$X$1, 0))</f>
        <v>6.3494792527690525</v>
      </c>
      <c r="J31" cm="1">
        <f t="array" ref="J31">INDEX($P$2:$X$60, MATCH(1, ($P$2:$P$60=$A31) * ($Q$2:$Q$60=$B31), 0), MATCH(J$3, $P$1:$X$1, 0))</f>
        <v>0.20821623408827905</v>
      </c>
      <c r="K31" cm="1">
        <f t="array" ref="K31">INDEX($P$2:$X$60, MATCH(1, ($P$2:$P$60=$A31) * ($Q$2:$Q$60=$B31), 0), MATCH(K$3, $P$1:$X$1, 0))</f>
        <v>1.1821788725409159</v>
      </c>
      <c r="L31" t="b" cm="1">
        <f t="array" ref="L31">INDEX($AA$2:$AC$60, MATCH(1, ($P$2:$P$60=$A31) * ($Q$2:$Q$60=$B31), 0), MATCH(I$3, $AA$1:$AC$1, 0))</f>
        <v>1</v>
      </c>
      <c r="M31" t="b" cm="1">
        <f t="array" ref="M31">INDEX($AA$2:$AC$60, MATCH(1, ($P$2:$P$60=$A31) * ($Q$2:$Q$60=$B31), 0), MATCH(J$3, $AA$1:$AC$1, 0))</f>
        <v>1</v>
      </c>
      <c r="N31" t="b" cm="1">
        <f t="array" ref="N31">INDEX($AA$2:$AC$60, MATCH(1, ($P$2:$P$60=$A31) * ($Q$2:$Q$60=$B31), 0), MATCH(K$3, $AA$1:$AC$1, 0))</f>
        <v>0</v>
      </c>
      <c r="P31" s="6" t="s">
        <v>67</v>
      </c>
      <c r="Q31" s="6" t="s">
        <v>42</v>
      </c>
      <c r="R31">
        <f>medium!M10</f>
        <v>9.9919999999999991E-3</v>
      </c>
      <c r="S31">
        <f>medium!N10</f>
        <v>5.8332000000000002E-2</v>
      </c>
      <c r="T31">
        <f>medium!O10</f>
        <v>17.674676000000002</v>
      </c>
      <c r="U31">
        <f>medium!P10</f>
        <v>8.3560000000000006E-3</v>
      </c>
      <c r="V31">
        <f>medium!U10</f>
        <v>6.980852082336046</v>
      </c>
      <c r="W31">
        <f>medium!V10</f>
        <v>2115.2077549066539</v>
      </c>
      <c r="X31">
        <f>medium!W10</f>
        <v>1.1957874581139298</v>
      </c>
      <c r="Y31">
        <v>3</v>
      </c>
      <c r="AA31" t="b">
        <f>medium!X33</f>
        <v>1</v>
      </c>
      <c r="AB31" t="b">
        <f>medium!Y33</f>
        <v>1</v>
      </c>
      <c r="AC31" t="b">
        <f>medium!Z33</f>
        <v>0</v>
      </c>
      <c r="AF31" s="17"/>
      <c r="AG31" s="17"/>
      <c r="AJ31" s="5" t="s">
        <v>2</v>
      </c>
      <c r="AK31">
        <v>3</v>
      </c>
      <c r="AL31">
        <v>3</v>
      </c>
    </row>
    <row r="32" spans="1:38" x14ac:dyDescent="0.2">
      <c r="A32" t="s">
        <v>67</v>
      </c>
      <c r="B32" s="3" t="s">
        <v>47</v>
      </c>
      <c r="C32" s="11" t="s">
        <v>72</v>
      </c>
      <c r="D32" s="6" cm="1">
        <f t="array" ref="D32">IF(ISBLANK(INDEX($P$2:$Y$60, MATCH(1, ($P$2:$P$60=$A32) * ($Q$2:$Q$60=$B32), 0), MATCH(D$3, $P$1:$Y$1, 0))), "-", INDEX($P$2:$Y$60, MATCH(1, ($P$2:$P$60=$A32) * ($Q$2:$Q$60=$B32), 0), MATCH(D$3, $P$1:$Y$1, 0)))</f>
        <v>16</v>
      </c>
      <c r="E32" t="e" cm="1">
        <f t="array" ref="E32">INDEX($P$2:$X$60, MATCH(1, ($P$2:$P$60=$A32) * ($Q$2:$Q$60=$B32), 0), MATCH(E$3, $P$1:$X$1, 0))</f>
        <v>#N/A</v>
      </c>
      <c r="F32" cm="1">
        <f t="array" ref="F32">INDEX($P$2:$X$60, MATCH(1, ($P$2:$P$60=$A32) * ($Q$2:$Q$60=$B32), 0), MATCH(F$3, $P$1:$X$1, 0))</f>
        <v>0.83453699999999997</v>
      </c>
      <c r="G32" cm="1">
        <f t="array" ref="G32">INDEX($P$2:$X$60, MATCH(1, ($P$2:$P$60=$A32) * ($Q$2:$Q$60=$B32), 0), MATCH(G$3, $P$1:$X$1, 0))</f>
        <v>5.4668000000000001E-2</v>
      </c>
      <c r="H32" cm="1">
        <f t="array" ref="H32">INDEX($P$2:$X$60, MATCH(1, ($P$2:$P$60=$A32) * ($Q$2:$Q$60=$B32), 0), MATCH(H$3, $P$1:$X$1, 0))</f>
        <v>5.2683000000000001E-2</v>
      </c>
      <c r="I32" cm="1">
        <f t="array" ref="I32">INDEX($P$2:$X$60, MATCH(1, ($P$2:$P$60=$A32) * ($Q$2:$Q$60=$B32), 0), MATCH(I$3, $P$1:$X$1, 0))</f>
        <v>15.84072661010193</v>
      </c>
      <c r="J32" t="str" cm="1">
        <f t="array" ref="J32">INDEX($P$2:$X$60, MATCH(1, ($P$2:$P$60=$A32) * ($Q$2:$Q$60=$B32), 0), MATCH(J$3, $P$1:$X$1, 0))</f>
        <v>DNF</v>
      </c>
      <c r="K32" cm="1">
        <f t="array" ref="K32">INDEX($P$2:$X$60, MATCH(1, ($P$2:$P$60=$A32) * ($Q$2:$Q$60=$B32), 0), MATCH(K$3, $P$1:$X$1, 0))</f>
        <v>1.0376781884099235</v>
      </c>
      <c r="L32" t="b" cm="1">
        <f t="array" ref="L32">INDEX($AA$2:$AC$60, MATCH(1, ($P$2:$P$60=$A32) * ($Q$2:$Q$60=$B32), 0), MATCH(I$3, $AA$1:$AC$1, 0))</f>
        <v>1</v>
      </c>
      <c r="M32" t="b" cm="1">
        <f t="array" ref="M32">INDEX($AA$2:$AC$60, MATCH(1, ($P$2:$P$60=$A32) * ($Q$2:$Q$60=$B32), 0), MATCH(J$3, $AA$1:$AC$1, 0))</f>
        <v>1</v>
      </c>
      <c r="N32" t="b" cm="1">
        <f t="array" ref="N32">INDEX($AA$2:$AC$60, MATCH(1, ($P$2:$P$60=$A32) * ($Q$2:$Q$60=$B32), 0), MATCH(K$3, $AA$1:$AC$1, 0))</f>
        <v>0</v>
      </c>
      <c r="P32" s="6" t="s">
        <v>67</v>
      </c>
      <c r="Q32" s="6" t="s">
        <v>44</v>
      </c>
      <c r="R32">
        <f>medium!M11</f>
        <v>181.487921</v>
      </c>
      <c r="S32" t="e">
        <f>medium!N11</f>
        <v>#N/A</v>
      </c>
      <c r="T32" t="e">
        <f>medium!O11</f>
        <v>#N/A</v>
      </c>
      <c r="U32">
        <f>medium!P11</f>
        <v>178.27417199999999</v>
      </c>
      <c r="V32" t="str">
        <f>medium!U11</f>
        <v>DNF</v>
      </c>
      <c r="W32" t="str">
        <f>medium!V11</f>
        <v>DNF</v>
      </c>
      <c r="X32">
        <f>medium!W11</f>
        <v>1.0180270028122751</v>
      </c>
      <c r="AA32" t="b">
        <f>medium!X34</f>
        <v>1</v>
      </c>
      <c r="AB32" t="b">
        <f>medium!Y34</f>
        <v>1</v>
      </c>
      <c r="AC32" t="b">
        <f>medium!Z34</f>
        <v>0</v>
      </c>
      <c r="AF32" s="17"/>
      <c r="AG32" s="17"/>
      <c r="AJ32" s="5" t="s">
        <v>39</v>
      </c>
      <c r="AK32">
        <v>11</v>
      </c>
      <c r="AL32">
        <v>11</v>
      </c>
    </row>
    <row r="33" spans="1:38" x14ac:dyDescent="0.2">
      <c r="A33" t="s">
        <v>69</v>
      </c>
      <c r="B33" s="3" t="s">
        <v>47</v>
      </c>
      <c r="C33" s="11" t="s">
        <v>73</v>
      </c>
      <c r="D33" s="6" t="str" cm="1">
        <f t="array" ref="D33">IF(ISBLANK(INDEX($P$2:$Y$60, MATCH(1, ($P$2:$P$60=$A33) * ($Q$2:$Q$60=$B33), 0), MATCH(D$3, $P$1:$Y$1, 0))), "-", INDEX($P$2:$Y$60, MATCH(1, ($P$2:$P$60=$A33) * ($Q$2:$Q$60=$B33), 0), MATCH(D$3, $P$1:$Y$1, 0)))</f>
        <v>-</v>
      </c>
      <c r="E33" t="e" cm="1">
        <f t="array" ref="E33">INDEX($P$2:$X$60, MATCH(1, ($P$2:$P$60=$A33) * ($Q$2:$Q$60=$B33), 0), MATCH(E$3, $P$1:$X$1, 0))</f>
        <v>#N/A</v>
      </c>
      <c r="F33" t="e" cm="1">
        <f t="array" ref="F33">INDEX($P$2:$X$60, MATCH(1, ($P$2:$P$60=$A33) * ($Q$2:$Q$60=$B33), 0), MATCH(F$3, $P$1:$X$1, 0))</f>
        <v>#N/A</v>
      </c>
      <c r="G33" cm="1">
        <f t="array" ref="G33">INDEX($P$2:$X$60, MATCH(1, ($P$2:$P$60=$A33) * ($Q$2:$Q$60=$B33), 0), MATCH(G$3, $P$1:$X$1, 0))</f>
        <v>0.51047799999999999</v>
      </c>
      <c r="H33" cm="1">
        <f t="array" ref="H33">INDEX($P$2:$X$60, MATCH(1, ($P$2:$P$60=$A33) * ($Q$2:$Q$60=$B33), 0), MATCH(H$3, $P$1:$X$1, 0))</f>
        <v>0.49288900000000002</v>
      </c>
      <c r="I33" t="str" cm="1">
        <f t="array" ref="I33">INDEX($P$2:$X$60, MATCH(1, ($P$2:$P$60=$A33) * ($Q$2:$Q$60=$B33), 0), MATCH(I$3, $P$1:$X$1, 0))</f>
        <v>DNF</v>
      </c>
      <c r="J33" t="str" cm="1">
        <f t="array" ref="J33">INDEX($P$2:$X$60, MATCH(1, ($P$2:$P$60=$A33) * ($Q$2:$Q$60=$B33), 0), MATCH(J$3, $P$1:$X$1, 0))</f>
        <v>DNF</v>
      </c>
      <c r="K33" cm="1">
        <f t="array" ref="K33">INDEX($P$2:$X$60, MATCH(1, ($P$2:$P$60=$A33) * ($Q$2:$Q$60=$B33), 0), MATCH(K$3, $P$1:$X$1, 0))</f>
        <v>1.0356855194577277</v>
      </c>
      <c r="L33" t="b" cm="1">
        <f t="array" ref="L33">INDEX($AA$2:$AC$60, MATCH(1, ($P$2:$P$60=$A33) * ($Q$2:$Q$60=$B33), 0), MATCH(I$3, $AA$1:$AC$1, 0))</f>
        <v>1</v>
      </c>
      <c r="M33" t="b" cm="1">
        <f t="array" ref="M33">INDEX($AA$2:$AC$60, MATCH(1, ($P$2:$P$60=$A33) * ($Q$2:$Q$60=$B33), 0), MATCH(J$3, $AA$1:$AC$1, 0))</f>
        <v>1</v>
      </c>
      <c r="N33" t="b" cm="1">
        <f t="array" ref="N33">INDEX($AA$2:$AC$60, MATCH(1, ($P$2:$P$60=$A33) * ($Q$2:$Q$60=$B33), 0), MATCH(K$3, $AA$1:$AC$1, 0))</f>
        <v>0</v>
      </c>
      <c r="P33" s="6" t="s">
        <v>67</v>
      </c>
      <c r="Q33" s="6" t="s">
        <v>47</v>
      </c>
      <c r="R33">
        <f>medium!M12</f>
        <v>5.4668000000000001E-2</v>
      </c>
      <c r="S33">
        <f>medium!N12</f>
        <v>0.83453699999999997</v>
      </c>
      <c r="T33" t="e">
        <f>medium!O12</f>
        <v>#N/A</v>
      </c>
      <c r="U33">
        <f>medium!P12</f>
        <v>5.2683000000000001E-2</v>
      </c>
      <c r="V33">
        <f>medium!U12</f>
        <v>15.84072661010193</v>
      </c>
      <c r="W33" t="str">
        <f>medium!V12</f>
        <v>DNF</v>
      </c>
      <c r="X33">
        <f>medium!W12</f>
        <v>1.0376781884099235</v>
      </c>
      <c r="Y33">
        <v>16</v>
      </c>
      <c r="AA33" t="b">
        <f>medium!X35</f>
        <v>1</v>
      </c>
      <c r="AB33" t="b">
        <f>medium!Y35</f>
        <v>1</v>
      </c>
      <c r="AC33" t="b">
        <f>medium!Z35</f>
        <v>0</v>
      </c>
      <c r="AF33" s="17"/>
      <c r="AG33" s="17"/>
      <c r="AJ33" s="5" t="s">
        <v>41</v>
      </c>
      <c r="AK33">
        <v>5</v>
      </c>
      <c r="AL33">
        <v>5</v>
      </c>
    </row>
    <row r="34" spans="1:38" x14ac:dyDescent="0.2">
      <c r="A34" t="s">
        <v>65</v>
      </c>
      <c r="B34" s="3" t="s">
        <v>49</v>
      </c>
      <c r="C34" t="s">
        <v>66</v>
      </c>
      <c r="D34" s="6" cm="1">
        <f t="array" ref="D34">IF(ISBLANK(INDEX($P$2:$Y$60, MATCH(1, ($P$2:$P$60=$A34) * ($Q$2:$Q$60=$B34), 0), MATCH(D$3, $P$1:$Y$1, 0))), "", INDEX($P$2:$Y$60, MATCH(1, ($P$2:$P$60=$A34) * ($Q$2:$Q$60=$B34), 0), MATCH(D$3, $P$1:$Y$1, 0)))</f>
        <v>2</v>
      </c>
      <c r="E34" cm="1">
        <f t="array" ref="E34">INDEX($P$2:$X$60, MATCH(1, ($P$2:$P$60=$A34) * ($Q$2:$Q$60=$B34), 0), MATCH(E$3, $P$1:$X$1, 0))</f>
        <v>2.0479999999999999E-3</v>
      </c>
      <c r="F34" cm="1">
        <f t="array" ref="F34">INDEX($P$2:$X$60, MATCH(1, ($P$2:$P$60=$A34) * ($Q$2:$Q$60=$B34), 0), MATCH(F$3, $P$1:$X$1, 0))</f>
        <v>3.7601000000000002E-2</v>
      </c>
      <c r="G34" cm="1">
        <f t="array" ref="G34">INDEX($P$2:$X$60, MATCH(1, ($P$2:$P$60=$A34) * ($Q$2:$Q$60=$B34), 0), MATCH(G$3, $P$1:$X$1, 0))</f>
        <v>1.1875E-2</v>
      </c>
      <c r="H34" cm="1">
        <f t="array" ref="H34">INDEX($P$2:$X$60, MATCH(1, ($P$2:$P$60=$A34) * ($Q$2:$Q$60=$B34), 0), MATCH(H$3, $P$1:$X$1, 0))</f>
        <v>9.5499999999999995E-3</v>
      </c>
      <c r="I34" cm="1">
        <f t="array" ref="I34">INDEX($P$2:$X$60, MATCH(1, ($P$2:$P$60=$A34) * ($Q$2:$Q$60=$B34), 0), MATCH(I$3, $P$1:$X$1, 0))</f>
        <v>3.9372774869109954</v>
      </c>
      <c r="J34" cm="1">
        <f t="array" ref="J34">INDEX($P$2:$X$60, MATCH(1, ($P$2:$P$60=$A34) * ($Q$2:$Q$60=$B34), 0), MATCH(J$3, $P$1:$X$1, 0))</f>
        <v>0.21445026178010471</v>
      </c>
      <c r="K34" cm="1">
        <f t="array" ref="K34">INDEX($P$2:$X$60, MATCH(1, ($P$2:$P$60=$A34) * ($Q$2:$Q$60=$B34), 0), MATCH(K$3, $P$1:$X$1, 0))</f>
        <v>1.243455497382199</v>
      </c>
      <c r="L34" t="b" cm="1">
        <f t="array" ref="L34">INDEX($AA$2:$AC$60, MATCH(1, ($P$2:$P$60=$A34) * ($Q$2:$Q$60=$B34), 0), MATCH(I$3, $AA$1:$AC$1, 0))</f>
        <v>1</v>
      </c>
      <c r="M34" t="b" cm="1">
        <f t="array" ref="M34">INDEX($AA$2:$AC$60, MATCH(1, ($P$2:$P$60=$A34) * ($Q$2:$Q$60=$B34), 0), MATCH(J$3, $AA$1:$AC$1, 0))</f>
        <v>1</v>
      </c>
      <c r="N34" t="b" cm="1">
        <f t="array" ref="N34">INDEX($AA$2:$AC$60, MATCH(1, ($P$2:$P$60=$A34) * ($Q$2:$Q$60=$B34), 0), MATCH(K$3, $AA$1:$AC$1, 0))</f>
        <v>0</v>
      </c>
      <c r="P34" s="6" t="s">
        <v>67</v>
      </c>
      <c r="Q34" s="6" t="s">
        <v>49</v>
      </c>
      <c r="R34">
        <f>medium!M13</f>
        <v>7.6637999999999998E-2</v>
      </c>
      <c r="S34">
        <f>medium!N13</f>
        <v>0.39185500000000001</v>
      </c>
      <c r="T34" t="e">
        <f>medium!O13</f>
        <v>#N/A</v>
      </c>
      <c r="U34">
        <f>medium!P13</f>
        <v>7.4971999999999997E-2</v>
      </c>
      <c r="V34">
        <f>medium!U13</f>
        <v>5.2266846289281332</v>
      </c>
      <c r="W34" t="str">
        <f>medium!V13</f>
        <v>DNF</v>
      </c>
      <c r="X34">
        <f>medium!W13</f>
        <v>1.0222216294083124</v>
      </c>
      <c r="Y34" s="9">
        <v>2</v>
      </c>
      <c r="AA34" t="b">
        <f>medium!X36</f>
        <v>1</v>
      </c>
      <c r="AB34" t="b">
        <f>medium!Y36</f>
        <v>1</v>
      </c>
      <c r="AC34" t="b">
        <f>medium!Z36</f>
        <v>0</v>
      </c>
      <c r="AF34" s="17"/>
      <c r="AG34" s="17"/>
      <c r="AJ34" s="5" t="s">
        <v>46</v>
      </c>
      <c r="AK34">
        <v>16</v>
      </c>
      <c r="AL34">
        <v>16</v>
      </c>
    </row>
    <row r="35" spans="1:38" x14ac:dyDescent="0.2">
      <c r="A35" t="s">
        <v>67</v>
      </c>
      <c r="B35" s="3" t="s">
        <v>49</v>
      </c>
      <c r="C35" t="s">
        <v>74</v>
      </c>
      <c r="D35" s="6" cm="1">
        <f t="array" ref="D35">IF(ISBLANK(INDEX($P$2:$Y$60, MATCH(1, ($P$2:$P$60=$A35) * ($Q$2:$Q$60=$B35), 0), MATCH(D$3, $P$1:$Y$1, 0))), "-", INDEX($P$2:$Y$60, MATCH(1, ($P$2:$P$60=$A35) * ($Q$2:$Q$60=$B35), 0), MATCH(D$3, $P$1:$Y$1, 0)))</f>
        <v>2</v>
      </c>
      <c r="E35" t="e" cm="1">
        <f t="array" ref="E35">INDEX($P$2:$X$60, MATCH(1, ($P$2:$P$60=$A35) * ($Q$2:$Q$60=$B35), 0), MATCH(E$3, $P$1:$X$1, 0))</f>
        <v>#N/A</v>
      </c>
      <c r="F35" cm="1">
        <f t="array" ref="F35">INDEX($P$2:$X$60, MATCH(1, ($P$2:$P$60=$A35) * ($Q$2:$Q$60=$B35), 0), MATCH(F$3, $P$1:$X$1, 0))</f>
        <v>0.39185500000000001</v>
      </c>
      <c r="G35" cm="1">
        <f t="array" ref="G35">INDEX($P$2:$X$60, MATCH(1, ($P$2:$P$60=$A35) * ($Q$2:$Q$60=$B35), 0), MATCH(G$3, $P$1:$X$1, 0))</f>
        <v>7.6637999999999998E-2</v>
      </c>
      <c r="H35" cm="1">
        <f t="array" ref="H35">INDEX($P$2:$X$60, MATCH(1, ($P$2:$P$60=$A35) * ($Q$2:$Q$60=$B35), 0), MATCH(H$3, $P$1:$X$1, 0))</f>
        <v>7.4971999999999997E-2</v>
      </c>
      <c r="I35" cm="1">
        <f t="array" ref="I35">INDEX($P$2:$X$60, MATCH(1, ($P$2:$P$60=$A35) * ($Q$2:$Q$60=$B35), 0), MATCH(I$3, $P$1:$X$1, 0))</f>
        <v>5.2266846289281332</v>
      </c>
      <c r="J35" t="str" cm="1">
        <f t="array" ref="J35">INDEX($P$2:$X$60, MATCH(1, ($P$2:$P$60=$A35) * ($Q$2:$Q$60=$B35), 0), MATCH(J$3, $P$1:$X$1, 0))</f>
        <v>DNF</v>
      </c>
      <c r="K35" cm="1">
        <f t="array" ref="K35">INDEX($P$2:$X$60, MATCH(1, ($P$2:$P$60=$A35) * ($Q$2:$Q$60=$B35), 0), MATCH(K$3, $P$1:$X$1, 0))</f>
        <v>1.0222216294083124</v>
      </c>
      <c r="L35" t="b" cm="1">
        <f t="array" ref="L35">INDEX($AA$2:$AC$60, MATCH(1, ($P$2:$P$60=$A35) * ($Q$2:$Q$60=$B35), 0), MATCH(I$3, $AA$1:$AC$1, 0))</f>
        <v>1</v>
      </c>
      <c r="M35" t="b" cm="1">
        <f t="array" ref="M35">INDEX($AA$2:$AC$60, MATCH(1, ($P$2:$P$60=$A35) * ($Q$2:$Q$60=$B35), 0), MATCH(J$3, $AA$1:$AC$1, 0))</f>
        <v>1</v>
      </c>
      <c r="N35" t="b" cm="1">
        <f t="array" ref="N35">INDEX($AA$2:$AC$60, MATCH(1, ($P$2:$P$60=$A35) * ($Q$2:$Q$60=$B35), 0), MATCH(K$3, $AA$1:$AC$1, 0))</f>
        <v>0</v>
      </c>
      <c r="P35" s="6" t="s">
        <v>67</v>
      </c>
      <c r="Q35" s="6" t="s">
        <v>50</v>
      </c>
      <c r="R35">
        <f>medium!M14</f>
        <v>9.3256000000000006E-2</v>
      </c>
      <c r="S35">
        <f>medium!N14</f>
        <v>0.953685</v>
      </c>
      <c r="T35" t="e">
        <f>medium!O14</f>
        <v>#N/A</v>
      </c>
      <c r="U35">
        <f>medium!P14</f>
        <v>8.8609999999999994E-2</v>
      </c>
      <c r="V35">
        <f>medium!U14</f>
        <v>10.762724297483354</v>
      </c>
      <c r="W35" t="str">
        <f>medium!V14</f>
        <v>DNF</v>
      </c>
      <c r="X35">
        <f>medium!W14</f>
        <v>1.052432005416996</v>
      </c>
      <c r="Y35" s="9">
        <v>5</v>
      </c>
      <c r="AA35" t="b">
        <f>medium!X37</f>
        <v>1</v>
      </c>
      <c r="AB35" t="b">
        <f>medium!Y37</f>
        <v>1</v>
      </c>
      <c r="AC35" t="b">
        <f>medium!Z37</f>
        <v>0</v>
      </c>
      <c r="AF35" s="17"/>
      <c r="AG35" s="17"/>
      <c r="AJ35" s="5" t="s">
        <v>45</v>
      </c>
      <c r="AK35">
        <v>2</v>
      </c>
      <c r="AL35">
        <v>2</v>
      </c>
    </row>
    <row r="36" spans="1:38" x14ac:dyDescent="0.2">
      <c r="A36" t="s">
        <v>69</v>
      </c>
      <c r="B36" s="3" t="s">
        <v>49</v>
      </c>
      <c r="C36" t="s">
        <v>68</v>
      </c>
      <c r="D36" s="6" cm="1">
        <f t="array" ref="D36">IF(ISBLANK(INDEX($P$2:$Y$60, MATCH(1, ($P$2:$P$60=$A36) * ($Q$2:$Q$60=$B36), 0), MATCH(D$3, $P$1:$Y$1, 0))), "-", INDEX($P$2:$Y$60, MATCH(1, ($P$2:$P$60=$A36) * ($Q$2:$Q$60=$B36), 0), MATCH(D$3, $P$1:$Y$1, 0)))</f>
        <v>2</v>
      </c>
      <c r="E36" t="e" cm="1">
        <f t="array" ref="E36">INDEX($P$2:$X$60, MATCH(1, ($P$2:$P$60=$A36) * ($Q$2:$Q$60=$B36), 0), MATCH(E$3, $P$1:$X$1, 0))</f>
        <v>#N/A</v>
      </c>
      <c r="F36" cm="1">
        <f t="array" ref="F36">INDEX($P$2:$X$60, MATCH(1, ($P$2:$P$60=$A36) * ($Q$2:$Q$60=$B36), 0), MATCH(F$3, $P$1:$X$1, 0))</f>
        <v>0.74385100000000004</v>
      </c>
      <c r="G36" cm="1">
        <f t="array" ref="G36">INDEX($P$2:$X$60, MATCH(1, ($P$2:$P$60=$A36) * ($Q$2:$Q$60=$B36), 0), MATCH(G$3, $P$1:$X$1, 0))</f>
        <v>0.43233899999999997</v>
      </c>
      <c r="H36" cm="1">
        <f t="array" ref="H36">INDEX($P$2:$X$60, MATCH(1, ($P$2:$P$60=$A36) * ($Q$2:$Q$60=$B36), 0), MATCH(H$3, $P$1:$X$1, 0))</f>
        <v>0.38301600000000002</v>
      </c>
      <c r="I36" cm="1">
        <f t="array" ref="I36">INDEX($P$2:$X$60, MATCH(1, ($P$2:$P$60=$A36) * ($Q$2:$Q$60=$B36), 0), MATCH(I$3, $P$1:$X$1, 0))</f>
        <v>1.9420885811558786</v>
      </c>
      <c r="J36" t="str" cm="1">
        <f t="array" ref="J36">INDEX($P$2:$X$60, MATCH(1, ($P$2:$P$60=$A36) * ($Q$2:$Q$60=$B36), 0), MATCH(J$3, $P$1:$X$1, 0))</f>
        <v>DNF</v>
      </c>
      <c r="K36" cm="1">
        <f t="array" ref="K36">INDEX($P$2:$X$60, MATCH(1, ($P$2:$P$60=$A36) * ($Q$2:$Q$60=$B36), 0), MATCH(K$3, $P$1:$X$1, 0))</f>
        <v>1.1287752992042106</v>
      </c>
      <c r="L36" t="b" cm="1">
        <f t="array" ref="L36">INDEX($AA$2:$AC$60, MATCH(1, ($P$2:$P$60=$A36) * ($Q$2:$Q$60=$B36), 0), MATCH(I$3, $AA$1:$AC$1, 0))</f>
        <v>1</v>
      </c>
      <c r="M36" t="b" cm="1">
        <f t="array" ref="M36">INDEX($AA$2:$AC$60, MATCH(1, ($P$2:$P$60=$A36) * ($Q$2:$Q$60=$B36), 0), MATCH(J$3, $AA$1:$AC$1, 0))</f>
        <v>1</v>
      </c>
      <c r="N36" t="b" cm="1">
        <f t="array" ref="N36">INDEX($AA$2:$AC$60, MATCH(1, ($P$2:$P$60=$A36) * ($Q$2:$Q$60=$B36), 0), MATCH(K$3, $AA$1:$AC$1, 0))</f>
        <v>0</v>
      </c>
      <c r="P36" s="6" t="s">
        <v>67</v>
      </c>
      <c r="Q36" s="6" t="s">
        <v>52</v>
      </c>
      <c r="R36">
        <f>medium!M15</f>
        <v>5.2131999999999998E-2</v>
      </c>
      <c r="S36">
        <f>medium!N15</f>
        <v>0.84097900000000003</v>
      </c>
      <c r="T36" t="e">
        <f>medium!O15</f>
        <v>#N/A</v>
      </c>
      <c r="U36">
        <f>medium!P15</f>
        <v>4.7639000000000001E-2</v>
      </c>
      <c r="V36">
        <f>medium!U15</f>
        <v>17.653162324985832</v>
      </c>
      <c r="W36" t="str">
        <f>medium!V15</f>
        <v>DNF</v>
      </c>
      <c r="X36">
        <f>medium!W15</f>
        <v>1.0943134826507692</v>
      </c>
      <c r="Y36" s="9">
        <v>16</v>
      </c>
      <c r="AA36" t="b">
        <f>medium!X38</f>
        <v>1</v>
      </c>
      <c r="AB36" t="b">
        <f>medium!Y38</f>
        <v>1</v>
      </c>
      <c r="AC36" t="b">
        <f>medium!Z38</f>
        <v>0</v>
      </c>
      <c r="AF36" s="17"/>
      <c r="AG36" s="17"/>
      <c r="AJ36" s="5" t="s">
        <v>48</v>
      </c>
      <c r="AK36">
        <v>5</v>
      </c>
      <c r="AL36">
        <v>5</v>
      </c>
    </row>
    <row r="37" spans="1:38" x14ac:dyDescent="0.2">
      <c r="A37" t="s">
        <v>65</v>
      </c>
      <c r="B37" s="3" t="s">
        <v>50</v>
      </c>
      <c r="C37" t="s">
        <v>66</v>
      </c>
      <c r="D37" s="6" cm="1">
        <f t="array" ref="D37">IF(ISBLANK(INDEX($P$2:$Y$60, MATCH(1, ($P$2:$P$60=$A37) * ($Q$2:$Q$60=$B37), 0), MATCH(D$3, $P$1:$Y$1, 0))), "", INDEX($P$2:$Y$60, MATCH(1, ($P$2:$P$60=$A37) * ($Q$2:$Q$60=$B37), 0), MATCH(D$3, $P$1:$Y$1, 0)))</f>
        <v>5</v>
      </c>
      <c r="E37" cm="1">
        <f t="array" ref="E37">INDEX($P$2:$X$60, MATCH(1, ($P$2:$P$60=$A37) * ($Q$2:$Q$60=$B37), 0), MATCH(E$3, $P$1:$X$1, 0))</f>
        <v>3.7420000000000001E-3</v>
      </c>
      <c r="F37" cm="1">
        <f t="array" ref="F37">INDEX($P$2:$X$60, MATCH(1, ($P$2:$P$60=$A37) * ($Q$2:$Q$60=$B37), 0), MATCH(F$3, $P$1:$X$1, 0))</f>
        <v>9.8845000000000002E-2</v>
      </c>
      <c r="G37" cm="1">
        <f t="array" ref="G37">INDEX($P$2:$X$60, MATCH(1, ($P$2:$P$60=$A37) * ($Q$2:$Q$60=$B37), 0), MATCH(G$3, $P$1:$X$1, 0))</f>
        <v>1.1764E-2</v>
      </c>
      <c r="H37" cm="1">
        <f t="array" ref="H37">INDEX($P$2:$X$60, MATCH(1, ($P$2:$P$60=$A37) * ($Q$2:$Q$60=$B37), 0), MATCH(H$3, $P$1:$X$1, 0))</f>
        <v>9.8010000000000007E-3</v>
      </c>
      <c r="I37" cm="1">
        <f t="array" ref="I37">INDEX($P$2:$X$60, MATCH(1, ($P$2:$P$60=$A37) * ($Q$2:$Q$60=$B37), 0), MATCH(I$3, $P$1:$X$1, 0))</f>
        <v>10.08519538822569</v>
      </c>
      <c r="J37" cm="1">
        <f t="array" ref="J37">INDEX($P$2:$X$60, MATCH(1, ($P$2:$P$60=$A37) * ($Q$2:$Q$60=$B37), 0), MATCH(J$3, $P$1:$X$1, 0))</f>
        <v>0.38179777573716966</v>
      </c>
      <c r="K37" cm="1">
        <f t="array" ref="K37">INDEX($P$2:$X$60, MATCH(1, ($P$2:$P$60=$A37) * ($Q$2:$Q$60=$B37), 0), MATCH(K$3, $P$1:$X$1, 0))</f>
        <v>1.2002856851341699</v>
      </c>
      <c r="L37" t="b" cm="1">
        <f t="array" ref="L37">INDEX($AA$2:$AC$60, MATCH(1, ($P$2:$P$60=$A37) * ($Q$2:$Q$60=$B37), 0), MATCH(I$3, $AA$1:$AC$1, 0))</f>
        <v>1</v>
      </c>
      <c r="M37" t="b" cm="1">
        <f t="array" ref="M37">INDEX($AA$2:$AC$60, MATCH(1, ($P$2:$P$60=$A37) * ($Q$2:$Q$60=$B37), 0), MATCH(J$3, $AA$1:$AC$1, 0))</f>
        <v>0</v>
      </c>
      <c r="N37" t="b" cm="1">
        <f t="array" ref="N37">INDEX($AA$2:$AC$60, MATCH(1, ($P$2:$P$60=$A37) * ($Q$2:$Q$60=$B37), 0), MATCH(K$3, $AA$1:$AC$1, 0))</f>
        <v>0</v>
      </c>
      <c r="P37" s="6" t="s">
        <v>67</v>
      </c>
      <c r="Q37" s="6" t="s">
        <v>54</v>
      </c>
      <c r="R37">
        <f>medium!M16</f>
        <v>2.6468999999999999E-2</v>
      </c>
      <c r="S37">
        <f>medium!N16</f>
        <v>0.152309</v>
      </c>
      <c r="T37">
        <f>medium!O16</f>
        <v>0.57808099999999996</v>
      </c>
      <c r="U37">
        <f>medium!P16</f>
        <v>2.5665E-2</v>
      </c>
      <c r="V37">
        <f>medium!U16</f>
        <v>5.9345022404052212</v>
      </c>
      <c r="W37">
        <f>medium!V16</f>
        <v>22.524098967465417</v>
      </c>
      <c r="X37">
        <f>medium!W16</f>
        <v>1.0313267095265926</v>
      </c>
      <c r="Y37" s="9">
        <v>9</v>
      </c>
      <c r="AA37" t="b">
        <f>medium!X39</f>
        <v>1</v>
      </c>
      <c r="AB37" t="b">
        <f>medium!Y39</f>
        <v>1</v>
      </c>
      <c r="AC37" t="b">
        <f>medium!Z39</f>
        <v>0</v>
      </c>
      <c r="AF37" s="17"/>
      <c r="AG37" s="17"/>
      <c r="AJ37" s="5" t="s">
        <v>51</v>
      </c>
      <c r="AK37">
        <v>16</v>
      </c>
      <c r="AL37">
        <v>16</v>
      </c>
    </row>
    <row r="38" spans="1:38" x14ac:dyDescent="0.2">
      <c r="A38" t="s">
        <v>67</v>
      </c>
      <c r="B38" s="3" t="s">
        <v>50</v>
      </c>
      <c r="C38" t="s">
        <v>76</v>
      </c>
      <c r="D38" s="6" cm="1">
        <f t="array" ref="D38">IF(ISBLANK(INDEX($P$2:$Y$60, MATCH(1, ($P$2:$P$60=$A38) * ($Q$2:$Q$60=$B38), 0), MATCH(D$3, $P$1:$Y$1, 0))), "-", INDEX($P$2:$Y$60, MATCH(1, ($P$2:$P$60=$A38) * ($Q$2:$Q$60=$B38), 0), MATCH(D$3, $P$1:$Y$1, 0)))</f>
        <v>5</v>
      </c>
      <c r="E38" t="e" cm="1">
        <f t="array" ref="E38">INDEX($P$2:$X$60, MATCH(1, ($P$2:$P$60=$A38) * ($Q$2:$Q$60=$B38), 0), MATCH(E$3, $P$1:$X$1, 0))</f>
        <v>#N/A</v>
      </c>
      <c r="F38" cm="1">
        <f t="array" ref="F38">INDEX($P$2:$X$60, MATCH(1, ($P$2:$P$60=$A38) * ($Q$2:$Q$60=$B38), 0), MATCH(F$3, $P$1:$X$1, 0))</f>
        <v>0.953685</v>
      </c>
      <c r="G38" cm="1">
        <f t="array" ref="G38">INDEX($P$2:$X$60, MATCH(1, ($P$2:$P$60=$A38) * ($Q$2:$Q$60=$B38), 0), MATCH(G$3, $P$1:$X$1, 0))</f>
        <v>9.3256000000000006E-2</v>
      </c>
      <c r="H38" cm="1">
        <f t="array" ref="H38">INDEX($P$2:$X$60, MATCH(1, ($P$2:$P$60=$A38) * ($Q$2:$Q$60=$B38), 0), MATCH(H$3, $P$1:$X$1, 0))</f>
        <v>8.8609999999999994E-2</v>
      </c>
      <c r="I38" cm="1">
        <f t="array" ref="I38">INDEX($P$2:$X$60, MATCH(1, ($P$2:$P$60=$A38) * ($Q$2:$Q$60=$B38), 0), MATCH(I$3, $P$1:$X$1, 0))</f>
        <v>10.762724297483354</v>
      </c>
      <c r="J38" t="str" cm="1">
        <f t="array" ref="J38">INDEX($P$2:$X$60, MATCH(1, ($P$2:$P$60=$A38) * ($Q$2:$Q$60=$B38), 0), MATCH(J$3, $P$1:$X$1, 0))</f>
        <v>DNF</v>
      </c>
      <c r="K38" cm="1">
        <f t="array" ref="K38">INDEX($P$2:$X$60, MATCH(1, ($P$2:$P$60=$A38) * ($Q$2:$Q$60=$B38), 0), MATCH(K$3, $P$1:$X$1, 0))</f>
        <v>1.052432005416996</v>
      </c>
      <c r="L38" t="b" cm="1">
        <f t="array" ref="L38">INDEX($AA$2:$AC$60, MATCH(1, ($P$2:$P$60=$A38) * ($Q$2:$Q$60=$B38), 0), MATCH(I$3, $AA$1:$AC$1, 0))</f>
        <v>1</v>
      </c>
      <c r="M38" t="b" cm="1">
        <f t="array" ref="M38">INDEX($AA$2:$AC$60, MATCH(1, ($P$2:$P$60=$A38) * ($Q$2:$Q$60=$B38), 0), MATCH(J$3, $AA$1:$AC$1, 0))</f>
        <v>1</v>
      </c>
      <c r="N38" t="b" cm="1">
        <f t="array" ref="N38">INDEX($AA$2:$AC$60, MATCH(1, ($P$2:$P$60=$A38) * ($Q$2:$Q$60=$B38), 0), MATCH(K$3, $AA$1:$AC$1, 0))</f>
        <v>0</v>
      </c>
      <c r="P38" s="6" t="s">
        <v>67</v>
      </c>
      <c r="Q38" s="6" t="s">
        <v>55</v>
      </c>
      <c r="R38">
        <f>medium!M17</f>
        <v>2.0929E-2</v>
      </c>
      <c r="S38">
        <f>medium!N17</f>
        <v>7.9342999999999997E-2</v>
      </c>
      <c r="T38">
        <f>medium!O17</f>
        <v>0.332675</v>
      </c>
      <c r="U38">
        <f>medium!P17</f>
        <v>1.7423999999999999E-2</v>
      </c>
      <c r="V38">
        <f>medium!U17</f>
        <v>4.5536616161616168</v>
      </c>
      <c r="W38">
        <f>medium!V17</f>
        <v>19.092917814508723</v>
      </c>
      <c r="X38">
        <f>medium!W17</f>
        <v>1.2011593204775024</v>
      </c>
      <c r="Y38" s="9">
        <v>5</v>
      </c>
      <c r="AA38" t="b">
        <f>medium!X40</f>
        <v>1</v>
      </c>
      <c r="AB38" t="b">
        <f>medium!Y40</f>
        <v>1</v>
      </c>
      <c r="AC38" t="b">
        <f>medium!Z40</f>
        <v>0</v>
      </c>
      <c r="AF38" s="17"/>
      <c r="AG38" s="17"/>
      <c r="AJ38" s="5" t="s">
        <v>26</v>
      </c>
      <c r="AK38">
        <v>9</v>
      </c>
      <c r="AL38">
        <v>9</v>
      </c>
    </row>
    <row r="39" spans="1:38" x14ac:dyDescent="0.2">
      <c r="A39" t="s">
        <v>69</v>
      </c>
      <c r="B39" s="3" t="s">
        <v>50</v>
      </c>
      <c r="C39" t="s">
        <v>77</v>
      </c>
      <c r="D39" s="6" cm="1">
        <f t="array" ref="D39">IF(ISBLANK(INDEX($P$2:$Y$60, MATCH(1, ($P$2:$P$60=$A39) * ($Q$2:$Q$60=$B39), 0), MATCH(D$3, $P$1:$Y$1, 0))), "-", INDEX($P$2:$Y$60, MATCH(1, ($P$2:$P$60=$A39) * ($Q$2:$Q$60=$B39), 0), MATCH(D$3, $P$1:$Y$1, 0)))</f>
        <v>7</v>
      </c>
      <c r="E39" t="e" cm="1">
        <f t="array" ref="E39">INDEX($P$2:$X$60, MATCH(1, ($P$2:$P$60=$A39) * ($Q$2:$Q$60=$B39), 0), MATCH(E$3, $P$1:$X$1, 0))</f>
        <v>#N/A</v>
      </c>
      <c r="F39" cm="1">
        <f t="array" ref="F39">INDEX($P$2:$X$60, MATCH(1, ($P$2:$P$60=$A39) * ($Q$2:$Q$60=$B39), 0), MATCH(F$3, $P$1:$X$1, 0))</f>
        <v>4.7958179999999997</v>
      </c>
      <c r="G39" cm="1">
        <f t="array" ref="G39">INDEX($P$2:$X$60, MATCH(1, ($P$2:$P$60=$A39) * ($Q$2:$Q$60=$B39), 0), MATCH(G$3, $P$1:$X$1, 0))</f>
        <v>0.85773500000000003</v>
      </c>
      <c r="H39" cm="1">
        <f t="array" ref="H39">INDEX($P$2:$X$60, MATCH(1, ($P$2:$P$60=$A39) * ($Q$2:$Q$60=$B39), 0), MATCH(H$3, $P$1:$X$1, 0))</f>
        <v>0.87324100000000004</v>
      </c>
      <c r="I39" cm="1">
        <f t="array" ref="I39">INDEX($P$2:$X$60, MATCH(1, ($P$2:$P$60=$A39) * ($Q$2:$Q$60=$B39), 0), MATCH(I$3, $P$1:$X$1, 0))</f>
        <v>5.4919752966248714</v>
      </c>
      <c r="J39" t="str" cm="1">
        <f t="array" ref="J39">INDEX($P$2:$X$60, MATCH(1, ($P$2:$P$60=$A39) * ($Q$2:$Q$60=$B39), 0), MATCH(J$3, $P$1:$X$1, 0))</f>
        <v>DNF</v>
      </c>
      <c r="K39" cm="1">
        <f t="array" ref="K39">INDEX($P$2:$X$60, MATCH(1, ($P$2:$P$60=$A39) * ($Q$2:$Q$60=$B39), 0), MATCH(K$3, $P$1:$X$1, 0))</f>
        <v>0.98224316082272822</v>
      </c>
      <c r="L39" t="b" cm="1">
        <f t="array" ref="L39">INDEX($AA$2:$AC$60, MATCH(1, ($P$2:$P$60=$A39) * ($Q$2:$Q$60=$B39), 0), MATCH(I$3, $AA$1:$AC$1, 0))</f>
        <v>1</v>
      </c>
      <c r="M39" t="b" cm="1">
        <f t="array" ref="M39">INDEX($AA$2:$AC$60, MATCH(1, ($P$2:$P$60=$A39) * ($Q$2:$Q$60=$B39), 0), MATCH(J$3, $AA$1:$AC$1, 0))</f>
        <v>1</v>
      </c>
      <c r="N39" t="b" cm="1">
        <f t="array" ref="N39">INDEX($AA$2:$AC$60, MATCH(1, ($P$2:$P$60=$A39) * ($Q$2:$Q$60=$B39), 0), MATCH(K$3, $AA$1:$AC$1, 0))</f>
        <v>0</v>
      </c>
      <c r="P39" s="6" t="s">
        <v>67</v>
      </c>
      <c r="Q39" s="6" t="s">
        <v>56</v>
      </c>
      <c r="R39">
        <f>medium!M18</f>
        <v>0.124113</v>
      </c>
      <c r="S39">
        <f>medium!N18</f>
        <v>2.6106609999999999</v>
      </c>
      <c r="T39" t="e">
        <f>medium!O18</f>
        <v>#N/A</v>
      </c>
      <c r="U39">
        <f>medium!P18</f>
        <v>0.123728</v>
      </c>
      <c r="V39">
        <f>medium!U18</f>
        <v>21.100001616448985</v>
      </c>
      <c r="W39" t="str">
        <f>medium!V18</f>
        <v>DNF</v>
      </c>
      <c r="X39">
        <f>medium!W18</f>
        <v>1.0031116642958748</v>
      </c>
      <c r="Y39" s="9">
        <v>7</v>
      </c>
      <c r="AA39" t="b">
        <f>medium!X41</f>
        <v>1</v>
      </c>
      <c r="AB39" t="b">
        <f>medium!Y41</f>
        <v>1</v>
      </c>
      <c r="AC39" t="b">
        <f>medium!Z41</f>
        <v>0</v>
      </c>
      <c r="AF39" s="17"/>
      <c r="AG39" s="17"/>
      <c r="AJ39" s="5" t="s">
        <v>30</v>
      </c>
      <c r="AK39">
        <v>5</v>
      </c>
      <c r="AL39">
        <v>5</v>
      </c>
    </row>
    <row r="40" spans="1:38" x14ac:dyDescent="0.2">
      <c r="A40" t="s">
        <v>65</v>
      </c>
      <c r="B40" s="3" t="s">
        <v>52</v>
      </c>
      <c r="C40" s="11" t="s">
        <v>71</v>
      </c>
      <c r="D40" s="6" cm="1">
        <f t="array" ref="D40">IF(ISBLANK(INDEX($P$2:$Y$60, MATCH(1, ($P$2:$P$60=$A40) * ($Q$2:$Q$60=$B40), 0), MATCH(D$3, $P$1:$Y$1, 0))), "", INDEX($P$2:$Y$60, MATCH(1, ($P$2:$P$60=$A40) * ($Q$2:$Q$60=$B40), 0), MATCH(D$3, $P$1:$Y$1, 0)))</f>
        <v>3</v>
      </c>
      <c r="E40" cm="1">
        <f t="array" ref="E40">INDEX($P$2:$X$60, MATCH(1, ($P$2:$P$60=$A40) * ($Q$2:$Q$60=$B40), 0), MATCH(E$3, $P$1:$X$1, 0))</f>
        <v>2.6059999999999998E-3</v>
      </c>
      <c r="F40" cm="1">
        <f t="array" ref="F40">INDEX($P$2:$X$60, MATCH(1, ($P$2:$P$60=$A40) * ($Q$2:$Q$60=$B40), 0), MATCH(F$3, $P$1:$X$1, 0))</f>
        <v>8.4973999999999994E-2</v>
      </c>
      <c r="G40" cm="1">
        <f t="array" ref="G40">INDEX($P$2:$X$60, MATCH(1, ($P$2:$P$60=$A40) * ($Q$2:$Q$60=$B40), 0), MATCH(G$3, $P$1:$X$1, 0))</f>
        <v>1.6160999999999998E-2</v>
      </c>
      <c r="H40" cm="1">
        <f t="array" ref="H40">INDEX($P$2:$X$60, MATCH(1, ($P$2:$P$60=$A40) * ($Q$2:$Q$60=$B40), 0), MATCH(H$3, $P$1:$X$1, 0))</f>
        <v>1.2428E-2</v>
      </c>
      <c r="I40" cm="1">
        <f t="array" ref="I40">INDEX($P$2:$X$60, MATCH(1, ($P$2:$P$60=$A40) * ($Q$2:$Q$60=$B40), 0), MATCH(I$3, $P$1:$X$1, 0))</f>
        <v>6.8373028644995166</v>
      </c>
      <c r="J40" cm="1">
        <f t="array" ref="J40">INDEX($P$2:$X$60, MATCH(1, ($P$2:$P$60=$A40) * ($Q$2:$Q$60=$B40), 0), MATCH(J$3, $P$1:$X$1, 0))</f>
        <v>0.20968780173801094</v>
      </c>
      <c r="K40" cm="1">
        <f t="array" ref="K40">INDEX($P$2:$X$60, MATCH(1, ($P$2:$P$60=$A40) * ($Q$2:$Q$60=$B40), 0), MATCH(K$3, $P$1:$X$1, 0))</f>
        <v>1.30037013196009</v>
      </c>
      <c r="L40" t="b" cm="1">
        <f t="array" ref="L40">INDEX($AA$2:$AC$60, MATCH(1, ($P$2:$P$60=$A40) * ($Q$2:$Q$60=$B40), 0), MATCH(I$3, $AA$1:$AC$1, 0))</f>
        <v>1</v>
      </c>
      <c r="M40" t="b" cm="1">
        <f t="array" ref="M40">INDEX($AA$2:$AC$60, MATCH(1, ($P$2:$P$60=$A40) * ($Q$2:$Q$60=$B40), 0), MATCH(J$3, $AA$1:$AC$1, 0))</f>
        <v>1</v>
      </c>
      <c r="N40" t="b" cm="1">
        <f t="array" ref="N40">INDEX($AA$2:$AC$60, MATCH(1, ($P$2:$P$60=$A40) * ($Q$2:$Q$60=$B40), 0), MATCH(K$3, $AA$1:$AC$1, 0))</f>
        <v>0</v>
      </c>
      <c r="P40" s="6"/>
      <c r="Q40" s="6"/>
      <c r="AF40" s="17"/>
      <c r="AG40" s="17"/>
      <c r="AJ40" s="5" t="s">
        <v>53</v>
      </c>
      <c r="AK40">
        <v>7</v>
      </c>
      <c r="AL40">
        <v>7</v>
      </c>
    </row>
    <row r="41" spans="1:38" x14ac:dyDescent="0.2">
      <c r="A41" t="s">
        <v>67</v>
      </c>
      <c r="B41" s="3" t="s">
        <v>52</v>
      </c>
      <c r="C41" s="11" t="s">
        <v>72</v>
      </c>
      <c r="D41" s="6" cm="1">
        <f t="array" ref="D41">IF(ISBLANK(INDEX($P$2:$Y$60, MATCH(1, ($P$2:$P$60=$A41) * ($Q$2:$Q$60=$B41), 0), MATCH(D$3, $P$1:$Y$1, 0))), "-", INDEX($P$2:$Y$60, MATCH(1, ($P$2:$P$60=$A41) * ($Q$2:$Q$60=$B41), 0), MATCH(D$3, $P$1:$Y$1, 0)))</f>
        <v>16</v>
      </c>
      <c r="E41" t="e" cm="1">
        <f t="array" ref="E41">INDEX($P$2:$X$60, MATCH(1, ($P$2:$P$60=$A41) * ($Q$2:$Q$60=$B41), 0), MATCH(E$3, $P$1:$X$1, 0))</f>
        <v>#N/A</v>
      </c>
      <c r="F41" cm="1">
        <f t="array" ref="F41">INDEX($P$2:$X$60, MATCH(1, ($P$2:$P$60=$A41) * ($Q$2:$Q$60=$B41), 0), MATCH(F$3, $P$1:$X$1, 0))</f>
        <v>0.84097900000000003</v>
      </c>
      <c r="G41" cm="1">
        <f t="array" ref="G41">INDEX($P$2:$X$60, MATCH(1, ($P$2:$P$60=$A41) * ($Q$2:$Q$60=$B41), 0), MATCH(G$3, $P$1:$X$1, 0))</f>
        <v>5.2131999999999998E-2</v>
      </c>
      <c r="H41" cm="1">
        <f t="array" ref="H41">INDEX($P$2:$X$60, MATCH(1, ($P$2:$P$60=$A41) * ($Q$2:$Q$60=$B41), 0), MATCH(H$3, $P$1:$X$1, 0))</f>
        <v>4.7639000000000001E-2</v>
      </c>
      <c r="I41" cm="1">
        <f t="array" ref="I41">INDEX($P$2:$X$60, MATCH(1, ($P$2:$P$60=$A41) * ($Q$2:$Q$60=$B41), 0), MATCH(I$3, $P$1:$X$1, 0))</f>
        <v>17.653162324985832</v>
      </c>
      <c r="J41" t="str" cm="1">
        <f t="array" ref="J41">INDEX($P$2:$X$60, MATCH(1, ($P$2:$P$60=$A41) * ($Q$2:$Q$60=$B41), 0), MATCH(J$3, $P$1:$X$1, 0))</f>
        <v>DNF</v>
      </c>
      <c r="K41" cm="1">
        <f t="array" ref="K41">INDEX($P$2:$X$60, MATCH(1, ($P$2:$P$60=$A41) * ($Q$2:$Q$60=$B41), 0), MATCH(K$3, $P$1:$X$1, 0))</f>
        <v>1.0943134826507692</v>
      </c>
      <c r="L41" t="b" cm="1">
        <f t="array" ref="L41">INDEX($AA$2:$AC$60, MATCH(1, ($P$2:$P$60=$A41) * ($Q$2:$Q$60=$B41), 0), MATCH(I$3, $AA$1:$AC$1, 0))</f>
        <v>1</v>
      </c>
      <c r="M41" t="b" cm="1">
        <f t="array" ref="M41">INDEX($AA$2:$AC$60, MATCH(1, ($P$2:$P$60=$A41) * ($Q$2:$Q$60=$B41), 0), MATCH(J$3, $AA$1:$AC$1, 0))</f>
        <v>1</v>
      </c>
      <c r="N41" t="b" cm="1">
        <f t="array" ref="N41">INDEX($AA$2:$AC$60, MATCH(1, ($P$2:$P$60=$A41) * ($Q$2:$Q$60=$B41), 0), MATCH(K$3, $AA$1:$AC$1, 0))</f>
        <v>0</v>
      </c>
      <c r="P41" s="6"/>
      <c r="Q41" s="6"/>
      <c r="AF41" s="17"/>
      <c r="AG41" s="17"/>
    </row>
    <row r="42" spans="1:38" x14ac:dyDescent="0.2">
      <c r="A42" t="s">
        <v>69</v>
      </c>
      <c r="B42" s="3" t="s">
        <v>52</v>
      </c>
      <c r="C42" s="11" t="s">
        <v>73</v>
      </c>
      <c r="D42" s="6" t="str" cm="1">
        <f t="array" ref="D42">IF(ISBLANK(INDEX($P$2:$Y$60, MATCH(1, ($P$2:$P$60=$A42) * ($Q$2:$Q$60=$B42), 0), MATCH(D$3, $P$1:$Y$1, 0))), "-", INDEX($P$2:$Y$60, MATCH(1, ($P$2:$P$60=$A42) * ($Q$2:$Q$60=$B42), 0), MATCH(D$3, $P$1:$Y$1, 0)))</f>
        <v>-</v>
      </c>
      <c r="E42" t="e" cm="1">
        <f t="array" ref="E42">INDEX($P$2:$X$60, MATCH(1, ($P$2:$P$60=$A42) * ($Q$2:$Q$60=$B42), 0), MATCH(E$3, $P$1:$X$1, 0))</f>
        <v>#N/A</v>
      </c>
      <c r="F42" t="e" cm="1">
        <f t="array" ref="F42">INDEX($P$2:$X$60, MATCH(1, ($P$2:$P$60=$A42) * ($Q$2:$Q$60=$B42), 0), MATCH(F$3, $P$1:$X$1, 0))</f>
        <v>#N/A</v>
      </c>
      <c r="G42" cm="1">
        <f t="array" ref="G42">INDEX($P$2:$X$60, MATCH(1, ($P$2:$P$60=$A42) * ($Q$2:$Q$60=$B42), 0), MATCH(G$3, $P$1:$X$1, 0))</f>
        <v>2.5157530000000001</v>
      </c>
      <c r="H42" cm="1">
        <f t="array" ref="H42">INDEX($P$2:$X$60, MATCH(1, ($P$2:$P$60=$A42) * ($Q$2:$Q$60=$B42), 0), MATCH(H$3, $P$1:$X$1, 0))</f>
        <v>2.4506489999999999</v>
      </c>
      <c r="I42" t="str" cm="1">
        <f t="array" ref="I42">INDEX($P$2:$X$60, MATCH(1, ($P$2:$P$60=$A42) * ($Q$2:$Q$60=$B42), 0), MATCH(I$3, $P$1:$X$1, 0))</f>
        <v>DNF</v>
      </c>
      <c r="J42" t="str" cm="1">
        <f t="array" ref="J42">INDEX($P$2:$X$60, MATCH(1, ($P$2:$P$60=$A42) * ($Q$2:$Q$60=$B42), 0), MATCH(J$3, $P$1:$X$1, 0))</f>
        <v>DNF</v>
      </c>
      <c r="K42" cm="1">
        <f t="array" ref="K42">INDEX($P$2:$X$60, MATCH(1, ($P$2:$P$60=$A42) * ($Q$2:$Q$60=$B42), 0), MATCH(K$3, $P$1:$X$1, 0))</f>
        <v>1.0265660239389649</v>
      </c>
      <c r="L42" t="b" cm="1">
        <f t="array" ref="L42">INDEX($AA$2:$AC$60, MATCH(1, ($P$2:$P$60=$A42) * ($Q$2:$Q$60=$B42), 0), MATCH(I$3, $AA$1:$AC$1, 0))</f>
        <v>1</v>
      </c>
      <c r="M42" t="b" cm="1">
        <f t="array" ref="M42">INDEX($AA$2:$AC$60, MATCH(1, ($P$2:$P$60=$A42) * ($Q$2:$Q$60=$B42), 0), MATCH(J$3, $AA$1:$AC$1, 0))</f>
        <v>1</v>
      </c>
      <c r="N42" t="b" cm="1">
        <f t="array" ref="N42">INDEX($AA$2:$AC$60, MATCH(1, ($P$2:$P$60=$A42) * ($Q$2:$Q$60=$B42), 0), MATCH(K$3, $AA$1:$AC$1, 0))</f>
        <v>0</v>
      </c>
      <c r="P42" s="6"/>
      <c r="Q42" s="6"/>
      <c r="AF42" s="17"/>
      <c r="AG42" s="17"/>
    </row>
    <row r="43" spans="1:38" x14ac:dyDescent="0.2">
      <c r="A43" t="s">
        <v>65</v>
      </c>
      <c r="B43" s="3" t="s">
        <v>54</v>
      </c>
      <c r="C43" s="8" t="s">
        <v>66</v>
      </c>
      <c r="D43" s="6" cm="1">
        <f t="array" ref="D43">IF(ISBLANK(INDEX($P$2:$Y$60, MATCH(1, ($P$2:$P$60=$A43) * ($Q$2:$Q$60=$B43), 0), MATCH(D$3, $P$1:$Y$1, 0))), "", INDEX($P$2:$Y$60, MATCH(1, ($P$2:$P$60=$A43) * ($Q$2:$Q$60=$B43), 0), MATCH(D$3, $P$1:$Y$1, 0)))</f>
        <v>5</v>
      </c>
      <c r="E43" cm="1">
        <f t="array" ref="E43">INDEX($P$2:$X$60, MATCH(1, ($P$2:$P$60=$A43) * ($Q$2:$Q$60=$B43), 0), MATCH(E$3, $P$1:$X$1, 0))</f>
        <v>2.5100000000000001E-3</v>
      </c>
      <c r="F43" cm="1">
        <f t="array" ref="F43">INDEX($P$2:$X$60, MATCH(1, ($P$2:$P$60=$A43) * ($Q$2:$Q$60=$B43), 0), MATCH(F$3, $P$1:$X$1, 0))</f>
        <v>6.8136000000000002E-2</v>
      </c>
      <c r="G43" cm="1">
        <f t="array" ref="G43">INDEX($P$2:$X$60, MATCH(1, ($P$2:$P$60=$A43) * ($Q$2:$Q$60=$B43), 0), MATCH(G$3, $P$1:$X$1, 0))</f>
        <v>8.5100000000000002E-3</v>
      </c>
      <c r="H43" cm="1">
        <f t="array" ref="H43">INDEX($P$2:$X$60, MATCH(1, ($P$2:$P$60=$A43) * ($Q$2:$Q$60=$B43), 0), MATCH(H$3, $P$1:$X$1, 0))</f>
        <v>8.6239999999999997E-3</v>
      </c>
      <c r="I43" cm="1">
        <f t="array" ref="I43">INDEX($P$2:$X$60, MATCH(1, ($P$2:$P$60=$A43) * ($Q$2:$Q$60=$B43), 0), MATCH(I$3, $P$1:$X$1, 0))</f>
        <v>7.9007421150278301</v>
      </c>
      <c r="J43" cm="1">
        <f t="array" ref="J43">INDEX($P$2:$X$60, MATCH(1, ($P$2:$P$60=$A43) * ($Q$2:$Q$60=$B43), 0), MATCH(J$3, $P$1:$X$1, 0))</f>
        <v>0.29104823747680891</v>
      </c>
      <c r="K43" cm="1">
        <f t="array" ref="K43">INDEX($P$2:$X$60, MATCH(1, ($P$2:$P$60=$A43) * ($Q$2:$Q$60=$B43), 0), MATCH(K$3, $P$1:$X$1, 0))</f>
        <v>0.98678107606679044</v>
      </c>
      <c r="L43" t="b" cm="1">
        <f t="array" ref="L43">INDEX($AA$2:$AC$60, MATCH(1, ($P$2:$P$60=$A43) * ($Q$2:$Q$60=$B43), 0), MATCH(I$3, $AA$1:$AC$1, 0))</f>
        <v>1</v>
      </c>
      <c r="M43" t="b" cm="1">
        <f t="array" ref="M43">INDEX($AA$2:$AC$60, MATCH(1, ($P$2:$P$60=$A43) * ($Q$2:$Q$60=$B43), 0), MATCH(J$3, $AA$1:$AC$1, 0))</f>
        <v>0</v>
      </c>
      <c r="N43" t="b" cm="1">
        <f t="array" ref="N43">INDEX($AA$2:$AC$60, MATCH(1, ($P$2:$P$60=$A43) * ($Q$2:$Q$60=$B43), 0), MATCH(K$3, $AA$1:$AC$1, 0))</f>
        <v>0</v>
      </c>
      <c r="P43" s="6" t="s">
        <v>23</v>
      </c>
      <c r="Q43" s="6"/>
      <c r="AF43" s="17"/>
      <c r="AG43" s="17"/>
    </row>
    <row r="44" spans="1:38" x14ac:dyDescent="0.2">
      <c r="A44" t="s">
        <v>67</v>
      </c>
      <c r="B44" s="3" t="s">
        <v>54</v>
      </c>
      <c r="C44" s="8" t="s">
        <v>68</v>
      </c>
      <c r="D44" s="6" cm="1">
        <f t="array" ref="D44">IF(ISBLANK(INDEX($P$2:$Y$60, MATCH(1, ($P$2:$P$60=$A44) * ($Q$2:$Q$60=$B44), 0), MATCH(D$3, $P$1:$Y$1, 0))), "-", INDEX($P$2:$Y$60, MATCH(1, ($P$2:$P$60=$A44) * ($Q$2:$Q$60=$B44), 0), MATCH(D$3, $P$1:$Y$1, 0)))</f>
        <v>9</v>
      </c>
      <c r="E44" cm="1">
        <f t="array" ref="E44">INDEX($P$2:$X$60, MATCH(1, ($P$2:$P$60=$A44) * ($Q$2:$Q$60=$B44), 0), MATCH(E$3, $P$1:$X$1, 0))</f>
        <v>0.57808099999999996</v>
      </c>
      <c r="F44" cm="1">
        <f t="array" ref="F44">INDEX($P$2:$X$60, MATCH(1, ($P$2:$P$60=$A44) * ($Q$2:$Q$60=$B44), 0), MATCH(F$3, $P$1:$X$1, 0))</f>
        <v>0.152309</v>
      </c>
      <c r="G44" cm="1">
        <f t="array" ref="G44">INDEX($P$2:$X$60, MATCH(1, ($P$2:$P$60=$A44) * ($Q$2:$Q$60=$B44), 0), MATCH(G$3, $P$1:$X$1, 0))</f>
        <v>2.6468999999999999E-2</v>
      </c>
      <c r="H44" cm="1">
        <f t="array" ref="H44">INDEX($P$2:$X$60, MATCH(1, ($P$2:$P$60=$A44) * ($Q$2:$Q$60=$B44), 0), MATCH(H$3, $P$1:$X$1, 0))</f>
        <v>2.5665E-2</v>
      </c>
      <c r="I44" cm="1">
        <f t="array" ref="I44">INDEX($P$2:$X$60, MATCH(1, ($P$2:$P$60=$A44) * ($Q$2:$Q$60=$B44), 0), MATCH(I$3, $P$1:$X$1, 0))</f>
        <v>5.9345022404052212</v>
      </c>
      <c r="J44" cm="1">
        <f t="array" ref="J44">INDEX($P$2:$X$60, MATCH(1, ($P$2:$P$60=$A44) * ($Q$2:$Q$60=$B44), 0), MATCH(J$3, $P$1:$X$1, 0))</f>
        <v>22.524098967465417</v>
      </c>
      <c r="K44" cm="1">
        <f t="array" ref="K44">INDEX($P$2:$X$60, MATCH(1, ($P$2:$P$60=$A44) * ($Q$2:$Q$60=$B44), 0), MATCH(K$3, $P$1:$X$1, 0))</f>
        <v>1.0313267095265926</v>
      </c>
      <c r="L44" t="b" cm="1">
        <f t="array" ref="L44">INDEX($AA$2:$AC$60, MATCH(1, ($P$2:$P$60=$A44) * ($Q$2:$Q$60=$B44), 0), MATCH(I$3, $AA$1:$AC$1, 0))</f>
        <v>1</v>
      </c>
      <c r="M44" t="b" cm="1">
        <f t="array" ref="M44">INDEX($AA$2:$AC$60, MATCH(1, ($P$2:$P$60=$A44) * ($Q$2:$Q$60=$B44), 0), MATCH(J$3, $AA$1:$AC$1, 0))</f>
        <v>1</v>
      </c>
      <c r="N44" t="b" cm="1">
        <f t="array" ref="N44">INDEX($AA$2:$AC$60, MATCH(1, ($P$2:$P$60=$A44) * ($Q$2:$Q$60=$B44), 0), MATCH(K$3, $AA$1:$AC$1, 0))</f>
        <v>0</v>
      </c>
      <c r="P44" s="6" t="s">
        <v>69</v>
      </c>
      <c r="Q44" s="6" t="s">
        <v>25</v>
      </c>
      <c r="R44">
        <f>large!M3</f>
        <v>39.469213000000003</v>
      </c>
      <c r="S44" t="e">
        <f>large!N3</f>
        <v>#N/A</v>
      </c>
      <c r="T44" t="e">
        <f>large!O3</f>
        <v>#N/A</v>
      </c>
      <c r="U44">
        <f>large!P3</f>
        <v>39.521869000000002</v>
      </c>
      <c r="V44" t="str">
        <f>large!U3</f>
        <v>DNF</v>
      </c>
      <c r="W44" t="str">
        <f>large!V3</f>
        <v>DNF</v>
      </c>
      <c r="X44">
        <f>large!W3</f>
        <v>0.99866767434505699</v>
      </c>
      <c r="Y44">
        <v>189</v>
      </c>
      <c r="AA44" t="b">
        <f>large!X26</f>
        <v>1</v>
      </c>
      <c r="AB44" t="b">
        <f>large!Y26</f>
        <v>1</v>
      </c>
      <c r="AC44" t="b">
        <f>large!Z26</f>
        <v>0</v>
      </c>
      <c r="AF44" s="17"/>
      <c r="AG44" s="17"/>
      <c r="AJ44" s="10" t="s">
        <v>19</v>
      </c>
      <c r="AK44" s="10" t="s">
        <v>20</v>
      </c>
    </row>
    <row r="45" spans="1:38" x14ac:dyDescent="0.2">
      <c r="A45" t="s">
        <v>69</v>
      </c>
      <c r="B45" s="3" t="s">
        <v>54</v>
      </c>
      <c r="C45" s="8" t="s">
        <v>79</v>
      </c>
      <c r="D45" s="6" cm="1">
        <f t="array" ref="D45">IF(ISBLANK(INDEX($P$2:$Y$60, MATCH(1, ($P$2:$P$60=$A45) * ($Q$2:$Q$60=$B45), 0), MATCH(D$3, $P$1:$Y$1, 0))), "-", INDEX($P$2:$Y$60, MATCH(1, ($P$2:$P$60=$A45) * ($Q$2:$Q$60=$B45), 0), MATCH(D$3, $P$1:$Y$1, 0)))</f>
        <v>42</v>
      </c>
      <c r="E45" cm="1">
        <f t="array" ref="E45">INDEX($P$2:$X$60, MATCH(1, ($P$2:$P$60=$A45) * ($Q$2:$Q$60=$B45), 0), MATCH(E$3, $P$1:$X$1, 0))</f>
        <v>233.75161800000001</v>
      </c>
      <c r="F45" cm="1">
        <f t="array" ref="F45">INDEX($P$2:$X$60, MATCH(1, ($P$2:$P$60=$A45) * ($Q$2:$Q$60=$B45), 0), MATCH(F$3, $P$1:$X$1, 0))</f>
        <v>1.7730919999999999</v>
      </c>
      <c r="G45" cm="1">
        <f t="array" ref="G45">INDEX($P$2:$X$60, MATCH(1, ($P$2:$P$60=$A45) * ($Q$2:$Q$60=$B45), 0), MATCH(G$3, $P$1:$X$1, 0))</f>
        <v>0.162852</v>
      </c>
      <c r="H45" cm="1">
        <f t="array" ref="H45">INDEX($P$2:$X$60, MATCH(1, ($P$2:$P$60=$A45) * ($Q$2:$Q$60=$B45), 0), MATCH(H$3, $P$1:$X$1, 0))</f>
        <v>0.166826</v>
      </c>
      <c r="I45" cm="1">
        <f t="array" ref="I45">INDEX($P$2:$X$60, MATCH(1, ($P$2:$P$60=$A45) * ($Q$2:$Q$60=$B45), 0), MATCH(I$3, $P$1:$X$1, 0))</f>
        <v>10.628391257957391</v>
      </c>
      <c r="J45" cm="1">
        <f t="array" ref="J45">INDEX($P$2:$X$60, MATCH(1, ($P$2:$P$60=$A45) * ($Q$2:$Q$60=$B45), 0), MATCH(J$3, $P$1:$X$1, 0))</f>
        <v>1401.1701892990302</v>
      </c>
      <c r="K45" cm="1">
        <f t="array" ref="K45">INDEX($P$2:$X$60, MATCH(1, ($P$2:$P$60=$A45) * ($Q$2:$Q$60=$B45), 0), MATCH(K$3, $P$1:$X$1, 0))</f>
        <v>0.97617877309292311</v>
      </c>
      <c r="L45" t="b" cm="1">
        <f t="array" ref="L45">INDEX($AA$2:$AC$60, MATCH(1, ($P$2:$P$60=$A45) * ($Q$2:$Q$60=$B45), 0), MATCH(I$3, $AA$1:$AC$1, 0))</f>
        <v>1</v>
      </c>
      <c r="M45" t="b" cm="1">
        <f t="array" ref="M45">INDEX($AA$2:$AC$60, MATCH(1, ($P$2:$P$60=$A45) * ($Q$2:$Q$60=$B45), 0), MATCH(J$3, $AA$1:$AC$1, 0))</f>
        <v>1</v>
      </c>
      <c r="N45" t="b" cm="1">
        <f t="array" ref="N45">INDEX($AA$2:$AC$60, MATCH(1, ($P$2:$P$60=$A45) * ($Q$2:$Q$60=$B45), 0), MATCH(K$3, $AA$1:$AC$1, 0))</f>
        <v>0</v>
      </c>
      <c r="P45" s="6" t="s">
        <v>69</v>
      </c>
      <c r="Q45" s="6" t="s">
        <v>29</v>
      </c>
      <c r="R45">
        <f>large!M4</f>
        <v>3.7756999999999999E-2</v>
      </c>
      <c r="S45">
        <f>large!N4</f>
        <v>0.22487099999999999</v>
      </c>
      <c r="T45">
        <f>large!O4</f>
        <v>58.664898000000001</v>
      </c>
      <c r="U45">
        <f>large!P4</f>
        <v>3.5411999999999999E-2</v>
      </c>
      <c r="V45">
        <f>large!U4</f>
        <v>6.350135547272111</v>
      </c>
      <c r="W45">
        <f>large!V4</f>
        <v>1656.6389359539139</v>
      </c>
      <c r="X45">
        <f>large!W4</f>
        <v>1.0662204902293009</v>
      </c>
      <c r="Y45">
        <v>9</v>
      </c>
      <c r="AA45" t="b">
        <f>large!X27</f>
        <v>1</v>
      </c>
      <c r="AB45" t="b">
        <f>large!Y27</f>
        <v>1</v>
      </c>
      <c r="AC45" t="b">
        <f>large!Z27</f>
        <v>0</v>
      </c>
      <c r="AF45" s="17"/>
      <c r="AG45" s="17"/>
      <c r="AJ45" s="5" t="s">
        <v>24</v>
      </c>
      <c r="AK45">
        <v>189</v>
      </c>
      <c r="AL45">
        <v>189</v>
      </c>
    </row>
    <row r="46" spans="1:38" x14ac:dyDescent="0.2">
      <c r="A46" t="s">
        <v>65</v>
      </c>
      <c r="B46" s="3" t="s">
        <v>55</v>
      </c>
      <c r="C46" s="8" t="s">
        <v>66</v>
      </c>
      <c r="D46" s="6" cm="1">
        <f t="array" ref="D46">IF(ISBLANK(INDEX($P$2:$Y$60, MATCH(1, ($P$2:$P$60=$A46) * ($Q$2:$Q$60=$B46), 0), MATCH(D$3, $P$1:$Y$1, 0))), "", INDEX($P$2:$Y$60, MATCH(1, ($P$2:$P$60=$A46) * ($Q$2:$Q$60=$B46), 0), MATCH(D$3, $P$1:$Y$1, 0)))</f>
        <v>2</v>
      </c>
      <c r="E46" cm="1">
        <f t="array" ref="E46">INDEX($P$2:$X$60, MATCH(1, ($P$2:$P$60=$A46) * ($Q$2:$Q$60=$B46), 0), MATCH(E$3, $P$1:$X$1, 0))</f>
        <v>1.4760000000000001E-3</v>
      </c>
      <c r="F46" cm="1">
        <f t="array" ref="F46">INDEX($P$2:$X$60, MATCH(1, ($P$2:$P$60=$A46) * ($Q$2:$Q$60=$B46), 0), MATCH(F$3, $P$1:$X$1, 0))</f>
        <v>3.0762000000000001E-2</v>
      </c>
      <c r="G46" cm="1">
        <f t="array" ref="G46">INDEX($P$2:$X$60, MATCH(1, ($P$2:$P$60=$A46) * ($Q$2:$Q$60=$B46), 0), MATCH(G$3, $P$1:$X$1, 0))</f>
        <v>6.8710000000000004E-3</v>
      </c>
      <c r="H46" cm="1">
        <f t="array" ref="H46">INDEX($P$2:$X$60, MATCH(1, ($P$2:$P$60=$A46) * ($Q$2:$Q$60=$B46), 0), MATCH(H$3, $P$1:$X$1, 0))</f>
        <v>4.9890000000000004E-3</v>
      </c>
      <c r="I46" cm="1">
        <f t="array" ref="I46">INDEX($P$2:$X$60, MATCH(1, ($P$2:$P$60=$A46) * ($Q$2:$Q$60=$B46), 0), MATCH(I$3, $P$1:$X$1, 0))</f>
        <v>6.1659651232711967</v>
      </c>
      <c r="J46" cm="1">
        <f t="array" ref="J46">INDEX($P$2:$X$60, MATCH(1, ($P$2:$P$60=$A46) * ($Q$2:$Q$60=$B46), 0), MATCH(J$3, $P$1:$X$1, 0))</f>
        <v>0.29585087191822007</v>
      </c>
      <c r="K46" cm="1">
        <f t="array" ref="K46">INDEX($P$2:$X$60, MATCH(1, ($P$2:$P$60=$A46) * ($Q$2:$Q$60=$B46), 0), MATCH(K$3, $P$1:$X$1, 0))</f>
        <v>1.377229905792744</v>
      </c>
      <c r="L46" t="b" cm="1">
        <f t="array" ref="L46">INDEX($AA$2:$AC$60, MATCH(1, ($P$2:$P$60=$A46) * ($Q$2:$Q$60=$B46), 0), MATCH(I$3, $AA$1:$AC$1, 0))</f>
        <v>1</v>
      </c>
      <c r="M46" t="b" cm="1">
        <f t="array" ref="M46">INDEX($AA$2:$AC$60, MATCH(1, ($P$2:$P$60=$A46) * ($Q$2:$Q$60=$B46), 0), MATCH(J$3, $AA$1:$AC$1, 0))</f>
        <v>1</v>
      </c>
      <c r="N46" t="b" cm="1">
        <f t="array" ref="N46">INDEX($AA$2:$AC$60, MATCH(1, ($P$2:$P$60=$A46) * ($Q$2:$Q$60=$B46), 0), MATCH(K$3, $AA$1:$AC$1, 0))</f>
        <v>0</v>
      </c>
      <c r="P46" s="6" t="s">
        <v>69</v>
      </c>
      <c r="Q46" s="6" t="s">
        <v>33</v>
      </c>
      <c r="R46">
        <f>large!M5</f>
        <v>0.177232</v>
      </c>
      <c r="S46">
        <f>large!N5</f>
        <v>0.669624</v>
      </c>
      <c r="T46" t="e">
        <f>large!O5</f>
        <v>#N/A</v>
      </c>
      <c r="U46">
        <f>large!P5</f>
        <v>0.172121</v>
      </c>
      <c r="V46">
        <f>large!U5</f>
        <v>3.8904259212995509</v>
      </c>
      <c r="W46" t="str">
        <f>large!V5</f>
        <v>DNF</v>
      </c>
      <c r="X46">
        <f>large!W5</f>
        <v>1.0296942267358429</v>
      </c>
      <c r="Y46">
        <v>4</v>
      </c>
      <c r="AA46" t="b">
        <f>large!X28</f>
        <v>1</v>
      </c>
      <c r="AB46" t="b">
        <f>large!Y28</f>
        <v>1</v>
      </c>
      <c r="AC46" t="b">
        <f>large!Z28</f>
        <v>0</v>
      </c>
      <c r="AF46" s="17"/>
      <c r="AG46" s="17"/>
      <c r="AJ46" s="5" t="s">
        <v>28</v>
      </c>
      <c r="AK46">
        <v>9</v>
      </c>
      <c r="AL46">
        <v>9</v>
      </c>
    </row>
    <row r="47" spans="1:38" x14ac:dyDescent="0.2">
      <c r="A47" t="s">
        <v>67</v>
      </c>
      <c r="B47" s="3" t="s">
        <v>55</v>
      </c>
      <c r="C47" s="8" t="s">
        <v>75</v>
      </c>
      <c r="D47" s="6" cm="1">
        <f t="array" ref="D47">IF(ISBLANK(INDEX($P$2:$Y$60, MATCH(1, ($P$2:$P$60=$A47) * ($Q$2:$Q$60=$B47), 0), MATCH(D$3, $P$1:$Y$1, 0))), "-", INDEX($P$2:$Y$60, MATCH(1, ($P$2:$P$60=$A47) * ($Q$2:$Q$60=$B47), 0), MATCH(D$3, $P$1:$Y$1, 0)))</f>
        <v>5</v>
      </c>
      <c r="E47" cm="1">
        <f t="array" ref="E47">INDEX($P$2:$X$60, MATCH(1, ($P$2:$P$60=$A47) * ($Q$2:$Q$60=$B47), 0), MATCH(E$3, $P$1:$X$1, 0))</f>
        <v>0.332675</v>
      </c>
      <c r="F47" cm="1">
        <f t="array" ref="F47">INDEX($P$2:$X$60, MATCH(1, ($P$2:$P$60=$A47) * ($Q$2:$Q$60=$B47), 0), MATCH(F$3, $P$1:$X$1, 0))</f>
        <v>7.9342999999999997E-2</v>
      </c>
      <c r="G47" cm="1">
        <f t="array" ref="G47">INDEX($P$2:$X$60, MATCH(1, ($P$2:$P$60=$A47) * ($Q$2:$Q$60=$B47), 0), MATCH(G$3, $P$1:$X$1, 0))</f>
        <v>2.0929E-2</v>
      </c>
      <c r="H47" cm="1">
        <f t="array" ref="H47">INDEX($P$2:$X$60, MATCH(1, ($P$2:$P$60=$A47) * ($Q$2:$Q$60=$B47), 0), MATCH(H$3, $P$1:$X$1, 0))</f>
        <v>1.7423999999999999E-2</v>
      </c>
      <c r="I47" cm="1">
        <f t="array" ref="I47">INDEX($P$2:$X$60, MATCH(1, ($P$2:$P$60=$A47) * ($Q$2:$Q$60=$B47), 0), MATCH(I$3, $P$1:$X$1, 0))</f>
        <v>4.5536616161616168</v>
      </c>
      <c r="J47" cm="1">
        <f t="array" ref="J47">INDEX($P$2:$X$60, MATCH(1, ($P$2:$P$60=$A47) * ($Q$2:$Q$60=$B47), 0), MATCH(J$3, $P$1:$X$1, 0))</f>
        <v>19.092917814508723</v>
      </c>
      <c r="K47" cm="1">
        <f t="array" ref="K47">INDEX($P$2:$X$60, MATCH(1, ($P$2:$P$60=$A47) * ($Q$2:$Q$60=$B47), 0), MATCH(K$3, $P$1:$X$1, 0))</f>
        <v>1.2011593204775024</v>
      </c>
      <c r="L47" t="b" cm="1">
        <f t="array" ref="L47">INDEX($AA$2:$AC$60, MATCH(1, ($P$2:$P$60=$A47) * ($Q$2:$Q$60=$B47), 0), MATCH(I$3, $AA$1:$AC$1, 0))</f>
        <v>1</v>
      </c>
      <c r="M47" t="b" cm="1">
        <f t="array" ref="M47">INDEX($AA$2:$AC$60, MATCH(1, ($P$2:$P$60=$A47) * ($Q$2:$Q$60=$B47), 0), MATCH(J$3, $AA$1:$AC$1, 0))</f>
        <v>1</v>
      </c>
      <c r="N47" t="b" cm="1">
        <f t="array" ref="N47">INDEX($AA$2:$AC$60, MATCH(1, ($P$2:$P$60=$A47) * ($Q$2:$Q$60=$B47), 0), MATCH(K$3, $AA$1:$AC$1, 0))</f>
        <v>0</v>
      </c>
      <c r="P47" s="6" t="s">
        <v>69</v>
      </c>
      <c r="Q47" s="6" t="s">
        <v>35</v>
      </c>
      <c r="R47">
        <f>large!M6</f>
        <v>1.1081350000000001</v>
      </c>
      <c r="S47">
        <f>large!N6</f>
        <v>14.777259000000001</v>
      </c>
      <c r="T47" t="e">
        <f>large!O6</f>
        <v>#N/A</v>
      </c>
      <c r="U47">
        <f>large!P6</f>
        <v>1.1151880000000001</v>
      </c>
      <c r="V47">
        <f>large!U6</f>
        <v>13.250912850568692</v>
      </c>
      <c r="W47" t="str">
        <f>large!V6</f>
        <v>DNF</v>
      </c>
      <c r="X47">
        <f>large!W6</f>
        <v>0.99367550583399389</v>
      </c>
      <c r="Y47">
        <v>22</v>
      </c>
      <c r="AA47" t="b">
        <f>large!X29</f>
        <v>1</v>
      </c>
      <c r="AB47" t="b">
        <f>large!Y29</f>
        <v>1</v>
      </c>
      <c r="AC47" t="b">
        <f>large!Z29</f>
        <v>0</v>
      </c>
      <c r="AF47" s="17"/>
      <c r="AG47" s="17"/>
      <c r="AJ47" s="5" t="s">
        <v>32</v>
      </c>
      <c r="AK47">
        <v>4</v>
      </c>
      <c r="AL47">
        <v>4</v>
      </c>
    </row>
    <row r="48" spans="1:38" x14ac:dyDescent="0.2">
      <c r="A48" t="s">
        <v>69</v>
      </c>
      <c r="B48" s="3" t="s">
        <v>55</v>
      </c>
      <c r="C48" s="8" t="s">
        <v>68</v>
      </c>
      <c r="D48" s="6" cm="1">
        <f t="array" ref="D48">IF(ISBLANK(INDEX($P$2:$Y$60, MATCH(1, ($P$2:$P$60=$A48) * ($Q$2:$Q$60=$B48), 0), MATCH(D$3, $P$1:$Y$1, 0))), "-", INDEX($P$2:$Y$60, MATCH(1, ($P$2:$P$60=$A48) * ($Q$2:$Q$60=$B48), 0), MATCH(D$3, $P$1:$Y$1, 0)))</f>
        <v>10</v>
      </c>
      <c r="E48" cm="1">
        <f t="array" ref="E48">INDEX($P$2:$X$60, MATCH(1, ($P$2:$P$60=$A48) * ($Q$2:$Q$60=$B48), 0), MATCH(E$3, $P$1:$X$1, 0))</f>
        <v>6.6339059999999996</v>
      </c>
      <c r="F48" cm="1">
        <f t="array" ref="F48">INDEX($P$2:$X$60, MATCH(1, ($P$2:$P$60=$A48) * ($Q$2:$Q$60=$B48), 0), MATCH(F$3, $P$1:$X$1, 0))</f>
        <v>0.25033899999999998</v>
      </c>
      <c r="G48" cm="1">
        <f t="array" ref="G48">INDEX($P$2:$X$60, MATCH(1, ($P$2:$P$60=$A48) * ($Q$2:$Q$60=$B48), 0), MATCH(G$3, $P$1:$X$1, 0))</f>
        <v>6.4223000000000002E-2</v>
      </c>
      <c r="H48" cm="1">
        <f t="array" ref="H48">INDEX($P$2:$X$60, MATCH(1, ($P$2:$P$60=$A48) * ($Q$2:$Q$60=$B48), 0), MATCH(H$3, $P$1:$X$1, 0))</f>
        <v>6.2243E-2</v>
      </c>
      <c r="I48" cm="1">
        <f t="array" ref="I48">INDEX($P$2:$X$60, MATCH(1, ($P$2:$P$60=$A48) * ($Q$2:$Q$60=$B48), 0), MATCH(I$3, $P$1:$X$1, 0))</f>
        <v>4.0219623090146683</v>
      </c>
      <c r="J48" cm="1">
        <f t="array" ref="J48">INDEX($P$2:$X$60, MATCH(1, ($P$2:$P$60=$A48) * ($Q$2:$Q$60=$B48), 0), MATCH(J$3, $P$1:$X$1, 0))</f>
        <v>106.58075606895554</v>
      </c>
      <c r="K48" cm="1">
        <f t="array" ref="K48">INDEX($P$2:$X$60, MATCH(1, ($P$2:$P$60=$A48) * ($Q$2:$Q$60=$B48), 0), MATCH(K$3, $P$1:$X$1, 0))</f>
        <v>1.0318108060344136</v>
      </c>
      <c r="L48" t="b" cm="1">
        <f t="array" ref="L48">INDEX($AA$2:$AC$60, MATCH(1, ($P$2:$P$60=$A48) * ($Q$2:$Q$60=$B48), 0), MATCH(I$3, $AA$1:$AC$1, 0))</f>
        <v>1</v>
      </c>
      <c r="M48" t="b" cm="1">
        <f t="array" ref="M48">INDEX($AA$2:$AC$60, MATCH(1, ($P$2:$P$60=$A48) * ($Q$2:$Q$60=$B48), 0), MATCH(J$3, $AA$1:$AC$1, 0))</f>
        <v>1</v>
      </c>
      <c r="N48" t="b" cm="1">
        <f t="array" ref="N48">INDEX($AA$2:$AC$60, MATCH(1, ($P$2:$P$60=$A48) * ($Q$2:$Q$60=$B48), 0), MATCH(K$3, $AA$1:$AC$1, 0))</f>
        <v>0</v>
      </c>
      <c r="P48" s="6" t="s">
        <v>69</v>
      </c>
      <c r="Q48" s="6" t="s">
        <v>37</v>
      </c>
      <c r="R48">
        <f>large!M7</f>
        <v>2.3800000000000002E-2</v>
      </c>
      <c r="S48">
        <f>large!N7</f>
        <v>5.9309000000000001E-2</v>
      </c>
      <c r="T48" t="e">
        <f>large!O7</f>
        <v>#N/A</v>
      </c>
      <c r="U48">
        <f>large!P7</f>
        <v>1.9702000000000001E-2</v>
      </c>
      <c r="V48">
        <f>large!U7</f>
        <v>3.0103035224850268</v>
      </c>
      <c r="W48" t="str">
        <f>large!V7</f>
        <v>DNF</v>
      </c>
      <c r="X48">
        <f>large!W7</f>
        <v>1.2079991878997056</v>
      </c>
      <c r="Y48">
        <v>1</v>
      </c>
      <c r="AA48" t="b">
        <f>large!X30</f>
        <v>1</v>
      </c>
      <c r="AB48" t="b">
        <f>large!Y30</f>
        <v>1</v>
      </c>
      <c r="AC48" t="b">
        <f>large!Z30</f>
        <v>0</v>
      </c>
      <c r="AF48" s="17"/>
      <c r="AG48" s="17"/>
      <c r="AJ48" s="5" t="s">
        <v>34</v>
      </c>
      <c r="AK48">
        <v>22</v>
      </c>
      <c r="AL48">
        <v>22</v>
      </c>
    </row>
    <row r="49" spans="1:38" x14ac:dyDescent="0.2">
      <c r="A49" t="s">
        <v>65</v>
      </c>
      <c r="B49" s="3" t="s">
        <v>56</v>
      </c>
      <c r="C49" t="s">
        <v>66</v>
      </c>
      <c r="D49" s="6" cm="1">
        <f t="array" ref="D49">IF(ISBLANK(INDEX($P$2:$Y$60, MATCH(1, ($P$2:$P$60=$A49) * ($Q$2:$Q$60=$B49), 0), MATCH(D$3, $P$1:$Y$1, 0))), "", INDEX($P$2:$Y$60, MATCH(1, ($P$2:$P$60=$A49) * ($Q$2:$Q$60=$B49), 0), MATCH(D$3, $P$1:$Y$1, 0)))</f>
        <v>7</v>
      </c>
      <c r="E49" cm="1">
        <f t="array" ref="E49">INDEX($P$2:$X$60, MATCH(1, ($P$2:$P$60=$A49) * ($Q$2:$Q$60=$B49), 0), MATCH(E$3, $P$1:$X$1, 0))</f>
        <v>2.8660000000000001E-3</v>
      </c>
      <c r="F49" cm="1">
        <f t="array" ref="F49">INDEX($P$2:$X$60, MATCH(1, ($P$2:$P$60=$A49) * ($Q$2:$Q$60=$B49), 0), MATCH(F$3, $P$1:$X$1, 0))</f>
        <v>0.15992999999999999</v>
      </c>
      <c r="G49" cm="1">
        <f t="array" ref="G49">INDEX($P$2:$X$60, MATCH(1, ($P$2:$P$60=$A49) * ($Q$2:$Q$60=$B49), 0), MATCH(G$3, $P$1:$X$1, 0))</f>
        <v>1.1426E-2</v>
      </c>
      <c r="H49" cm="1">
        <f t="array" ref="H49">INDEX($P$2:$X$60, MATCH(1, ($P$2:$P$60=$A49) * ($Q$2:$Q$60=$B49), 0), MATCH(H$3, $P$1:$X$1, 0))</f>
        <v>8.2719999999999998E-3</v>
      </c>
      <c r="I49" cm="1">
        <f t="array" ref="I49">INDEX($P$2:$X$60, MATCH(1, ($P$2:$P$60=$A49) * ($Q$2:$Q$60=$B49), 0), MATCH(I$3, $P$1:$X$1, 0))</f>
        <v>19.333897485493228</v>
      </c>
      <c r="J49" cm="1">
        <f t="array" ref="J49">INDEX($P$2:$X$60, MATCH(1, ($P$2:$P$60=$A49) * ($Q$2:$Q$60=$B49), 0), MATCH(J$3, $P$1:$X$1, 0))</f>
        <v>0.34647001934235977</v>
      </c>
      <c r="K49" cm="1">
        <f t="array" ref="K49">INDEX($P$2:$X$60, MATCH(1, ($P$2:$P$60=$A49) * ($Q$2:$Q$60=$B49), 0), MATCH(K$3, $P$1:$X$1, 0))</f>
        <v>1.3812862669245649</v>
      </c>
      <c r="L49" t="b" cm="1">
        <f t="array" ref="L49">INDEX($AA$2:$AC$60, MATCH(1, ($P$2:$P$60=$A49) * ($Q$2:$Q$60=$B49), 0), MATCH(I$3, $AA$1:$AC$1, 0))</f>
        <v>1</v>
      </c>
      <c r="M49" t="b" cm="1">
        <f t="array" ref="M49">INDEX($AA$2:$AC$60, MATCH(1, ($P$2:$P$60=$A49) * ($Q$2:$Q$60=$B49), 0), MATCH(J$3, $AA$1:$AC$1, 0))</f>
        <v>1</v>
      </c>
      <c r="N49" t="b" cm="1">
        <f t="array" ref="N49">INDEX($AA$2:$AC$60, MATCH(1, ($P$2:$P$60=$A49) * ($Q$2:$Q$60=$B49), 0), MATCH(K$3, $AA$1:$AC$1, 0))</f>
        <v>0</v>
      </c>
      <c r="P49" s="6" t="s">
        <v>69</v>
      </c>
      <c r="Q49" s="6" t="s">
        <v>38</v>
      </c>
      <c r="R49">
        <f>large!M8</f>
        <v>0.83143599999999995</v>
      </c>
      <c r="S49">
        <f>large!N8</f>
        <v>1.0160309999999999</v>
      </c>
      <c r="T49">
        <f>large!O8</f>
        <v>40.566226999999998</v>
      </c>
      <c r="U49">
        <f>large!P8</f>
        <v>0.78751300000000002</v>
      </c>
      <c r="V49">
        <f>large!U8</f>
        <v>1.2901767970814448</v>
      </c>
      <c r="W49">
        <f>large!V8</f>
        <v>51.511818852514175</v>
      </c>
      <c r="X49">
        <f>large!W8</f>
        <v>1.0557743173763481</v>
      </c>
      <c r="Y49">
        <v>3</v>
      </c>
      <c r="AA49" t="b">
        <f>large!X31</f>
        <v>1</v>
      </c>
      <c r="AB49" t="b">
        <f>large!Y31</f>
        <v>1</v>
      </c>
      <c r="AC49" t="b">
        <f>large!Z31</f>
        <v>0</v>
      </c>
      <c r="AF49" s="17"/>
      <c r="AG49" s="17"/>
      <c r="AJ49" s="5" t="s">
        <v>36</v>
      </c>
      <c r="AK49">
        <v>1</v>
      </c>
      <c r="AL49">
        <v>1</v>
      </c>
    </row>
    <row r="50" spans="1:38" x14ac:dyDescent="0.2">
      <c r="A50" t="s">
        <v>67</v>
      </c>
      <c r="B50" s="3" t="s">
        <v>56</v>
      </c>
      <c r="C50" t="s">
        <v>74</v>
      </c>
      <c r="D50" s="6" cm="1">
        <f t="array" ref="D50">IF(ISBLANK(INDEX($P$2:$Y$60, MATCH(1, ($P$2:$P$60=$A50) * ($Q$2:$Q$60=$B50), 0), MATCH(D$3, $P$1:$Y$1, 0))), "-", INDEX($P$2:$Y$60, MATCH(1, ($P$2:$P$60=$A50) * ($Q$2:$Q$60=$B50), 0), MATCH(D$3, $P$1:$Y$1, 0)))</f>
        <v>7</v>
      </c>
      <c r="E50" t="e" cm="1">
        <f t="array" ref="E50">INDEX($P$2:$X$60, MATCH(1, ($P$2:$P$60=$A50) * ($Q$2:$Q$60=$B50), 0), MATCH(E$3, $P$1:$X$1, 0))</f>
        <v>#N/A</v>
      </c>
      <c r="F50" cm="1">
        <f t="array" ref="F50">INDEX($P$2:$X$60, MATCH(1, ($P$2:$P$60=$A50) * ($Q$2:$Q$60=$B50), 0), MATCH(F$3, $P$1:$X$1, 0))</f>
        <v>2.6106609999999999</v>
      </c>
      <c r="G50" cm="1">
        <f t="array" ref="G50">INDEX($P$2:$X$60, MATCH(1, ($P$2:$P$60=$A50) * ($Q$2:$Q$60=$B50), 0), MATCH(G$3, $P$1:$X$1, 0))</f>
        <v>0.124113</v>
      </c>
      <c r="H50" cm="1">
        <f t="array" ref="H50">INDEX($P$2:$X$60, MATCH(1, ($P$2:$P$60=$A50) * ($Q$2:$Q$60=$B50), 0), MATCH(H$3, $P$1:$X$1, 0))</f>
        <v>0.123728</v>
      </c>
      <c r="I50" cm="1">
        <f t="array" ref="I50">INDEX($P$2:$X$60, MATCH(1, ($P$2:$P$60=$A50) * ($Q$2:$Q$60=$B50), 0), MATCH(I$3, $P$1:$X$1, 0))</f>
        <v>21.100001616448985</v>
      </c>
      <c r="J50" t="str" cm="1">
        <f t="array" ref="J50">INDEX($P$2:$X$60, MATCH(1, ($P$2:$P$60=$A50) * ($Q$2:$Q$60=$B50), 0), MATCH(J$3, $P$1:$X$1, 0))</f>
        <v>DNF</v>
      </c>
      <c r="K50" cm="1">
        <f t="array" ref="K50">INDEX($P$2:$X$60, MATCH(1, ($P$2:$P$60=$A50) * ($Q$2:$Q$60=$B50), 0), MATCH(K$3, $P$1:$X$1, 0))</f>
        <v>1.0031116642958748</v>
      </c>
      <c r="L50" t="b" cm="1">
        <f t="array" ref="L50">INDEX($AA$2:$AC$60, MATCH(1, ($P$2:$P$60=$A50) * ($Q$2:$Q$60=$B50), 0), MATCH(I$3, $AA$1:$AC$1, 0))</f>
        <v>1</v>
      </c>
      <c r="M50" t="b" cm="1">
        <f t="array" ref="M50">INDEX($AA$2:$AC$60, MATCH(1, ($P$2:$P$60=$A50) * ($Q$2:$Q$60=$B50), 0), MATCH(J$3, $AA$1:$AC$1, 0))</f>
        <v>1</v>
      </c>
      <c r="N50" t="b" cm="1">
        <f t="array" ref="N50">INDEX($AA$2:$AC$60, MATCH(1, ($P$2:$P$60=$A50) * ($Q$2:$Q$60=$B50), 0), MATCH(K$3, $AA$1:$AC$1, 0))</f>
        <v>0</v>
      </c>
      <c r="P50" s="6" t="s">
        <v>69</v>
      </c>
      <c r="Q50" s="6" t="s">
        <v>40</v>
      </c>
      <c r="R50">
        <f>large!M9</f>
        <v>31.674879000000001</v>
      </c>
      <c r="S50">
        <f>large!N9</f>
        <v>318.531181</v>
      </c>
      <c r="T50" t="e">
        <f>large!O9</f>
        <v>#N/A</v>
      </c>
      <c r="U50">
        <f>large!P9</f>
        <v>31.570931000000002</v>
      </c>
      <c r="V50">
        <f>large!U9</f>
        <v>10.089381938087286</v>
      </c>
      <c r="W50" t="str">
        <f>large!V9</f>
        <v>DNF</v>
      </c>
      <c r="X50">
        <f>large!W9</f>
        <v>1.0032925224789855</v>
      </c>
      <c r="Y50">
        <v>14</v>
      </c>
      <c r="AA50" t="b">
        <f>large!X32</f>
        <v>1</v>
      </c>
      <c r="AB50" t="b">
        <f>large!Y32</f>
        <v>1</v>
      </c>
      <c r="AC50" t="b">
        <f>large!Z32</f>
        <v>0</v>
      </c>
      <c r="AF50" s="17"/>
      <c r="AG50" s="17"/>
      <c r="AJ50" s="5" t="s">
        <v>2</v>
      </c>
      <c r="AK50">
        <v>3</v>
      </c>
      <c r="AL50">
        <v>3</v>
      </c>
    </row>
    <row r="51" spans="1:38" x14ac:dyDescent="0.2">
      <c r="A51" t="s">
        <v>69</v>
      </c>
      <c r="B51" s="3" t="s">
        <v>56</v>
      </c>
      <c r="C51" t="s">
        <v>80</v>
      </c>
      <c r="D51" s="6" t="str" cm="1">
        <f t="array" ref="D51">IF(ISBLANK(INDEX($P$2:$Y$60, MATCH(1, ($P$2:$P$60=$A51) * ($Q$2:$Q$60=$B51), 0), MATCH(D$3, $P$1:$Y$1, 0))), "-", INDEX($P$2:$Y$60, MATCH(1, ($P$2:$P$60=$A51) * ($Q$2:$Q$60=$B51), 0), MATCH(D$3, $P$1:$Y$1, 0)))</f>
        <v>-</v>
      </c>
      <c r="E51" t="e" cm="1">
        <f t="array" ref="E51">INDEX($P$2:$X$60, MATCH(1, ($P$2:$P$60=$A51) * ($Q$2:$Q$60=$B51), 0), MATCH(E$3, $P$1:$X$1, 0))</f>
        <v>#N/A</v>
      </c>
      <c r="F51" cm="1">
        <f t="array" ref="F51">INDEX($P$2:$X$60, MATCH(1, ($P$2:$P$60=$A51) * ($Q$2:$Q$60=$B51), 0), MATCH(F$3, $P$1:$X$1, 0))</f>
        <v>9.9756239999999998</v>
      </c>
      <c r="G51" cm="1">
        <f t="array" ref="G51">INDEX($P$2:$X$60, MATCH(1, ($P$2:$P$60=$A51) * ($Q$2:$Q$60=$B51), 0), MATCH(G$3, $P$1:$X$1, 0))</f>
        <v>1.32355</v>
      </c>
      <c r="H51" cm="1">
        <f t="array" ref="H51">INDEX($P$2:$X$60, MATCH(1, ($P$2:$P$60=$A51) * ($Q$2:$Q$60=$B51), 0), MATCH(H$3, $P$1:$X$1, 0))</f>
        <v>1.3558479999999999</v>
      </c>
      <c r="I51" cm="1">
        <f t="array" ref="I51">INDEX($P$2:$X$60, MATCH(1, ($P$2:$P$60=$A51) * ($Q$2:$Q$60=$B51), 0), MATCH(I$3, $P$1:$X$1, 0))</f>
        <v>7.3574795994831277</v>
      </c>
      <c r="J51" t="str" cm="1">
        <f t="array" ref="J51">INDEX($P$2:$X$60, MATCH(1, ($P$2:$P$60=$A51) * ($Q$2:$Q$60=$B51), 0), MATCH(J$3, $P$1:$X$1, 0))</f>
        <v>DNF</v>
      </c>
      <c r="K51" cm="1">
        <f t="array" ref="K51">INDEX($P$2:$X$60, MATCH(1, ($P$2:$P$60=$A51) * ($Q$2:$Q$60=$B51), 0), MATCH(K$3, $P$1:$X$1, 0))</f>
        <v>0.97617874570010799</v>
      </c>
      <c r="L51" t="b" cm="1">
        <f t="array" ref="L51">INDEX($AA$2:$AC$60, MATCH(1, ($P$2:$P$60=$A51) * ($Q$2:$Q$60=$B51), 0), MATCH(I$3, $AA$1:$AC$1, 0))</f>
        <v>1</v>
      </c>
      <c r="M51" t="b" cm="1">
        <f t="array" ref="M51">INDEX($AA$2:$AC$60, MATCH(1, ($P$2:$P$60=$A51) * ($Q$2:$Q$60=$B51), 0), MATCH(J$3, $AA$1:$AC$1, 0))</f>
        <v>1</v>
      </c>
      <c r="N51" t="b" cm="1">
        <f t="array" ref="N51">INDEX($AA$2:$AC$60, MATCH(1, ($P$2:$P$60=$A51) * ($Q$2:$Q$60=$B51), 0), MATCH(K$3, $AA$1:$AC$1, 0))</f>
        <v>0</v>
      </c>
      <c r="P51" s="6" t="s">
        <v>69</v>
      </c>
      <c r="Q51" s="6" t="s">
        <v>42</v>
      </c>
      <c r="R51">
        <f>large!M10</f>
        <v>1.3561E-2</v>
      </c>
      <c r="S51">
        <f>large!N10</f>
        <v>0.12911900000000001</v>
      </c>
      <c r="T51">
        <f>large!O10</f>
        <v>257.40468099999998</v>
      </c>
      <c r="U51">
        <f>large!P10</f>
        <v>1.2593E-2</v>
      </c>
      <c r="V51">
        <f>large!U10</f>
        <v>10.253235924720084</v>
      </c>
      <c r="W51">
        <f>large!V10</f>
        <v>20440.298657984593</v>
      </c>
      <c r="X51">
        <f>large!W10</f>
        <v>1.0768681013261336</v>
      </c>
      <c r="Y51">
        <v>5</v>
      </c>
      <c r="AA51" t="b">
        <f>large!X33</f>
        <v>1</v>
      </c>
      <c r="AB51" t="b">
        <f>large!Y33</f>
        <v>1</v>
      </c>
      <c r="AC51" t="b">
        <f>large!Z33</f>
        <v>0</v>
      </c>
      <c r="AF51" s="17"/>
      <c r="AG51" s="17"/>
      <c r="AJ51" s="5" t="s">
        <v>39</v>
      </c>
      <c r="AK51">
        <v>14</v>
      </c>
      <c r="AL51">
        <v>14</v>
      </c>
    </row>
    <row r="52" spans="1:38" x14ac:dyDescent="0.2">
      <c r="P52" s="6" t="s">
        <v>69</v>
      </c>
      <c r="Q52" s="6" t="s">
        <v>44</v>
      </c>
      <c r="R52">
        <f>large!M11</f>
        <v>450.077224</v>
      </c>
      <c r="S52" t="e">
        <f>large!N11</f>
        <v>#N/A</v>
      </c>
      <c r="T52" t="e">
        <f>large!O11</f>
        <v>#N/A</v>
      </c>
      <c r="U52">
        <f>large!P11</f>
        <v>454.28804400000001</v>
      </c>
      <c r="V52" t="str">
        <f>large!U11</f>
        <v>DNF</v>
      </c>
      <c r="W52" t="str">
        <f>large!V11</f>
        <v>DNF</v>
      </c>
      <c r="X52">
        <f>large!W11</f>
        <v>0.99073094690557162</v>
      </c>
      <c r="AA52" t="b">
        <f>large!X34</f>
        <v>1</v>
      </c>
      <c r="AB52" t="b">
        <f>large!Y34</f>
        <v>1</v>
      </c>
      <c r="AC52" t="b">
        <f>large!Z34</f>
        <v>0</v>
      </c>
      <c r="AF52" s="17"/>
      <c r="AG52" s="17"/>
      <c r="AJ52" s="5" t="s">
        <v>41</v>
      </c>
      <c r="AK52">
        <v>5</v>
      </c>
      <c r="AL52">
        <v>5</v>
      </c>
    </row>
    <row r="53" spans="1:38" x14ac:dyDescent="0.2">
      <c r="P53" s="6" t="s">
        <v>69</v>
      </c>
      <c r="Q53" s="6" t="s">
        <v>47</v>
      </c>
      <c r="R53">
        <f>large!M12</f>
        <v>0.51047799999999999</v>
      </c>
      <c r="S53" t="e">
        <f>large!N12</f>
        <v>#N/A</v>
      </c>
      <c r="T53" t="e">
        <f>large!O12</f>
        <v>#N/A</v>
      </c>
      <c r="U53">
        <f>large!P12</f>
        <v>0.49288900000000002</v>
      </c>
      <c r="V53" t="str">
        <f>large!U12</f>
        <v>DNF</v>
      </c>
      <c r="W53" t="str">
        <f>large!V12</f>
        <v>DNF</v>
      </c>
      <c r="X53">
        <f>large!W12</f>
        <v>1.0356855194577277</v>
      </c>
      <c r="AA53" t="b">
        <f>large!X35</f>
        <v>1</v>
      </c>
      <c r="AB53" t="b">
        <f>large!Y35</f>
        <v>1</v>
      </c>
      <c r="AC53" t="b">
        <f>large!Z35</f>
        <v>0</v>
      </c>
      <c r="AJ53" s="5" t="s">
        <v>45</v>
      </c>
      <c r="AK53">
        <v>2</v>
      </c>
      <c r="AL53">
        <v>2</v>
      </c>
    </row>
    <row r="54" spans="1:38" x14ac:dyDescent="0.2">
      <c r="P54" s="6" t="s">
        <v>69</v>
      </c>
      <c r="Q54" s="6" t="s">
        <v>49</v>
      </c>
      <c r="R54">
        <f>large!M13</f>
        <v>0.43233899999999997</v>
      </c>
      <c r="S54">
        <f>large!N13</f>
        <v>0.74385100000000004</v>
      </c>
      <c r="T54" t="e">
        <f>large!O13</f>
        <v>#N/A</v>
      </c>
      <c r="U54">
        <f>large!P13</f>
        <v>0.38301600000000002</v>
      </c>
      <c r="V54">
        <f>large!U13</f>
        <v>1.9420885811558786</v>
      </c>
      <c r="W54" t="str">
        <f>large!V13</f>
        <v>DNF</v>
      </c>
      <c r="X54">
        <f>large!W13</f>
        <v>1.1287752992042106</v>
      </c>
      <c r="Y54">
        <v>2</v>
      </c>
      <c r="AA54" t="b">
        <f>large!X36</f>
        <v>1</v>
      </c>
      <c r="AB54" t="b">
        <f>large!Y36</f>
        <v>1</v>
      </c>
      <c r="AC54" t="b">
        <f>large!Z36</f>
        <v>0</v>
      </c>
      <c r="AJ54" s="5" t="s">
        <v>48</v>
      </c>
      <c r="AK54">
        <v>7</v>
      </c>
      <c r="AL54">
        <v>7</v>
      </c>
    </row>
    <row r="55" spans="1:38" x14ac:dyDescent="0.2">
      <c r="P55" s="6" t="s">
        <v>69</v>
      </c>
      <c r="Q55" s="6" t="s">
        <v>50</v>
      </c>
      <c r="R55">
        <f>large!M14</f>
        <v>0.85773500000000003</v>
      </c>
      <c r="S55">
        <f>large!N14</f>
        <v>4.7958179999999997</v>
      </c>
      <c r="T55" t="e">
        <f>large!O14</f>
        <v>#N/A</v>
      </c>
      <c r="U55">
        <f>large!P14</f>
        <v>0.87324100000000004</v>
      </c>
      <c r="V55">
        <f>large!U14</f>
        <v>5.4919752966248714</v>
      </c>
      <c r="W55" t="str">
        <f>large!V14</f>
        <v>DNF</v>
      </c>
      <c r="X55">
        <f>large!W14</f>
        <v>0.98224316082272822</v>
      </c>
      <c r="Y55">
        <v>7</v>
      </c>
      <c r="AA55" t="b">
        <f>large!X37</f>
        <v>1</v>
      </c>
      <c r="AB55" t="b">
        <f>large!Y37</f>
        <v>1</v>
      </c>
      <c r="AC55" t="b">
        <f>large!Z37</f>
        <v>0</v>
      </c>
      <c r="AJ55" s="5" t="s">
        <v>26</v>
      </c>
      <c r="AK55">
        <v>42</v>
      </c>
      <c r="AL55">
        <v>42</v>
      </c>
    </row>
    <row r="56" spans="1:38" x14ac:dyDescent="0.2">
      <c r="A56" t="s">
        <v>81</v>
      </c>
      <c r="P56" s="6" t="s">
        <v>69</v>
      </c>
      <c r="Q56" s="6" t="s">
        <v>52</v>
      </c>
      <c r="R56">
        <f>large!M15</f>
        <v>2.5157530000000001</v>
      </c>
      <c r="S56" t="e">
        <f>large!N15</f>
        <v>#N/A</v>
      </c>
      <c r="T56" t="e">
        <f>large!O15</f>
        <v>#N/A</v>
      </c>
      <c r="U56">
        <f>large!P15</f>
        <v>2.4506489999999999</v>
      </c>
      <c r="V56" t="str">
        <f>large!U15</f>
        <v>DNF</v>
      </c>
      <c r="W56" t="str">
        <f>large!V15</f>
        <v>DNF</v>
      </c>
      <c r="X56">
        <f>large!W15</f>
        <v>1.0265660239389649</v>
      </c>
      <c r="AA56" t="b">
        <f>large!X38</f>
        <v>1</v>
      </c>
      <c r="AB56" t="b">
        <f>large!Y38</f>
        <v>1</v>
      </c>
      <c r="AC56" t="b">
        <f>large!Z38</f>
        <v>0</v>
      </c>
      <c r="AJ56" s="5" t="s">
        <v>30</v>
      </c>
      <c r="AK56">
        <v>17</v>
      </c>
      <c r="AL56">
        <v>17</v>
      </c>
    </row>
    <row r="57" spans="1:38" x14ac:dyDescent="0.2">
      <c r="A57" s="12" t="s">
        <v>12</v>
      </c>
      <c r="B57" s="6" t="s">
        <v>64</v>
      </c>
      <c r="C57" s="6" t="s">
        <v>63</v>
      </c>
      <c r="D57" s="6" t="s">
        <v>16</v>
      </c>
      <c r="E57" s="6" t="s">
        <v>82</v>
      </c>
      <c r="F57" s="6" t="s">
        <v>14</v>
      </c>
      <c r="G57" s="6" t="s">
        <v>107</v>
      </c>
      <c r="H57" s="23" t="s">
        <v>84</v>
      </c>
      <c r="I57" s="24" t="s">
        <v>83</v>
      </c>
      <c r="J57" s="24" t="s">
        <v>121</v>
      </c>
      <c r="P57" s="6" t="s">
        <v>69</v>
      </c>
      <c r="Q57" s="6" t="s">
        <v>54</v>
      </c>
      <c r="R57">
        <f>large!M16</f>
        <v>0.162852</v>
      </c>
      <c r="S57">
        <f>large!N16</f>
        <v>1.7730919999999999</v>
      </c>
      <c r="T57">
        <f>large!O16</f>
        <v>233.75161800000001</v>
      </c>
      <c r="U57">
        <f>large!P16</f>
        <v>0.166826</v>
      </c>
      <c r="V57">
        <f>large!U16</f>
        <v>10.628391257957391</v>
      </c>
      <c r="W57">
        <f>large!V16</f>
        <v>1401.1701892990302</v>
      </c>
      <c r="X57">
        <f>large!W16</f>
        <v>0.97617877309292311</v>
      </c>
      <c r="Y57">
        <v>42</v>
      </c>
      <c r="AA57" t="b">
        <f>large!X39</f>
        <v>1</v>
      </c>
      <c r="AB57" t="b">
        <f>large!Y39</f>
        <v>1</v>
      </c>
      <c r="AC57" t="b">
        <f>large!Z39</f>
        <v>0</v>
      </c>
      <c r="AJ57" s="5" t="s">
        <v>53</v>
      </c>
      <c r="AK57">
        <v>10</v>
      </c>
      <c r="AL57">
        <v>10</v>
      </c>
    </row>
    <row r="58" spans="1:38" x14ac:dyDescent="0.2">
      <c r="A58" s="13" t="s">
        <v>25</v>
      </c>
      <c r="B58" s="8" t="str">
        <f>C4</f>
        <v>0.01MB</v>
      </c>
      <c r="C58" s="6">
        <f>IF(ISBLANK(D4), "-", D4)</f>
        <v>3</v>
      </c>
      <c r="D58" s="14" t="str">
        <f>IF(ISNA(E4), $C$1, TEXT(E4, "0.000"))</f>
        <v>0.002</v>
      </c>
      <c r="E58" s="14" t="str">
        <f t="shared" ref="D58:G73" si="0">IF(ISNA(F4), $C$1, TEXT(F4, "0.000"))</f>
        <v>0.047</v>
      </c>
      <c r="F58" s="14" t="str">
        <f t="shared" si="0"/>
        <v>0.008</v>
      </c>
      <c r="G58" s="14" t="str">
        <f t="shared" si="0"/>
        <v>0.005</v>
      </c>
      <c r="H58" s="15" t="str">
        <f>IF($F58=$C$1, $D$1, IF($J4="DNF", "&gt;" &amp; TEXT($B$1/$F58,"0.00") &amp; "X", TEXT($J4, "0.00") &amp; "X" &amp; IF(M4, "", "*")))</f>
        <v>0.35X</v>
      </c>
      <c r="I58" s="14" t="str">
        <f>IF($F58=$C$1, $D$1, IF($I4="DNF", "&gt;" &amp; TEXT($B$1/$F58,"0.00") &amp; "X", TEXT($I4, "0.00") &amp; "X" &amp; IF(L4, "", "*")))</f>
        <v>8.75X</v>
      </c>
      <c r="J58" s="14" t="str">
        <f>IF($F58=$C$1, $D$1, IF($K4="DNF", "&gt;" &amp; TEXT($B$1/$F58,"0.00") &amp; "X", TEXT($K4, "0.00") &amp; "X" &amp; IF(N4, "", "*")))</f>
        <v>1.43X*</v>
      </c>
      <c r="K58" s="15" t="str">
        <f>"&amp;" &amp; B58 &amp; "&amp;" &amp; C58 &amp; "&amp;" &amp; D58 &amp; "&amp;" &amp; E58 &amp; "&amp;" &amp; F58 &amp; "&amp;" &amp; H58 &amp; "&amp;" &amp; I58 &amp;  "&amp;" &amp;  J58  &amp; "\\"</f>
        <v>&amp;0.01MB&amp;3&amp;0.002&amp;0.047&amp;0.008&amp;0.35X&amp;8.75X&amp;1.43X*\\</v>
      </c>
      <c r="P58" s="6" t="s">
        <v>69</v>
      </c>
      <c r="Q58" s="6" t="s">
        <v>55</v>
      </c>
      <c r="R58">
        <f>large!M17</f>
        <v>6.4223000000000002E-2</v>
      </c>
      <c r="S58">
        <f>large!N17</f>
        <v>0.25033899999999998</v>
      </c>
      <c r="T58">
        <f>large!O17</f>
        <v>6.6339059999999996</v>
      </c>
      <c r="U58">
        <f>large!P17</f>
        <v>6.2243E-2</v>
      </c>
      <c r="V58">
        <f>large!U17</f>
        <v>4.0219623090146683</v>
      </c>
      <c r="W58">
        <f>large!V17</f>
        <v>106.58075606895554</v>
      </c>
      <c r="X58">
        <f>large!W17</f>
        <v>1.0318108060344136</v>
      </c>
      <c r="Y58">
        <v>10</v>
      </c>
      <c r="AA58" t="b">
        <f>large!X40</f>
        <v>1</v>
      </c>
      <c r="AB58" t="b">
        <f>large!Y40</f>
        <v>1</v>
      </c>
      <c r="AC58" t="b">
        <f>large!Z40</f>
        <v>0</v>
      </c>
    </row>
    <row r="59" spans="1:38" x14ac:dyDescent="0.2">
      <c r="A59" s="13"/>
      <c r="B59" s="8" t="str">
        <f t="shared" ref="B59:B105" si="1">C5</f>
        <v>10MB</v>
      </c>
      <c r="C59" s="6">
        <f t="shared" ref="C59:C105" si="2">IF(ISBLANK(D5), "-", D5)</f>
        <v>15</v>
      </c>
      <c r="D59" s="14" t="str">
        <f t="shared" si="0"/>
        <v>3.712</v>
      </c>
      <c r="E59" s="14" t="str">
        <f t="shared" si="0"/>
        <v>0.423</v>
      </c>
      <c r="F59" s="14" t="str">
        <f t="shared" si="0"/>
        <v>0.209</v>
      </c>
      <c r="G59" s="14" t="str">
        <f>IF(ISNA(H5), $C$1, TEXT(H5, "0.000"))</f>
        <v>0.214</v>
      </c>
      <c r="H59" s="15" t="str">
        <f t="shared" ref="H59:H105" si="3">IF($F59=$C$1, $D$1, IF($J5="DNF", "&gt;" &amp; TEXT($B$1/$F59,"0.00") &amp; "X", TEXT($J5, "0.00") &amp; "X" &amp; IF(M5, "", "*")))</f>
        <v>17.38X</v>
      </c>
      <c r="I59" s="14" t="str">
        <f>IF($F59=$C$1, $D$1, IF($I5="DNF", "&gt;" &amp; TEXT($B$1/$F59,"0.00") &amp; "X", TEXT($I5, "0.00") &amp; "X" &amp; IF(L5, "", "*")))</f>
        <v>1.98X</v>
      </c>
      <c r="J59" s="14" t="str">
        <f t="shared" ref="J59:J105" si="4">IF($F59=$C$1, $D$1, IF($K5="DNF", "&gt;" &amp; TEXT($B$1/$F59,"0.00") &amp; "X", TEXT($K5, "0.00") &amp; "X" &amp; IF(N5, "", "*")))</f>
        <v>0.98X*</v>
      </c>
      <c r="K59" s="15" t="str">
        <f t="shared" ref="K59:K105" si="5">"&amp;" &amp; B59 &amp; "&amp;" &amp; C59 &amp; "&amp;" &amp; D59 &amp; "&amp;" &amp; E59 &amp; "&amp;" &amp; F59 &amp; "&amp;" &amp; H59 &amp; "&amp;" &amp; I59 &amp;  "&amp;" &amp;  J59  &amp; "\\"</f>
        <v>&amp;10MB&amp;15&amp;3.712&amp;0.423&amp;0.209&amp;17.38X&amp;1.98X&amp;0.98X*\\</v>
      </c>
      <c r="P59" s="6" t="s">
        <v>69</v>
      </c>
      <c r="Q59" s="6" t="s">
        <v>56</v>
      </c>
      <c r="R59">
        <f>large!M18</f>
        <v>1.32355</v>
      </c>
      <c r="S59">
        <f>large!N18</f>
        <v>9.9756239999999998</v>
      </c>
      <c r="T59" t="e">
        <f>large!O18</f>
        <v>#N/A</v>
      </c>
      <c r="U59">
        <f>large!P18</f>
        <v>1.3558479999999999</v>
      </c>
      <c r="V59">
        <f>large!U18</f>
        <v>7.3574795994831277</v>
      </c>
      <c r="W59" t="str">
        <f>large!V18</f>
        <v>DNF</v>
      </c>
      <c r="X59">
        <f>large!W18</f>
        <v>0.97617874570010799</v>
      </c>
      <c r="AA59" t="b">
        <f>large!X41</f>
        <v>1</v>
      </c>
      <c r="AB59" t="b">
        <f>large!Y41</f>
        <v>1</v>
      </c>
      <c r="AC59" t="b">
        <f>large!Z41</f>
        <v>0</v>
      </c>
    </row>
    <row r="60" spans="1:38" x14ac:dyDescent="0.2">
      <c r="A60" s="13"/>
      <c r="B60" s="8" t="str">
        <f t="shared" si="1"/>
        <v>100MB</v>
      </c>
      <c r="C60" s="6">
        <f t="shared" si="2"/>
        <v>189</v>
      </c>
      <c r="D60" s="14" t="str">
        <f t="shared" si="0"/>
        <v>TO</v>
      </c>
      <c r="E60" s="14" t="str">
        <f>IF(ISNA(F6), $C$1, TEXT(F6, "0.000"))</f>
        <v>TO</v>
      </c>
      <c r="F60" s="14" t="str">
        <f t="shared" si="0"/>
        <v>39.469</v>
      </c>
      <c r="G60" s="14" t="str">
        <f t="shared" si="0"/>
        <v>39.522</v>
      </c>
      <c r="H60" s="15" t="str">
        <f t="shared" si="3"/>
        <v>&gt;15.20X</v>
      </c>
      <c r="I60" s="14" t="str">
        <f t="shared" ref="I60:I105" si="6">IF($F60=$C$1, $D$1, IF($I6="DNF", "&gt;" &amp; TEXT($B$1/$F60,"0.00") &amp; "X", TEXT($I6, "0.00") &amp; "X" &amp; IF(L6, "", "*")))</f>
        <v>&gt;15.20X</v>
      </c>
      <c r="J60" s="14" t="str">
        <f t="shared" si="4"/>
        <v>1.00X*</v>
      </c>
      <c r="K60" s="15" t="str">
        <f t="shared" si="5"/>
        <v>&amp;100MB&amp;189&amp;TO&amp;TO&amp;39.469&amp;&gt;15.20X&amp;&gt;15.20X&amp;1.00X*\\</v>
      </c>
    </row>
    <row r="61" spans="1:38" x14ac:dyDescent="0.2">
      <c r="A61" s="13" t="s">
        <v>29</v>
      </c>
      <c r="B61" s="11" t="str">
        <f t="shared" si="1"/>
        <v>0.01MB</v>
      </c>
      <c r="C61" s="6">
        <f t="shared" si="2"/>
        <v>3</v>
      </c>
      <c r="D61" s="14" t="str">
        <f t="shared" si="0"/>
        <v>0.001</v>
      </c>
      <c r="E61" s="14" t="str">
        <f>IF(ISNA(F7), $C$1, TEXT(F7, "0.000"))</f>
        <v>0.055</v>
      </c>
      <c r="F61" s="14" t="str">
        <f t="shared" si="0"/>
        <v>0.013</v>
      </c>
      <c r="G61" s="14" t="str">
        <f t="shared" si="0"/>
        <v>0.012</v>
      </c>
      <c r="H61" s="15" t="str">
        <f t="shared" si="3"/>
        <v>0.12X</v>
      </c>
      <c r="I61" s="14" t="str">
        <f t="shared" si="6"/>
        <v>4.60X</v>
      </c>
      <c r="J61" s="14" t="str">
        <f t="shared" si="4"/>
        <v>1.10X*</v>
      </c>
      <c r="K61" s="15" t="str">
        <f t="shared" si="5"/>
        <v>&amp;0.01MB&amp;3&amp;0.001&amp;0.055&amp;0.013&amp;0.12X&amp;4.60X&amp;1.10X*\\</v>
      </c>
    </row>
    <row r="62" spans="1:38" x14ac:dyDescent="0.2">
      <c r="A62" s="13"/>
      <c r="B62" s="11" t="str">
        <f t="shared" si="1"/>
        <v>0.02MB</v>
      </c>
      <c r="C62" s="6">
        <f t="shared" si="2"/>
        <v>4</v>
      </c>
      <c r="D62" s="14" t="str">
        <f t="shared" si="0"/>
        <v>4.859</v>
      </c>
      <c r="E62" s="14" t="str">
        <f t="shared" si="0"/>
        <v>0.087</v>
      </c>
      <c r="F62" s="14" t="str">
        <f t="shared" si="0"/>
        <v>0.020</v>
      </c>
      <c r="G62" s="14" t="str">
        <f t="shared" si="0"/>
        <v>0.016</v>
      </c>
      <c r="H62" s="15" t="str">
        <f t="shared" si="3"/>
        <v>295.87X</v>
      </c>
      <c r="I62" s="14" t="str">
        <f t="shared" si="6"/>
        <v>5.27X</v>
      </c>
      <c r="J62" s="14" t="str">
        <f t="shared" si="4"/>
        <v>1.23X*</v>
      </c>
      <c r="K62" s="15" t="str">
        <f t="shared" si="5"/>
        <v>&amp;0.02MB&amp;4&amp;4.859&amp;0.087&amp;0.020&amp;295.87X&amp;5.27X&amp;1.23X*\\</v>
      </c>
    </row>
    <row r="63" spans="1:38" x14ac:dyDescent="0.2">
      <c r="A63" s="13"/>
      <c r="B63" s="11" t="str">
        <f t="shared" si="1"/>
        <v>0.04MB</v>
      </c>
      <c r="C63" s="6">
        <f t="shared" si="2"/>
        <v>9</v>
      </c>
      <c r="D63" s="14" t="str">
        <f t="shared" si="0"/>
        <v>58.665</v>
      </c>
      <c r="E63" s="14" t="str">
        <f t="shared" si="0"/>
        <v>0.225</v>
      </c>
      <c r="F63" s="14" t="str">
        <f t="shared" si="0"/>
        <v>0.038</v>
      </c>
      <c r="G63" s="14" t="str">
        <f t="shared" si="0"/>
        <v>0.035</v>
      </c>
      <c r="H63" s="15" t="str">
        <f t="shared" si="3"/>
        <v>1656.64X</v>
      </c>
      <c r="I63" s="14" t="str">
        <f t="shared" si="6"/>
        <v>6.35X</v>
      </c>
      <c r="J63" s="14" t="str">
        <f t="shared" si="4"/>
        <v>1.07X*</v>
      </c>
      <c r="K63" s="15" t="str">
        <f t="shared" si="5"/>
        <v>&amp;0.04MB&amp;9&amp;58.665&amp;0.225&amp;0.038&amp;1656.64X&amp;6.35X&amp;1.07X*\\</v>
      </c>
    </row>
    <row r="64" spans="1:38" x14ac:dyDescent="0.2">
      <c r="A64" s="13" t="s">
        <v>33</v>
      </c>
      <c r="B64" t="str">
        <f t="shared" si="1"/>
        <v>0.01MB</v>
      </c>
      <c r="C64" s="6">
        <f t="shared" si="2"/>
        <v>3</v>
      </c>
      <c r="D64" s="14" t="str">
        <f t="shared" si="0"/>
        <v>0.003</v>
      </c>
      <c r="E64" s="14" t="str">
        <f t="shared" si="0"/>
        <v>0.044</v>
      </c>
      <c r="F64" s="14" t="str">
        <f t="shared" si="0"/>
        <v>0.012</v>
      </c>
      <c r="G64" s="14" t="str">
        <f t="shared" si="0"/>
        <v>0.011</v>
      </c>
      <c r="H64" s="15" t="str">
        <f t="shared" si="3"/>
        <v>0.28X</v>
      </c>
      <c r="I64" s="14" t="str">
        <f t="shared" si="6"/>
        <v>3.98X</v>
      </c>
      <c r="J64" s="14" t="str">
        <f t="shared" si="4"/>
        <v>1.13X*</v>
      </c>
      <c r="K64" s="15" t="str">
        <f t="shared" si="5"/>
        <v>&amp;0.01MB&amp;3&amp;0.003&amp;0.044&amp;0.012&amp;0.28X&amp;3.98X&amp;1.13X*\\</v>
      </c>
    </row>
    <row r="65" spans="1:11" x14ac:dyDescent="0.2">
      <c r="A65" s="13"/>
      <c r="B65" t="str">
        <f t="shared" si="1"/>
        <v>1MB</v>
      </c>
      <c r="C65" s="6">
        <f t="shared" si="2"/>
        <v>3</v>
      </c>
      <c r="D65" s="14" t="str">
        <f t="shared" si="0"/>
        <v>33.197</v>
      </c>
      <c r="E65" s="14" t="str">
        <f t="shared" si="0"/>
        <v>0.188</v>
      </c>
      <c r="F65" s="14" t="str">
        <f t="shared" si="0"/>
        <v>0.048</v>
      </c>
      <c r="G65" s="14" t="str">
        <f t="shared" si="0"/>
        <v>0.045</v>
      </c>
      <c r="H65" s="15" t="str">
        <f t="shared" si="3"/>
        <v>732.17X</v>
      </c>
      <c r="I65" s="14" t="str">
        <f t="shared" si="6"/>
        <v>4.14X</v>
      </c>
      <c r="J65" s="14" t="str">
        <f t="shared" si="4"/>
        <v>1.05X*</v>
      </c>
      <c r="K65" s="15" t="str">
        <f t="shared" si="5"/>
        <v>&amp;1MB&amp;3&amp;33.197&amp;0.188&amp;0.048&amp;732.17X&amp;4.14X&amp;1.05X*\\</v>
      </c>
    </row>
    <row r="66" spans="1:11" x14ac:dyDescent="0.2">
      <c r="A66" s="13"/>
      <c r="B66" t="str">
        <f t="shared" si="1"/>
        <v>5MB</v>
      </c>
      <c r="C66" s="6">
        <f t="shared" si="2"/>
        <v>4</v>
      </c>
      <c r="D66" s="14" t="str">
        <f t="shared" si="0"/>
        <v>TO</v>
      </c>
      <c r="E66" s="14" t="str">
        <f t="shared" si="0"/>
        <v>0.670</v>
      </c>
      <c r="F66" s="14" t="str">
        <f t="shared" si="0"/>
        <v>0.177</v>
      </c>
      <c r="G66" s="14" t="str">
        <f t="shared" si="0"/>
        <v>0.172</v>
      </c>
      <c r="H66" s="15" t="str">
        <f t="shared" si="3"/>
        <v>&gt;3389.83X</v>
      </c>
      <c r="I66" s="14" t="str">
        <f t="shared" si="6"/>
        <v>3.89X</v>
      </c>
      <c r="J66" s="14" t="str">
        <f t="shared" si="4"/>
        <v>1.03X*</v>
      </c>
      <c r="K66" s="15" t="str">
        <f t="shared" si="5"/>
        <v>&amp;5MB&amp;4&amp;TO&amp;0.670&amp;0.177&amp;&gt;3389.83X&amp;3.89X&amp;1.03X*\\</v>
      </c>
    </row>
    <row r="67" spans="1:11" x14ac:dyDescent="0.2">
      <c r="A67" s="13" t="s">
        <v>35</v>
      </c>
      <c r="B67" t="str">
        <f t="shared" si="1"/>
        <v>0.01MB</v>
      </c>
      <c r="C67" s="6">
        <f t="shared" si="2"/>
        <v>2</v>
      </c>
      <c r="D67" s="14" t="str">
        <f t="shared" si="0"/>
        <v>0.002</v>
      </c>
      <c r="E67" s="14" t="str">
        <f t="shared" si="0"/>
        <v>0.036</v>
      </c>
      <c r="F67" s="14" t="str">
        <f t="shared" si="0"/>
        <v>0.009</v>
      </c>
      <c r="G67" s="14" t="str">
        <f t="shared" si="0"/>
        <v>0.009</v>
      </c>
      <c r="H67" s="15" t="str">
        <f t="shared" si="3"/>
        <v>0.25X</v>
      </c>
      <c r="I67" s="14" t="str">
        <f t="shared" si="6"/>
        <v>4.18X</v>
      </c>
      <c r="J67" s="14" t="str">
        <f t="shared" si="4"/>
        <v>1.04X*</v>
      </c>
      <c r="K67" s="15" t="str">
        <f t="shared" si="5"/>
        <v>&amp;0.01MB&amp;2&amp;0.002&amp;0.036&amp;0.009&amp;0.25X&amp;4.18X&amp;1.04X*\\</v>
      </c>
    </row>
    <row r="68" spans="1:11" x14ac:dyDescent="0.2">
      <c r="A68" s="13"/>
      <c r="B68" t="str">
        <f t="shared" si="1"/>
        <v>2MB</v>
      </c>
      <c r="C68" s="6">
        <f t="shared" si="2"/>
        <v>5</v>
      </c>
      <c r="D68" s="14" t="str">
        <f t="shared" si="0"/>
        <v>139.448</v>
      </c>
      <c r="E68" s="14" t="str">
        <f t="shared" si="0"/>
        <v>0.565</v>
      </c>
      <c r="F68" s="14" t="str">
        <f t="shared" si="0"/>
        <v>0.083</v>
      </c>
      <c r="G68" s="14" t="str">
        <f t="shared" si="0"/>
        <v>0.075</v>
      </c>
      <c r="H68" s="15" t="str">
        <f t="shared" si="3"/>
        <v>1853.82X</v>
      </c>
      <c r="I68" s="14" t="str">
        <f t="shared" si="6"/>
        <v>7.51X</v>
      </c>
      <c r="J68" s="14" t="str">
        <f t="shared" si="4"/>
        <v>1.11X*</v>
      </c>
      <c r="K68" s="15" t="str">
        <f t="shared" si="5"/>
        <v>&amp;2MB&amp;5&amp;139.448&amp;0.565&amp;0.083&amp;1853.82X&amp;7.51X&amp;1.11X*\\</v>
      </c>
    </row>
    <row r="69" spans="1:11" x14ac:dyDescent="0.2">
      <c r="A69" s="13"/>
      <c r="B69" t="str">
        <f t="shared" si="1"/>
        <v>20MB</v>
      </c>
      <c r="C69" s="6">
        <f t="shared" si="2"/>
        <v>22</v>
      </c>
      <c r="D69" s="14" t="str">
        <f t="shared" si="0"/>
        <v>TO</v>
      </c>
      <c r="E69" s="14" t="str">
        <f t="shared" si="0"/>
        <v>14.777</v>
      </c>
      <c r="F69" s="14" t="str">
        <f t="shared" si="0"/>
        <v>1.108</v>
      </c>
      <c r="G69" s="14" t="str">
        <f t="shared" si="0"/>
        <v>1.115</v>
      </c>
      <c r="H69" s="15" t="str">
        <f t="shared" si="3"/>
        <v>&gt;541.52X</v>
      </c>
      <c r="I69" s="14" t="str">
        <f t="shared" si="6"/>
        <v>13.25X</v>
      </c>
      <c r="J69" s="14" t="str">
        <f t="shared" si="4"/>
        <v>0.99X*</v>
      </c>
      <c r="K69" s="15" t="str">
        <f t="shared" si="5"/>
        <v>&amp;20MB&amp;22&amp;TO&amp;14.777&amp;1.108&amp;&gt;541.52X&amp;13.25X&amp;0.99X*\\</v>
      </c>
    </row>
    <row r="70" spans="1:11" x14ac:dyDescent="0.2">
      <c r="A70" s="13" t="s">
        <v>37</v>
      </c>
      <c r="B70" s="11" t="str">
        <f t="shared" si="1"/>
        <v>0.02MB</v>
      </c>
      <c r="C70" s="6">
        <f t="shared" si="2"/>
        <v>9</v>
      </c>
      <c r="D70" s="14" t="str">
        <f t="shared" si="0"/>
        <v>0.006</v>
      </c>
      <c r="E70" s="14" t="str">
        <f t="shared" si="0"/>
        <v>0.311</v>
      </c>
      <c r="F70" s="14" t="str">
        <f t="shared" si="0"/>
        <v>0.028</v>
      </c>
      <c r="G70" s="14" t="str">
        <f t="shared" si="0"/>
        <v>0.025</v>
      </c>
      <c r="H70" s="15" t="str">
        <f t="shared" si="3"/>
        <v>0.25X</v>
      </c>
      <c r="I70" s="14" t="str">
        <f t="shared" si="6"/>
        <v>12.49X</v>
      </c>
      <c r="J70" s="14" t="str">
        <f t="shared" si="4"/>
        <v>1.13X*</v>
      </c>
      <c r="K70" s="15" t="str">
        <f t="shared" si="5"/>
        <v>&amp;0.02MB&amp;9&amp;0.006&amp;0.311&amp;0.028&amp;0.25X&amp;12.49X&amp;1.13X*\\</v>
      </c>
    </row>
    <row r="71" spans="1:11" x14ac:dyDescent="0.2">
      <c r="A71" s="13"/>
      <c r="B71" s="11" t="str">
        <f t="shared" si="1"/>
        <v>0.1MB</v>
      </c>
      <c r="C71" s="6">
        <f t="shared" si="2"/>
        <v>1</v>
      </c>
      <c r="D71" s="14" t="str">
        <f t="shared" si="0"/>
        <v>TO</v>
      </c>
      <c r="E71" s="14" t="str">
        <f t="shared" si="0"/>
        <v>0.054</v>
      </c>
      <c r="F71" s="14" t="str">
        <f t="shared" si="0"/>
        <v>0.020</v>
      </c>
      <c r="G71" s="14" t="str">
        <f t="shared" si="0"/>
        <v>0.017</v>
      </c>
      <c r="H71" s="15" t="str">
        <f t="shared" si="3"/>
        <v>&gt;30000.00X</v>
      </c>
      <c r="I71" s="14" t="str">
        <f t="shared" si="6"/>
        <v>3.29X</v>
      </c>
      <c r="J71" s="14" t="str">
        <f t="shared" si="4"/>
        <v>1.20X*</v>
      </c>
      <c r="K71" s="15" t="str">
        <f t="shared" si="5"/>
        <v>&amp;0.1MB&amp;1&amp;TO&amp;0.054&amp;0.020&amp;&gt;30000.00X&amp;3.29X&amp;1.20X*\\</v>
      </c>
    </row>
    <row r="72" spans="1:11" x14ac:dyDescent="0.2">
      <c r="A72" s="13"/>
      <c r="B72" s="11" t="str">
        <f t="shared" si="1"/>
        <v>0.2MB</v>
      </c>
      <c r="C72" s="6">
        <f t="shared" si="2"/>
        <v>1</v>
      </c>
      <c r="D72" s="14" t="str">
        <f t="shared" si="0"/>
        <v>TO</v>
      </c>
      <c r="E72" s="14" t="str">
        <f t="shared" si="0"/>
        <v>0.059</v>
      </c>
      <c r="F72" s="14" t="str">
        <f t="shared" si="0"/>
        <v>0.024</v>
      </c>
      <c r="G72" s="14" t="str">
        <f t="shared" si="0"/>
        <v>0.020</v>
      </c>
      <c r="H72" s="15" t="str">
        <f t="shared" si="3"/>
        <v>&gt;25000.00X</v>
      </c>
      <c r="I72" s="14" t="str">
        <f t="shared" si="6"/>
        <v>3.01X</v>
      </c>
      <c r="J72" s="14" t="str">
        <f t="shared" si="4"/>
        <v>1.21X*</v>
      </c>
      <c r="K72" s="15" t="str">
        <f t="shared" si="5"/>
        <v>&amp;0.2MB&amp;1&amp;TO&amp;0.059&amp;0.024&amp;&gt;25000.00X&amp;3.01X&amp;1.21X*\\</v>
      </c>
    </row>
    <row r="73" spans="1:11" x14ac:dyDescent="0.2">
      <c r="A73" s="13" t="s">
        <v>38</v>
      </c>
      <c r="B73" t="str">
        <f t="shared" si="1"/>
        <v>0.01MB</v>
      </c>
      <c r="C73" s="6">
        <f t="shared" si="2"/>
        <v>3</v>
      </c>
      <c r="D73" s="14" t="str">
        <f t="shared" si="0"/>
        <v>0.002</v>
      </c>
      <c r="E73" s="14" t="str">
        <f t="shared" si="0"/>
        <v>0.070</v>
      </c>
      <c r="F73" s="14" t="str">
        <f t="shared" si="0"/>
        <v>0.011</v>
      </c>
      <c r="G73" s="14" t="str">
        <f t="shared" si="0"/>
        <v>0.009</v>
      </c>
      <c r="H73" s="15" t="str">
        <f t="shared" si="3"/>
        <v>0.26X</v>
      </c>
      <c r="I73" s="14" t="str">
        <f t="shared" si="6"/>
        <v>7.59X</v>
      </c>
      <c r="J73" s="14" t="str">
        <f t="shared" si="4"/>
        <v>1.23X*</v>
      </c>
      <c r="K73" s="15" t="str">
        <f t="shared" si="5"/>
        <v>&amp;0.01MB&amp;3&amp;0.002&amp;0.070&amp;0.011&amp;0.26X&amp;7.59X&amp;1.23X*\\</v>
      </c>
    </row>
    <row r="74" spans="1:11" x14ac:dyDescent="0.2">
      <c r="A74" s="13"/>
      <c r="B74" t="str">
        <f t="shared" si="1"/>
        <v>1MB</v>
      </c>
      <c r="C74" s="6">
        <f t="shared" si="2"/>
        <v>3</v>
      </c>
      <c r="D74" s="14" t="str">
        <f t="shared" ref="D74:G105" si="7">IF(ISNA(E20), $C$1, TEXT(E20, "0.000"))</f>
        <v>13.839</v>
      </c>
      <c r="E74" s="14" t="str">
        <f t="shared" si="7"/>
        <v>0.766</v>
      </c>
      <c r="F74" s="14" t="str">
        <f t="shared" si="7"/>
        <v>0.295</v>
      </c>
      <c r="G74" s="14" t="str">
        <f t="shared" si="7"/>
        <v>0.300</v>
      </c>
      <c r="H74" s="15" t="str">
        <f t="shared" si="3"/>
        <v>46.13X</v>
      </c>
      <c r="I74" s="14" t="str">
        <f t="shared" si="6"/>
        <v>2.55X</v>
      </c>
      <c r="J74" s="14" t="str">
        <f t="shared" si="4"/>
        <v>0.98X*</v>
      </c>
      <c r="K74" s="15" t="str">
        <f t="shared" si="5"/>
        <v>&amp;1MB&amp;3&amp;13.839&amp;0.766&amp;0.295&amp;46.13X&amp;2.55X&amp;0.98X*\\</v>
      </c>
    </row>
    <row r="75" spans="1:11" x14ac:dyDescent="0.2">
      <c r="A75" s="13"/>
      <c r="B75" t="str">
        <f t="shared" si="1"/>
        <v>1.5MB</v>
      </c>
      <c r="C75" s="6">
        <f t="shared" si="2"/>
        <v>3</v>
      </c>
      <c r="D75" s="14" t="str">
        <f t="shared" si="7"/>
        <v>40.566</v>
      </c>
      <c r="E75" s="14" t="str">
        <f t="shared" si="7"/>
        <v>1.016</v>
      </c>
      <c r="F75" s="14" t="str">
        <f t="shared" si="7"/>
        <v>0.831</v>
      </c>
      <c r="G75" s="14" t="str">
        <f t="shared" si="7"/>
        <v>0.788</v>
      </c>
      <c r="H75" s="15" t="str">
        <f t="shared" si="3"/>
        <v>51.51X</v>
      </c>
      <c r="I75" s="14" t="str">
        <f t="shared" si="6"/>
        <v>1.29X</v>
      </c>
      <c r="J75" s="14" t="str">
        <f t="shared" si="4"/>
        <v>1.06X*</v>
      </c>
      <c r="K75" s="15" t="str">
        <f t="shared" si="5"/>
        <v>&amp;1.5MB&amp;3&amp;40.566&amp;1.016&amp;0.831&amp;51.51X&amp;1.29X&amp;1.06X*\\</v>
      </c>
    </row>
    <row r="76" spans="1:11" x14ac:dyDescent="0.2">
      <c r="A76" s="13" t="s">
        <v>40</v>
      </c>
      <c r="B76" t="str">
        <f t="shared" si="1"/>
        <v>0.01MB</v>
      </c>
      <c r="C76" s="6">
        <f t="shared" si="2"/>
        <v>5</v>
      </c>
      <c r="D76" s="14" t="str">
        <f t="shared" si="7"/>
        <v>0.003</v>
      </c>
      <c r="E76" s="14" t="str">
        <f t="shared" si="7"/>
        <v>0.171</v>
      </c>
      <c r="F76" s="14" t="str">
        <f t="shared" si="7"/>
        <v>0.024</v>
      </c>
      <c r="G76" s="14" t="str">
        <f t="shared" si="7"/>
        <v>0.018</v>
      </c>
      <c r="H76" s="15" t="str">
        <f t="shared" si="3"/>
        <v>0.15X</v>
      </c>
      <c r="I76" s="14" t="str">
        <f t="shared" si="6"/>
        <v>9.50X</v>
      </c>
      <c r="J76" s="14" t="str">
        <f t="shared" si="4"/>
        <v>1.32X*</v>
      </c>
      <c r="K76" s="15" t="str">
        <f t="shared" si="5"/>
        <v>&amp;0.01MB&amp;5&amp;0.003&amp;0.171&amp;0.024&amp;0.15X&amp;9.50X&amp;1.32X*\\</v>
      </c>
    </row>
    <row r="77" spans="1:11" x14ac:dyDescent="0.2">
      <c r="A77" s="13"/>
      <c r="B77" t="str">
        <f t="shared" si="1"/>
        <v>2MB</v>
      </c>
      <c r="C77" s="6">
        <f t="shared" si="2"/>
        <v>11</v>
      </c>
      <c r="D77" s="14" t="str">
        <f t="shared" si="7"/>
        <v>TO</v>
      </c>
      <c r="E77" s="14" t="str">
        <f t="shared" si="7"/>
        <v>5.712</v>
      </c>
      <c r="F77" s="14" t="str">
        <f t="shared" si="7"/>
        <v>1.069</v>
      </c>
      <c r="G77" s="14" t="str">
        <f t="shared" si="7"/>
        <v>1.109</v>
      </c>
      <c r="H77" s="15" t="str">
        <f t="shared" si="3"/>
        <v>&gt;561.27X</v>
      </c>
      <c r="I77" s="14" t="str">
        <f t="shared" si="6"/>
        <v>5.15X</v>
      </c>
      <c r="J77" s="14" t="str">
        <f t="shared" si="4"/>
        <v>0.96X*</v>
      </c>
      <c r="K77" s="15" t="str">
        <f t="shared" si="5"/>
        <v>&amp;2MB&amp;11&amp;TO&amp;5.712&amp;1.069&amp;&gt;561.27X&amp;5.15X&amp;0.96X*\\</v>
      </c>
    </row>
    <row r="78" spans="1:11" x14ac:dyDescent="0.2">
      <c r="A78" s="13"/>
      <c r="B78" t="str">
        <f t="shared" si="1"/>
        <v>10MB</v>
      </c>
      <c r="C78" s="6">
        <f t="shared" si="2"/>
        <v>14</v>
      </c>
      <c r="D78" s="14" t="str">
        <f t="shared" si="7"/>
        <v>TO</v>
      </c>
      <c r="E78" s="14" t="str">
        <f t="shared" si="7"/>
        <v>318.531</v>
      </c>
      <c r="F78" s="14" t="str">
        <f t="shared" si="7"/>
        <v>31.675</v>
      </c>
      <c r="G78" s="14" t="str">
        <f t="shared" si="7"/>
        <v>31.571</v>
      </c>
      <c r="H78" s="15" t="str">
        <f t="shared" si="3"/>
        <v>&gt;18.94X</v>
      </c>
      <c r="I78" s="14" t="str">
        <f t="shared" si="6"/>
        <v>10.09X</v>
      </c>
      <c r="J78" s="14" t="str">
        <f t="shared" si="4"/>
        <v>1.00X*</v>
      </c>
      <c r="K78" s="15" t="str">
        <f t="shared" si="5"/>
        <v>&amp;10MB&amp;14&amp;TO&amp;318.531&amp;31.675&amp;&gt;18.94X&amp;10.09X&amp;1.00X*\\</v>
      </c>
    </row>
    <row r="79" spans="1:11" x14ac:dyDescent="0.2">
      <c r="A79" s="13" t="s">
        <v>42</v>
      </c>
      <c r="B79" s="11" t="str">
        <f t="shared" si="1"/>
        <v>0.01MB</v>
      </c>
      <c r="C79" s="6">
        <f t="shared" si="2"/>
        <v>3</v>
      </c>
      <c r="D79" s="14" t="str">
        <f t="shared" si="7"/>
        <v>0.002</v>
      </c>
      <c r="E79" s="14" t="str">
        <f t="shared" si="7"/>
        <v>0.048</v>
      </c>
      <c r="F79" s="14" t="str">
        <f t="shared" si="7"/>
        <v>0.006</v>
      </c>
      <c r="G79" s="14" t="str">
        <f t="shared" si="7"/>
        <v>0.005</v>
      </c>
      <c r="H79" s="15" t="str">
        <f t="shared" si="3"/>
        <v>0.38X</v>
      </c>
      <c r="I79" s="14" t="str">
        <f t="shared" si="6"/>
        <v>9.14X</v>
      </c>
      <c r="J79" s="14" t="str">
        <f t="shared" si="4"/>
        <v>1.24X*</v>
      </c>
      <c r="K79" s="15" t="str">
        <f t="shared" si="5"/>
        <v>&amp;0.01MB&amp;3&amp;0.002&amp;0.048&amp;0.006&amp;0.38X&amp;9.14X&amp;1.24X*\\</v>
      </c>
    </row>
    <row r="80" spans="1:11" x14ac:dyDescent="0.2">
      <c r="A80" s="13"/>
      <c r="B80" s="11" t="str">
        <f t="shared" si="1"/>
        <v>0.03MB</v>
      </c>
      <c r="C80" s="6">
        <f t="shared" si="2"/>
        <v>3</v>
      </c>
      <c r="D80" s="14" t="str">
        <f t="shared" si="7"/>
        <v>17.675</v>
      </c>
      <c r="E80" s="14" t="str">
        <f t="shared" si="7"/>
        <v>0.058</v>
      </c>
      <c r="F80" s="14" t="str">
        <f t="shared" si="7"/>
        <v>0.010</v>
      </c>
      <c r="G80" s="14" t="str">
        <f t="shared" si="7"/>
        <v>0.008</v>
      </c>
      <c r="H80" s="15" t="str">
        <f t="shared" si="3"/>
        <v>2115.21X</v>
      </c>
      <c r="I80" s="14" t="str">
        <f t="shared" si="6"/>
        <v>6.98X</v>
      </c>
      <c r="J80" s="14" t="str">
        <f t="shared" si="4"/>
        <v>1.20X*</v>
      </c>
      <c r="K80" s="15" t="str">
        <f t="shared" si="5"/>
        <v>&amp;0.03MB&amp;3&amp;17.675&amp;0.058&amp;0.010&amp;2115.21X&amp;6.98X&amp;1.20X*\\</v>
      </c>
    </row>
    <row r="81" spans="1:11" x14ac:dyDescent="0.2">
      <c r="A81" s="13"/>
      <c r="B81" s="11" t="str">
        <f t="shared" si="1"/>
        <v>0.05MB</v>
      </c>
      <c r="C81" s="6">
        <f t="shared" si="2"/>
        <v>5</v>
      </c>
      <c r="D81" s="14" t="str">
        <f t="shared" si="7"/>
        <v>257.405</v>
      </c>
      <c r="E81" s="14" t="str">
        <f t="shared" si="7"/>
        <v>0.129</v>
      </c>
      <c r="F81" s="14" t="str">
        <f t="shared" si="7"/>
        <v>0.014</v>
      </c>
      <c r="G81" s="14" t="str">
        <f t="shared" si="7"/>
        <v>0.013</v>
      </c>
      <c r="H81" s="15" t="str">
        <f t="shared" si="3"/>
        <v>20440.30X</v>
      </c>
      <c r="I81" s="14" t="str">
        <f t="shared" si="6"/>
        <v>10.25X</v>
      </c>
      <c r="J81" s="14" t="str">
        <f t="shared" si="4"/>
        <v>1.08X*</v>
      </c>
      <c r="K81" s="15" t="str">
        <f t="shared" si="5"/>
        <v>&amp;0.05MB&amp;5&amp;257.405&amp;0.129&amp;0.014&amp;20440.30X&amp;10.25X&amp;1.08X*\\</v>
      </c>
    </row>
    <row r="82" spans="1:11" x14ac:dyDescent="0.2">
      <c r="A82" s="13" t="s">
        <v>44</v>
      </c>
      <c r="B82" t="str">
        <f t="shared" si="1"/>
        <v>0.01MB</v>
      </c>
      <c r="C82" s="6">
        <f t="shared" si="2"/>
        <v>17</v>
      </c>
      <c r="D82" s="14" t="str">
        <f t="shared" si="7"/>
        <v>0.004</v>
      </c>
      <c r="E82" s="14" t="str">
        <f t="shared" si="7"/>
        <v>0.327</v>
      </c>
      <c r="F82" s="14" t="str">
        <f t="shared" si="7"/>
        <v>0.014</v>
      </c>
      <c r="G82" s="14" t="str">
        <f t="shared" si="7"/>
        <v>0.009</v>
      </c>
      <c r="H82" s="15" t="str">
        <f t="shared" si="3"/>
        <v>0.48X</v>
      </c>
      <c r="I82" s="14" t="str">
        <f t="shared" si="6"/>
        <v>38.28X</v>
      </c>
      <c r="J82" s="14" t="str">
        <f t="shared" si="4"/>
        <v>1.62X*</v>
      </c>
      <c r="K82" s="15" t="str">
        <f t="shared" si="5"/>
        <v>&amp;0.01MB&amp;17&amp;0.004&amp;0.327&amp;0.014&amp;0.48X&amp;38.28X&amp;1.62X*\\</v>
      </c>
    </row>
    <row r="83" spans="1:11" x14ac:dyDescent="0.2">
      <c r="A83" s="13"/>
      <c r="B83" t="str">
        <f t="shared" si="1"/>
        <v>1MB</v>
      </c>
      <c r="C83" s="6" t="str">
        <f>IF(ISBLANK(D29), "-", D29)</f>
        <v>-</v>
      </c>
      <c r="D83" s="14" t="str">
        <f t="shared" si="7"/>
        <v>TO</v>
      </c>
      <c r="E83" s="14" t="str">
        <f t="shared" si="7"/>
        <v>TO</v>
      </c>
      <c r="F83" s="14" t="str">
        <f t="shared" si="7"/>
        <v>181.488</v>
      </c>
      <c r="G83" s="14" t="str">
        <f t="shared" si="7"/>
        <v>178.274</v>
      </c>
      <c r="H83" s="15" t="str">
        <f t="shared" si="3"/>
        <v>&gt;3.31X</v>
      </c>
      <c r="I83" s="14" t="str">
        <f t="shared" si="6"/>
        <v>&gt;3.31X</v>
      </c>
      <c r="J83" s="14" t="str">
        <f t="shared" si="4"/>
        <v>1.02X*</v>
      </c>
      <c r="K83" s="15" t="str">
        <f t="shared" si="5"/>
        <v>&amp;1MB&amp;-&amp;TO&amp;TO&amp;181.488&amp;&gt;3.31X&amp;&gt;3.31X&amp;1.02X*\\</v>
      </c>
    </row>
    <row r="84" spans="1:11" x14ac:dyDescent="0.2">
      <c r="A84" s="13"/>
      <c r="B84" t="str">
        <f t="shared" si="1"/>
        <v>2MB</v>
      </c>
      <c r="C84" s="6" t="str">
        <f t="shared" si="2"/>
        <v>-</v>
      </c>
      <c r="D84" s="14" t="str">
        <f t="shared" si="7"/>
        <v>TO</v>
      </c>
      <c r="E84" s="14" t="str">
        <f t="shared" si="7"/>
        <v>TO</v>
      </c>
      <c r="F84" s="14" t="str">
        <f t="shared" si="7"/>
        <v>450.077</v>
      </c>
      <c r="G84" s="14" t="str">
        <f t="shared" si="7"/>
        <v>454.288</v>
      </c>
      <c r="H84" s="15" t="str">
        <f t="shared" si="3"/>
        <v>&gt;1.33X</v>
      </c>
      <c r="I84" s="14" t="str">
        <f t="shared" si="6"/>
        <v>&gt;1.33X</v>
      </c>
      <c r="J84" s="14" t="str">
        <f t="shared" si="4"/>
        <v>0.99X*</v>
      </c>
      <c r="K84" s="15" t="str">
        <f t="shared" si="5"/>
        <v>&amp;2MB&amp;-&amp;TO&amp;TO&amp;450.077&amp;&gt;1.33X&amp;&gt;1.33X&amp;0.99X*\\</v>
      </c>
    </row>
    <row r="85" spans="1:11" x14ac:dyDescent="0.2">
      <c r="A85" s="13" t="s">
        <v>47</v>
      </c>
      <c r="B85" s="11" t="str">
        <f t="shared" si="1"/>
        <v>0.02MB</v>
      </c>
      <c r="C85" s="6">
        <f t="shared" si="2"/>
        <v>3</v>
      </c>
      <c r="D85" s="14" t="str">
        <f t="shared" si="7"/>
        <v>0.003</v>
      </c>
      <c r="E85" s="14" t="str">
        <f t="shared" si="7"/>
        <v>0.077</v>
      </c>
      <c r="F85" s="14" t="str">
        <f t="shared" si="7"/>
        <v>0.014</v>
      </c>
      <c r="G85" s="14" t="str">
        <f t="shared" si="7"/>
        <v>0.012</v>
      </c>
      <c r="H85" s="15" t="str">
        <f t="shared" si="3"/>
        <v>0.21X</v>
      </c>
      <c r="I85" s="14" t="str">
        <f t="shared" si="6"/>
        <v>6.35X</v>
      </c>
      <c r="J85" s="14" t="str">
        <f t="shared" si="4"/>
        <v>1.18X*</v>
      </c>
      <c r="K85" s="15" t="str">
        <f t="shared" si="5"/>
        <v>&amp;0.02MB&amp;3&amp;0.003&amp;0.077&amp;0.014&amp;0.21X&amp;6.35X&amp;1.18X*\\</v>
      </c>
    </row>
    <row r="86" spans="1:11" x14ac:dyDescent="0.2">
      <c r="A86" s="13"/>
      <c r="B86" s="11" t="str">
        <f t="shared" si="1"/>
        <v>0.05MB</v>
      </c>
      <c r="C86" s="6">
        <f t="shared" si="2"/>
        <v>16</v>
      </c>
      <c r="D86" s="14" t="str">
        <f t="shared" si="7"/>
        <v>TO</v>
      </c>
      <c r="E86" s="14" t="str">
        <f t="shared" si="7"/>
        <v>0.835</v>
      </c>
      <c r="F86" s="14" t="str">
        <f t="shared" si="7"/>
        <v>0.055</v>
      </c>
      <c r="G86" s="14" t="str">
        <f t="shared" si="7"/>
        <v>0.053</v>
      </c>
      <c r="H86" s="15" t="str">
        <f t="shared" si="3"/>
        <v>&gt;10909.09X</v>
      </c>
      <c r="I86" s="14" t="str">
        <f t="shared" si="6"/>
        <v>15.84X</v>
      </c>
      <c r="J86" s="14" t="str">
        <f t="shared" si="4"/>
        <v>1.04X*</v>
      </c>
      <c r="K86" s="15" t="str">
        <f t="shared" si="5"/>
        <v>&amp;0.05MB&amp;16&amp;TO&amp;0.835&amp;0.055&amp;&gt;10909.09X&amp;15.84X&amp;1.04X*\\</v>
      </c>
    </row>
    <row r="87" spans="1:11" x14ac:dyDescent="0.2">
      <c r="A87" s="13"/>
      <c r="B87" s="11" t="str">
        <f t="shared" si="1"/>
        <v>0.1MB</v>
      </c>
      <c r="C87" s="6" t="str">
        <f t="shared" si="2"/>
        <v>-</v>
      </c>
      <c r="D87" s="14" t="str">
        <f t="shared" si="7"/>
        <v>TO</v>
      </c>
      <c r="E87" s="14" t="str">
        <f t="shared" si="7"/>
        <v>TO</v>
      </c>
      <c r="F87" s="14" t="str">
        <f t="shared" si="7"/>
        <v>0.510</v>
      </c>
      <c r="G87" s="14" t="str">
        <f t="shared" si="7"/>
        <v>0.493</v>
      </c>
      <c r="H87" s="15" t="str">
        <f t="shared" si="3"/>
        <v>&gt;1176.47X</v>
      </c>
      <c r="I87" s="14" t="str">
        <f t="shared" si="6"/>
        <v>&gt;1176.47X</v>
      </c>
      <c r="J87" s="14" t="str">
        <f t="shared" si="4"/>
        <v>1.04X*</v>
      </c>
      <c r="K87" s="15" t="str">
        <f t="shared" si="5"/>
        <v>&amp;0.1MB&amp;-&amp;TO&amp;TO&amp;0.510&amp;&gt;1176.47X&amp;&gt;1176.47X&amp;1.04X*\\</v>
      </c>
    </row>
    <row r="88" spans="1:11" x14ac:dyDescent="0.2">
      <c r="A88" s="13" t="s">
        <v>49</v>
      </c>
      <c r="B88" t="str">
        <f t="shared" si="1"/>
        <v>0.01MB</v>
      </c>
      <c r="C88" s="6">
        <f t="shared" si="2"/>
        <v>2</v>
      </c>
      <c r="D88" s="14" t="str">
        <f t="shared" si="7"/>
        <v>0.002</v>
      </c>
      <c r="E88" s="14" t="str">
        <f t="shared" si="7"/>
        <v>0.038</v>
      </c>
      <c r="F88" s="14" t="str">
        <f t="shared" si="7"/>
        <v>0.012</v>
      </c>
      <c r="G88" s="14" t="str">
        <f t="shared" si="7"/>
        <v>0.010</v>
      </c>
      <c r="H88" s="15" t="str">
        <f t="shared" si="3"/>
        <v>0.21X</v>
      </c>
      <c r="I88" s="14" t="str">
        <f t="shared" si="6"/>
        <v>3.94X</v>
      </c>
      <c r="J88" s="14" t="str">
        <f t="shared" si="4"/>
        <v>1.24X*</v>
      </c>
      <c r="K88" s="15" t="str">
        <f t="shared" si="5"/>
        <v>&amp;0.01MB&amp;2&amp;0.002&amp;0.038&amp;0.012&amp;0.21X&amp;3.94X&amp;1.24X*\\</v>
      </c>
    </row>
    <row r="89" spans="1:11" x14ac:dyDescent="0.2">
      <c r="A89" s="13"/>
      <c r="B89" t="str">
        <f t="shared" si="1"/>
        <v>1MB</v>
      </c>
      <c r="C89" s="6">
        <f t="shared" si="2"/>
        <v>2</v>
      </c>
      <c r="D89" s="14" t="str">
        <f t="shared" si="7"/>
        <v>TO</v>
      </c>
      <c r="E89" s="14" t="str">
        <f t="shared" si="7"/>
        <v>0.392</v>
      </c>
      <c r="F89" s="14" t="str">
        <f t="shared" si="7"/>
        <v>0.077</v>
      </c>
      <c r="G89" s="14" t="str">
        <f t="shared" si="7"/>
        <v>0.075</v>
      </c>
      <c r="H89" s="15" t="str">
        <f t="shared" si="3"/>
        <v>&gt;7792.21X</v>
      </c>
      <c r="I89" s="14" t="str">
        <f t="shared" si="6"/>
        <v>5.23X</v>
      </c>
      <c r="J89" s="14" t="str">
        <f t="shared" si="4"/>
        <v>1.02X*</v>
      </c>
      <c r="K89" s="15" t="str">
        <f t="shared" si="5"/>
        <v>&amp;1MB&amp;2&amp;TO&amp;0.392&amp;0.077&amp;&gt;7792.21X&amp;5.23X&amp;1.02X*\\</v>
      </c>
    </row>
    <row r="90" spans="1:11" x14ac:dyDescent="0.2">
      <c r="A90" s="13"/>
      <c r="B90" t="str">
        <f t="shared" si="1"/>
        <v>10MB</v>
      </c>
      <c r="C90" s="6">
        <f t="shared" si="2"/>
        <v>2</v>
      </c>
      <c r="D90" s="14" t="str">
        <f t="shared" si="7"/>
        <v>TO</v>
      </c>
      <c r="E90" s="14" t="str">
        <f t="shared" si="7"/>
        <v>0.744</v>
      </c>
      <c r="F90" s="14" t="str">
        <f t="shared" si="7"/>
        <v>0.432</v>
      </c>
      <c r="G90" s="14" t="str">
        <f t="shared" si="7"/>
        <v>0.383</v>
      </c>
      <c r="H90" s="15" t="str">
        <f t="shared" si="3"/>
        <v>&gt;1388.89X</v>
      </c>
      <c r="I90" s="14" t="str">
        <f t="shared" si="6"/>
        <v>1.94X</v>
      </c>
      <c r="J90" s="14" t="str">
        <f t="shared" si="4"/>
        <v>1.13X*</v>
      </c>
      <c r="K90" s="15" t="str">
        <f t="shared" si="5"/>
        <v>&amp;10MB&amp;2&amp;TO&amp;0.744&amp;0.432&amp;&gt;1388.89X&amp;1.94X&amp;1.13X*\\</v>
      </c>
    </row>
    <row r="91" spans="1:11" x14ac:dyDescent="0.2">
      <c r="A91" s="13" t="s">
        <v>50</v>
      </c>
      <c r="B91" t="str">
        <f t="shared" si="1"/>
        <v>0.01MB</v>
      </c>
      <c r="C91" s="6">
        <f t="shared" si="2"/>
        <v>5</v>
      </c>
      <c r="D91" s="14" t="str">
        <f t="shared" si="7"/>
        <v>0.004</v>
      </c>
      <c r="E91" s="14" t="str">
        <f t="shared" si="7"/>
        <v>0.099</v>
      </c>
      <c r="F91" s="14" t="str">
        <f t="shared" si="7"/>
        <v>0.012</v>
      </c>
      <c r="G91" s="14" t="str">
        <f t="shared" si="7"/>
        <v>0.010</v>
      </c>
      <c r="H91" s="15" t="str">
        <f t="shared" si="3"/>
        <v>0.38X*</v>
      </c>
      <c r="I91" s="14" t="str">
        <f t="shared" si="6"/>
        <v>10.09X</v>
      </c>
      <c r="J91" s="14" t="str">
        <f t="shared" si="4"/>
        <v>1.20X*</v>
      </c>
      <c r="K91" s="15" t="str">
        <f t="shared" si="5"/>
        <v>&amp;0.01MB&amp;5&amp;0.004&amp;0.099&amp;0.012&amp;0.38X*&amp;10.09X&amp;1.20X*\\</v>
      </c>
    </row>
    <row r="92" spans="1:11" x14ac:dyDescent="0.2">
      <c r="A92" s="13"/>
      <c r="B92" t="str">
        <f t="shared" si="1"/>
        <v>2MB</v>
      </c>
      <c r="C92" s="6">
        <f t="shared" si="2"/>
        <v>5</v>
      </c>
      <c r="D92" s="14" t="str">
        <f t="shared" si="7"/>
        <v>TO</v>
      </c>
      <c r="E92" s="14" t="str">
        <f t="shared" si="7"/>
        <v>0.954</v>
      </c>
      <c r="F92" s="14" t="str">
        <f t="shared" si="7"/>
        <v>0.093</v>
      </c>
      <c r="G92" s="14" t="str">
        <f t="shared" si="7"/>
        <v>0.089</v>
      </c>
      <c r="H92" s="15" t="str">
        <f t="shared" si="3"/>
        <v>&gt;6451.61X</v>
      </c>
      <c r="I92" s="14" t="str">
        <f t="shared" si="6"/>
        <v>10.76X</v>
      </c>
      <c r="J92" s="14" t="str">
        <f t="shared" si="4"/>
        <v>1.05X*</v>
      </c>
      <c r="K92" s="15" t="str">
        <f t="shared" si="5"/>
        <v>&amp;2MB&amp;5&amp;TO&amp;0.954&amp;0.093&amp;&gt;6451.61X&amp;10.76X&amp;1.05X*\\</v>
      </c>
    </row>
    <row r="93" spans="1:11" x14ac:dyDescent="0.2">
      <c r="A93" s="13"/>
      <c r="B93" t="str">
        <f t="shared" si="1"/>
        <v>20MB</v>
      </c>
      <c r="C93" s="6">
        <f t="shared" si="2"/>
        <v>7</v>
      </c>
      <c r="D93" s="14" t="str">
        <f t="shared" si="7"/>
        <v>TO</v>
      </c>
      <c r="E93" s="14" t="str">
        <f t="shared" si="7"/>
        <v>4.796</v>
      </c>
      <c r="F93" s="14" t="str">
        <f t="shared" si="7"/>
        <v>0.858</v>
      </c>
      <c r="G93" s="14" t="str">
        <f t="shared" si="7"/>
        <v>0.873</v>
      </c>
      <c r="H93" s="15" t="str">
        <f t="shared" si="3"/>
        <v>&gt;699.30X</v>
      </c>
      <c r="I93" s="14" t="str">
        <f t="shared" si="6"/>
        <v>5.49X</v>
      </c>
      <c r="J93" s="14" t="str">
        <f t="shared" si="4"/>
        <v>0.98X*</v>
      </c>
      <c r="K93" s="15" t="str">
        <f t="shared" si="5"/>
        <v>&amp;20MB&amp;7&amp;TO&amp;4.796&amp;0.858&amp;&gt;699.30X&amp;5.49X&amp;0.98X*\\</v>
      </c>
    </row>
    <row r="94" spans="1:11" x14ac:dyDescent="0.2">
      <c r="A94" s="13" t="s">
        <v>52</v>
      </c>
      <c r="B94" s="11" t="str">
        <f t="shared" si="1"/>
        <v>0.02MB</v>
      </c>
      <c r="C94" s="6">
        <f t="shared" si="2"/>
        <v>3</v>
      </c>
      <c r="D94" s="14" t="str">
        <f t="shared" si="7"/>
        <v>0.003</v>
      </c>
      <c r="E94" s="14" t="str">
        <f t="shared" si="7"/>
        <v>0.085</v>
      </c>
      <c r="F94" s="14" t="str">
        <f t="shared" si="7"/>
        <v>0.016</v>
      </c>
      <c r="G94" s="14" t="str">
        <f t="shared" si="7"/>
        <v>0.012</v>
      </c>
      <c r="H94" s="15" t="str">
        <f t="shared" si="3"/>
        <v>0.21X</v>
      </c>
      <c r="I94" s="14" t="str">
        <f t="shared" si="6"/>
        <v>6.84X</v>
      </c>
      <c r="J94" s="14" t="str">
        <f t="shared" si="4"/>
        <v>1.30X*</v>
      </c>
      <c r="K94" s="15" t="str">
        <f t="shared" si="5"/>
        <v>&amp;0.02MB&amp;3&amp;0.003&amp;0.085&amp;0.016&amp;0.21X&amp;6.84X&amp;1.30X*\\</v>
      </c>
    </row>
    <row r="95" spans="1:11" x14ac:dyDescent="0.2">
      <c r="A95" s="13"/>
      <c r="B95" s="11" t="str">
        <f t="shared" si="1"/>
        <v>0.05MB</v>
      </c>
      <c r="C95" s="6">
        <f t="shared" si="2"/>
        <v>16</v>
      </c>
      <c r="D95" s="14" t="str">
        <f t="shared" si="7"/>
        <v>TO</v>
      </c>
      <c r="E95" s="14" t="str">
        <f t="shared" si="7"/>
        <v>0.841</v>
      </c>
      <c r="F95" s="14" t="str">
        <f t="shared" si="7"/>
        <v>0.052</v>
      </c>
      <c r="G95" s="14" t="str">
        <f t="shared" si="7"/>
        <v>0.048</v>
      </c>
      <c r="H95" s="15" t="str">
        <f t="shared" si="3"/>
        <v>&gt;11538.46X</v>
      </c>
      <c r="I95" s="14" t="str">
        <f t="shared" si="6"/>
        <v>17.65X</v>
      </c>
      <c r="J95" s="14" t="str">
        <f t="shared" si="4"/>
        <v>1.09X*</v>
      </c>
      <c r="K95" s="15" t="str">
        <f t="shared" si="5"/>
        <v>&amp;0.05MB&amp;16&amp;TO&amp;0.841&amp;0.052&amp;&gt;11538.46X&amp;17.65X&amp;1.09X*\\</v>
      </c>
    </row>
    <row r="96" spans="1:11" x14ac:dyDescent="0.2">
      <c r="A96" s="13"/>
      <c r="B96" s="11" t="str">
        <f t="shared" si="1"/>
        <v>0.1MB</v>
      </c>
      <c r="C96" s="6" t="str">
        <f>IF(ISBLANK(D42), "-", D42)</f>
        <v>-</v>
      </c>
      <c r="D96" s="14" t="str">
        <f t="shared" si="7"/>
        <v>TO</v>
      </c>
      <c r="E96" s="14" t="str">
        <f t="shared" si="7"/>
        <v>TO</v>
      </c>
      <c r="F96" s="14" t="str">
        <f t="shared" si="7"/>
        <v>2.516</v>
      </c>
      <c r="G96" s="14" t="str">
        <f t="shared" si="7"/>
        <v>2.451</v>
      </c>
      <c r="H96" s="15" t="str">
        <f t="shared" si="3"/>
        <v>&gt;238.47X</v>
      </c>
      <c r="I96" s="14" t="str">
        <f t="shared" si="6"/>
        <v>&gt;238.47X</v>
      </c>
      <c r="J96" s="14" t="str">
        <f t="shared" si="4"/>
        <v>1.03X*</v>
      </c>
      <c r="K96" s="15" t="str">
        <f t="shared" si="5"/>
        <v>&amp;0.1MB&amp;-&amp;TO&amp;TO&amp;2.516&amp;&gt;238.47X&amp;&gt;238.47X&amp;1.03X*\\</v>
      </c>
    </row>
    <row r="97" spans="1:11" x14ac:dyDescent="0.2">
      <c r="A97" s="13" t="s">
        <v>54</v>
      </c>
      <c r="B97" s="8" t="str">
        <f t="shared" si="1"/>
        <v>0.01MB</v>
      </c>
      <c r="C97" s="6">
        <f t="shared" si="2"/>
        <v>5</v>
      </c>
      <c r="D97" s="14" t="str">
        <f t="shared" si="7"/>
        <v>0.003</v>
      </c>
      <c r="E97" s="14" t="str">
        <f t="shared" si="7"/>
        <v>0.068</v>
      </c>
      <c r="F97" s="14" t="str">
        <f t="shared" si="7"/>
        <v>0.009</v>
      </c>
      <c r="G97" s="14" t="str">
        <f t="shared" si="7"/>
        <v>0.009</v>
      </c>
      <c r="H97" s="15" t="str">
        <f t="shared" si="3"/>
        <v>0.29X*</v>
      </c>
      <c r="I97" s="14" t="str">
        <f t="shared" si="6"/>
        <v>7.90X</v>
      </c>
      <c r="J97" s="14" t="str">
        <f t="shared" si="4"/>
        <v>0.99X*</v>
      </c>
      <c r="K97" s="15" t="str">
        <f t="shared" si="5"/>
        <v>&amp;0.01MB&amp;5&amp;0.003&amp;0.068&amp;0.009&amp;0.29X*&amp;7.90X&amp;0.99X*\\</v>
      </c>
    </row>
    <row r="98" spans="1:11" x14ac:dyDescent="0.2">
      <c r="A98" s="13"/>
      <c r="B98" s="8" t="str">
        <f t="shared" si="1"/>
        <v>10MB</v>
      </c>
      <c r="C98" s="6">
        <f t="shared" si="2"/>
        <v>9</v>
      </c>
      <c r="D98" s="14" t="str">
        <f t="shared" si="7"/>
        <v>0.578</v>
      </c>
      <c r="E98" s="14" t="str">
        <f t="shared" si="7"/>
        <v>0.152</v>
      </c>
      <c r="F98" s="14" t="str">
        <f t="shared" si="7"/>
        <v>0.026</v>
      </c>
      <c r="G98" s="14" t="str">
        <f t="shared" si="7"/>
        <v>0.026</v>
      </c>
      <c r="H98" s="15" t="str">
        <f t="shared" si="3"/>
        <v>22.52X</v>
      </c>
      <c r="I98" s="14" t="str">
        <f t="shared" si="6"/>
        <v>5.93X</v>
      </c>
      <c r="J98" s="14" t="str">
        <f t="shared" si="4"/>
        <v>1.03X*</v>
      </c>
      <c r="K98" s="15" t="str">
        <f t="shared" si="5"/>
        <v>&amp;10MB&amp;9&amp;0.578&amp;0.152&amp;0.026&amp;22.52X&amp;5.93X&amp;1.03X*\\</v>
      </c>
    </row>
    <row r="99" spans="1:11" x14ac:dyDescent="0.2">
      <c r="A99" s="13"/>
      <c r="B99" s="8" t="str">
        <f t="shared" si="1"/>
        <v>25MB</v>
      </c>
      <c r="C99" s="6">
        <f t="shared" si="2"/>
        <v>42</v>
      </c>
      <c r="D99" s="14" t="str">
        <f t="shared" si="7"/>
        <v>233.752</v>
      </c>
      <c r="E99" s="14" t="str">
        <f t="shared" si="7"/>
        <v>1.773</v>
      </c>
      <c r="F99" s="14" t="str">
        <f t="shared" si="7"/>
        <v>0.163</v>
      </c>
      <c r="G99" s="14" t="str">
        <f t="shared" si="7"/>
        <v>0.167</v>
      </c>
      <c r="H99" s="15" t="str">
        <f t="shared" si="3"/>
        <v>1401.17X</v>
      </c>
      <c r="I99" s="14" t="str">
        <f t="shared" si="6"/>
        <v>10.63X</v>
      </c>
      <c r="J99" s="14" t="str">
        <f t="shared" si="4"/>
        <v>0.98X*</v>
      </c>
      <c r="K99" s="15" t="str">
        <f t="shared" si="5"/>
        <v>&amp;25MB&amp;42&amp;233.752&amp;1.773&amp;0.163&amp;1401.17X&amp;10.63X&amp;0.98X*\\</v>
      </c>
    </row>
    <row r="100" spans="1:11" x14ac:dyDescent="0.2">
      <c r="A100" s="13" t="s">
        <v>55</v>
      </c>
      <c r="B100" s="8" t="str">
        <f t="shared" si="1"/>
        <v>0.01MB</v>
      </c>
      <c r="C100" s="6">
        <f t="shared" si="2"/>
        <v>2</v>
      </c>
      <c r="D100" s="14" t="str">
        <f t="shared" si="7"/>
        <v>0.001</v>
      </c>
      <c r="E100" s="14" t="str">
        <f t="shared" si="7"/>
        <v>0.031</v>
      </c>
      <c r="F100" s="14" t="str">
        <f t="shared" si="7"/>
        <v>0.007</v>
      </c>
      <c r="G100" s="14" t="str">
        <f t="shared" si="7"/>
        <v>0.005</v>
      </c>
      <c r="H100" s="15" t="str">
        <f t="shared" si="3"/>
        <v>0.30X</v>
      </c>
      <c r="I100" s="14" t="str">
        <f t="shared" si="6"/>
        <v>6.17X</v>
      </c>
      <c r="J100" s="14" t="str">
        <f t="shared" si="4"/>
        <v>1.38X*</v>
      </c>
      <c r="K100" s="15" t="str">
        <f t="shared" si="5"/>
        <v>&amp;0.01MB&amp;2&amp;0.001&amp;0.031&amp;0.007&amp;0.30X&amp;6.17X&amp;1.38X*\\</v>
      </c>
    </row>
    <row r="101" spans="1:11" x14ac:dyDescent="0.2">
      <c r="A101" s="13"/>
      <c r="B101" s="8" t="str">
        <f t="shared" si="1"/>
        <v>5MB</v>
      </c>
      <c r="C101" s="6">
        <f t="shared" si="2"/>
        <v>5</v>
      </c>
      <c r="D101" s="14" t="str">
        <f t="shared" si="7"/>
        <v>0.333</v>
      </c>
      <c r="E101" s="14" t="str">
        <f t="shared" si="7"/>
        <v>0.079</v>
      </c>
      <c r="F101" s="14" t="str">
        <f t="shared" si="7"/>
        <v>0.021</v>
      </c>
      <c r="G101" s="14" t="str">
        <f t="shared" si="7"/>
        <v>0.017</v>
      </c>
      <c r="H101" s="15" t="str">
        <f t="shared" si="3"/>
        <v>19.09X</v>
      </c>
      <c r="I101" s="14" t="str">
        <f t="shared" si="6"/>
        <v>4.55X</v>
      </c>
      <c r="J101" s="14" t="str">
        <f t="shared" si="4"/>
        <v>1.20X*</v>
      </c>
      <c r="K101" s="15" t="str">
        <f t="shared" si="5"/>
        <v>&amp;5MB&amp;5&amp;0.333&amp;0.079&amp;0.021&amp;19.09X&amp;4.55X&amp;1.20X*\\</v>
      </c>
    </row>
    <row r="102" spans="1:11" x14ac:dyDescent="0.2">
      <c r="A102" s="13"/>
      <c r="B102" s="8" t="str">
        <f t="shared" si="1"/>
        <v>10MB</v>
      </c>
      <c r="C102" s="6">
        <f t="shared" si="2"/>
        <v>10</v>
      </c>
      <c r="D102" s="14" t="str">
        <f t="shared" si="7"/>
        <v>6.634</v>
      </c>
      <c r="E102" s="14" t="str">
        <f t="shared" si="7"/>
        <v>0.250</v>
      </c>
      <c r="F102" s="14" t="str">
        <f t="shared" si="7"/>
        <v>0.064</v>
      </c>
      <c r="G102" s="14" t="str">
        <f t="shared" si="7"/>
        <v>0.062</v>
      </c>
      <c r="H102" s="15" t="str">
        <f t="shared" si="3"/>
        <v>106.58X</v>
      </c>
      <c r="I102" s="14" t="str">
        <f t="shared" si="6"/>
        <v>4.02X</v>
      </c>
      <c r="J102" s="14" t="str">
        <f t="shared" si="4"/>
        <v>1.03X*</v>
      </c>
      <c r="K102" s="15" t="str">
        <f t="shared" si="5"/>
        <v>&amp;10MB&amp;10&amp;6.634&amp;0.250&amp;0.064&amp;106.58X&amp;4.02X&amp;1.03X*\\</v>
      </c>
    </row>
    <row r="103" spans="1:11" x14ac:dyDescent="0.2">
      <c r="A103" s="13" t="s">
        <v>56</v>
      </c>
      <c r="B103" t="str">
        <f t="shared" si="1"/>
        <v>0.01MB</v>
      </c>
      <c r="C103" s="6">
        <f t="shared" si="2"/>
        <v>7</v>
      </c>
      <c r="D103" s="14" t="str">
        <f t="shared" si="7"/>
        <v>0.003</v>
      </c>
      <c r="E103" s="14" t="str">
        <f t="shared" si="7"/>
        <v>0.160</v>
      </c>
      <c r="F103" s="14" t="str">
        <f t="shared" si="7"/>
        <v>0.011</v>
      </c>
      <c r="G103" s="14" t="str">
        <f t="shared" si="7"/>
        <v>0.008</v>
      </c>
      <c r="H103" s="15" t="str">
        <f t="shared" si="3"/>
        <v>0.35X</v>
      </c>
      <c r="I103" s="14" t="str">
        <f t="shared" si="6"/>
        <v>19.33X</v>
      </c>
      <c r="J103" s="14" t="str">
        <f t="shared" si="4"/>
        <v>1.38X*</v>
      </c>
      <c r="K103" s="15" t="str">
        <f t="shared" si="5"/>
        <v>&amp;0.01MB&amp;7&amp;0.003&amp;0.160&amp;0.011&amp;0.35X&amp;19.33X&amp;1.38X*\\</v>
      </c>
    </row>
    <row r="104" spans="1:11" x14ac:dyDescent="0.2">
      <c r="A104" s="13"/>
      <c r="B104" t="str">
        <f t="shared" si="1"/>
        <v>1MB</v>
      </c>
      <c r="C104" s="6">
        <f t="shared" si="2"/>
        <v>7</v>
      </c>
      <c r="D104" s="14" t="str">
        <f t="shared" si="7"/>
        <v>TO</v>
      </c>
      <c r="E104" s="14" t="str">
        <f t="shared" si="7"/>
        <v>2.611</v>
      </c>
      <c r="F104" s="14" t="str">
        <f t="shared" si="7"/>
        <v>0.124</v>
      </c>
      <c r="G104" s="14" t="str">
        <f t="shared" si="7"/>
        <v>0.124</v>
      </c>
      <c r="H104" s="15" t="str">
        <f t="shared" si="3"/>
        <v>&gt;4838.71X</v>
      </c>
      <c r="I104" s="14" t="str">
        <f t="shared" si="6"/>
        <v>21.10X</v>
      </c>
      <c r="J104" s="14" t="str">
        <f t="shared" si="4"/>
        <v>1.00X*</v>
      </c>
      <c r="K104" s="15" t="str">
        <f t="shared" si="5"/>
        <v>&amp;1MB&amp;7&amp;TO&amp;2.611&amp;0.124&amp;&gt;4838.71X&amp;21.10X&amp;1.00X*\\</v>
      </c>
    </row>
    <row r="105" spans="1:11" x14ac:dyDescent="0.2">
      <c r="A105" s="13"/>
      <c r="B105" t="str">
        <f t="shared" si="1"/>
        <v>15MB</v>
      </c>
      <c r="C105" s="6" t="str">
        <f t="shared" si="2"/>
        <v>-</v>
      </c>
      <c r="D105" s="14" t="str">
        <f t="shared" si="7"/>
        <v>TO</v>
      </c>
      <c r="E105" s="14" t="str">
        <f t="shared" si="7"/>
        <v>9.976</v>
      </c>
      <c r="F105" s="14" t="str">
        <f t="shared" si="7"/>
        <v>1.324</v>
      </c>
      <c r="G105" s="14" t="str">
        <f t="shared" si="7"/>
        <v>1.356</v>
      </c>
      <c r="H105" s="15" t="str">
        <f t="shared" si="3"/>
        <v>&gt;453.17X</v>
      </c>
      <c r="I105" s="14" t="str">
        <f t="shared" si="6"/>
        <v>7.36X</v>
      </c>
      <c r="J105" s="14" t="str">
        <f t="shared" si="4"/>
        <v>0.98X*</v>
      </c>
      <c r="K105" s="15" t="str">
        <f t="shared" si="5"/>
        <v>&amp;15MB&amp;-&amp;TO&amp;9.976&amp;1.324&amp;&gt;453.17X&amp;7.36X&amp;0.98X*\\</v>
      </c>
    </row>
    <row r="106" spans="1:11" x14ac:dyDescent="0.2">
      <c r="G106" s="15"/>
      <c r="H106" s="14"/>
    </row>
    <row r="107" spans="1:11" x14ac:dyDescent="0.2">
      <c r="G107" s="15"/>
    </row>
    <row r="108" spans="1:11" x14ac:dyDescent="0.2">
      <c r="F108" t="s">
        <v>85</v>
      </c>
      <c r="G108" s="15" cm="1">
        <f t="array" ref="G108">MAX(IF((ISNUMBER(VALUE(SUBSTITUTE(I58:I105, "X", "")))) * (LEFT(I58:I105, 1) &lt;&gt; "&gt;"), VALUE(SUBSTITUTE(I58:I105, "X", ""))))</f>
        <v>38.28</v>
      </c>
      <c r="H108" cm="1">
        <f t="array" ref="H108">MAX(IF((ISNUMBER(VALUE(SUBSTITUTE(I58:I105, "X", "")))) * (LEFT(I58:I105, 1) &lt;&gt; "&gt;"), VALUE(SUBSTITUTE(I58:I105, "X", ""))))</f>
        <v>38.28</v>
      </c>
    </row>
    <row r="109" spans="1:11" x14ac:dyDescent="0.2">
      <c r="F109" t="s">
        <v>86</v>
      </c>
      <c r="G109" s="15" cm="1">
        <f t="array" ref="G109">MAX(IF(LEFT(I58:I105, 1) = "&gt;", VALUE(SUBSTITUTE(MID(I58:I105, 2, LEN(I58:I105) - 2), "X", "")), ""))</f>
        <v>1176.47</v>
      </c>
      <c r="H109" cm="1">
        <f t="array" ref="H109">MAX(IF(LEFT(I58:I105, 1) = "&gt;", VALUE(SUBSTITUTE(MID(I58:I105, 2, LEN(I58:I105) - 2), "X", "")), ""))</f>
        <v>1176.47</v>
      </c>
    </row>
    <row r="110" spans="1:11" x14ac:dyDescent="0.2">
      <c r="G110" s="15" t="s">
        <v>88</v>
      </c>
      <c r="H110" t="s">
        <v>87</v>
      </c>
    </row>
  </sheetData>
  <autoFilter ref="A3:J52" xr:uid="{7E6EC50F-C2C7-514A-A362-F65090577DB5}"/>
  <conditionalFormatting sqref="L4:N51">
    <cfRule type="cellIs" dxfId="3" priority="1" operator="equal">
      <formula>FALSE</formula>
    </cfRule>
  </conditionalFormatting>
  <conditionalFormatting sqref="AA4:AC19">
    <cfRule type="cellIs" dxfId="2" priority="4" operator="equal">
      <formula>FALSE</formula>
    </cfRule>
  </conditionalFormatting>
  <conditionalFormatting sqref="AA24:AC39">
    <cfRule type="cellIs" dxfId="1" priority="3" operator="equal">
      <formula>FALSE</formula>
    </cfRule>
  </conditionalFormatting>
  <conditionalFormatting sqref="AA44:AC59"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9FEA-E9CA-5141-867C-E16C0EE845F1}">
  <dimension ref="A2:M71"/>
  <sheetViews>
    <sheetView zoomScale="75" workbookViewId="0">
      <selection activeCell="E27" sqref="E27"/>
    </sheetView>
  </sheetViews>
  <sheetFormatPr baseColWidth="10" defaultRowHeight="16" x14ac:dyDescent="0.2"/>
  <cols>
    <col min="2" max="2" width="13.5" bestFit="1" customWidth="1"/>
    <col min="3" max="3" width="18.5" style="19" bestFit="1" customWidth="1"/>
    <col min="4" max="4" width="10.83203125" style="19"/>
    <col min="6" max="6" width="13.5" bestFit="1" customWidth="1"/>
    <col min="7" max="7" width="20.5" bestFit="1" customWidth="1"/>
    <col min="10" max="10" width="16" bestFit="1" customWidth="1"/>
    <col min="13" max="13" width="15.5" bestFit="1" customWidth="1"/>
  </cols>
  <sheetData>
    <row r="2" spans="1:5" x14ac:dyDescent="0.2">
      <c r="A2" t="s">
        <v>11</v>
      </c>
      <c r="B2" t="s">
        <v>12</v>
      </c>
      <c r="C2" s="19" t="s">
        <v>16</v>
      </c>
      <c r="D2" s="19" t="s">
        <v>15</v>
      </c>
      <c r="E2" t="s">
        <v>107</v>
      </c>
    </row>
    <row r="3" spans="1:5" x14ac:dyDescent="0.2">
      <c r="A3" s="9" t="s">
        <v>65</v>
      </c>
      <c r="B3" s="13" t="s">
        <v>25</v>
      </c>
      <c r="C3" s="9">
        <f>IF(ISNUMBER(SEARCH("~*", 'perf-table-vs-tyql'!H58)), 1, VALUE(SUBSTITUTE(SUBSTITUTE('perf-table-vs-tyql'!H58, "X", ""), "&gt;", "")))</f>
        <v>1</v>
      </c>
      <c r="D3" s="9">
        <f>IF(ISNUMBER(SEARCH("~*", 'perf-table-vs-tyql'!I58)), 1, VALUE(SUBSTITUTE(SUBSTITUTE('perf-table-vs-tyql'!I58, "X", ""), "&gt;", "")))</f>
        <v>6.12</v>
      </c>
      <c r="E3" s="9">
        <f>IF(ISNUMBER(SEARCH("~*", 'perf-table-vs-tyql'!J58)), 1, VALUE(SUBSTITUTE(SUBSTITUTE('perf-table-vs-tyql'!J58, "X", ""), "&gt;", "")))</f>
        <v>1</v>
      </c>
    </row>
    <row r="4" spans="1:5" x14ac:dyDescent="0.2">
      <c r="A4" s="9" t="s">
        <v>67</v>
      </c>
      <c r="B4" s="13" t="s">
        <v>25</v>
      </c>
      <c r="C4" s="9">
        <f>IF(ISNUMBER(SEARCH("~*", 'perf-table-vs-tyql'!H59)), 1, VALUE(SUBSTITUTE(SUBSTITUTE('perf-table-vs-tyql'!H59, "X", ""), "&gt;", "")))</f>
        <v>17.73</v>
      </c>
      <c r="D4" s="9">
        <f>IF(ISNUMBER(SEARCH("~*", 'perf-table-vs-tyql'!I59)), 1, VALUE(SUBSTITUTE(SUBSTITUTE('perf-table-vs-tyql'!I59, "X", ""), "&gt;", "")))</f>
        <v>2.02</v>
      </c>
      <c r="E4" s="9">
        <f>IF(ISNUMBER(SEARCH("~*", 'perf-table-vs-tyql'!J59)), 1, VALUE(SUBSTITUTE(SUBSTITUTE('perf-table-vs-tyql'!J59, "X", ""), "&gt;", "")))</f>
        <v>1</v>
      </c>
    </row>
    <row r="5" spans="1:5" x14ac:dyDescent="0.2">
      <c r="A5" s="9" t="s">
        <v>69</v>
      </c>
      <c r="B5" s="13" t="s">
        <v>25</v>
      </c>
      <c r="C5" s="9">
        <f>IF(ISNUMBER(SEARCH("~*", 'perf-table-vs-tyql'!H60)), 1, VALUE(SUBSTITUTE(SUBSTITUTE('perf-table-vs-tyql'!H60, "X", ""), "&gt;", "")))</f>
        <v>15.2</v>
      </c>
      <c r="D5" s="9">
        <f>IF(ISNUMBER(SEARCH("~*", 'perf-table-vs-tyql'!I60)), 1, VALUE(SUBSTITUTE(SUBSTITUTE('perf-table-vs-tyql'!I60, "X", ""), "&gt;", "")))</f>
        <v>15.2</v>
      </c>
      <c r="E5" s="9">
        <f>IF(ISNUMBER(SEARCH("~*", 'perf-table-vs-tyql'!J60)), 1, VALUE(SUBSTITUTE(SUBSTITUTE('perf-table-vs-tyql'!J60, "X", ""), "&gt;", "")))</f>
        <v>1</v>
      </c>
    </row>
    <row r="6" spans="1:5" x14ac:dyDescent="0.2">
      <c r="A6" s="9" t="s">
        <v>65</v>
      </c>
      <c r="B6" s="13" t="s">
        <v>29</v>
      </c>
      <c r="C6" s="9">
        <f>IF(ISNUMBER(SEARCH("~*", 'perf-table-vs-tyql'!H61)), 1, VALUE(SUBSTITUTE(SUBSTITUTE('perf-table-vs-tyql'!H61, "X", ""), "&gt;", "")))</f>
        <v>0.11</v>
      </c>
      <c r="D6" s="9">
        <f>IF(ISNUMBER(SEARCH("~*", 'perf-table-vs-tyql'!I61)), 1, VALUE(SUBSTITUTE(SUBSTITUTE('perf-table-vs-tyql'!I61, "X", ""), "&gt;", "")))</f>
        <v>4.17</v>
      </c>
      <c r="E6" s="9">
        <f>IF(ISNUMBER(SEARCH("~*", 'perf-table-vs-tyql'!J61)), 1, VALUE(SUBSTITUTE(SUBSTITUTE('perf-table-vs-tyql'!J61, "X", ""), "&gt;", "")))</f>
        <v>1</v>
      </c>
    </row>
    <row r="7" spans="1:5" x14ac:dyDescent="0.2">
      <c r="A7" s="9" t="s">
        <v>67</v>
      </c>
      <c r="B7" s="13" t="s">
        <v>29</v>
      </c>
      <c r="C7" s="9">
        <f>IF(ISNUMBER(SEARCH("~*", 'perf-table-vs-tyql'!H62)), 1, VALUE(SUBSTITUTE(SUBSTITUTE('perf-table-vs-tyql'!H62, "X", ""), "&gt;", "")))</f>
        <v>241.38</v>
      </c>
      <c r="D7" s="9">
        <f>IF(ISNUMBER(SEARCH("~*", 'perf-table-vs-tyql'!I62)), 1, VALUE(SUBSTITUTE(SUBSTITUTE('perf-table-vs-tyql'!I62, "X", ""), "&gt;", "")))</f>
        <v>4.3</v>
      </c>
      <c r="E7" s="9">
        <f>IF(ISNUMBER(SEARCH("~*", 'perf-table-vs-tyql'!J62)), 1, VALUE(SUBSTITUTE(SUBSTITUTE('perf-table-vs-tyql'!J62, "X", ""), "&gt;", "")))</f>
        <v>1</v>
      </c>
    </row>
    <row r="8" spans="1:5" x14ac:dyDescent="0.2">
      <c r="A8" s="9" t="s">
        <v>69</v>
      </c>
      <c r="B8" s="13" t="s">
        <v>29</v>
      </c>
      <c r="C8" s="9">
        <f>IF(ISNUMBER(SEARCH("~*", 'perf-table-vs-tyql'!H63)), 1, VALUE(SUBSTITUTE(SUBSTITUTE('perf-table-vs-tyql'!H63, "X", ""), "&gt;", "")))</f>
        <v>1553.75</v>
      </c>
      <c r="D8" s="9">
        <f>IF(ISNUMBER(SEARCH("~*", 'perf-table-vs-tyql'!I63)), 1, VALUE(SUBSTITUTE(SUBSTITUTE('perf-table-vs-tyql'!I63, "X", ""), "&gt;", "")))</f>
        <v>5.96</v>
      </c>
      <c r="E8" s="9">
        <f>IF(ISNUMBER(SEARCH("~*", 'perf-table-vs-tyql'!J63)), 1, VALUE(SUBSTITUTE(SUBSTITUTE('perf-table-vs-tyql'!J63, "X", ""), "&gt;", "")))</f>
        <v>1</v>
      </c>
    </row>
    <row r="9" spans="1:5" x14ac:dyDescent="0.2">
      <c r="A9" s="9" t="s">
        <v>65</v>
      </c>
      <c r="B9" s="13" t="s">
        <v>33</v>
      </c>
      <c r="C9" s="9">
        <f>IF(ISNUMBER(SEARCH("~*", 'perf-table-vs-tyql'!H64)), 1, VALUE(SUBSTITUTE(SUBSTITUTE('perf-table-vs-tyql'!H64, "X", ""), "&gt;", "")))</f>
        <v>1</v>
      </c>
      <c r="D9" s="9">
        <f>IF(ISNUMBER(SEARCH("~*", 'perf-table-vs-tyql'!I64)), 1, VALUE(SUBSTITUTE(SUBSTITUTE('perf-table-vs-tyql'!I64, "X", ""), "&gt;", "")))</f>
        <v>3.52</v>
      </c>
      <c r="E9" s="9">
        <f>IF(ISNUMBER(SEARCH("~*", 'perf-table-vs-tyql'!J64)), 1, VALUE(SUBSTITUTE(SUBSTITUTE('perf-table-vs-tyql'!J64, "X", ""), "&gt;", "")))</f>
        <v>1</v>
      </c>
    </row>
    <row r="10" spans="1:5" x14ac:dyDescent="0.2">
      <c r="A10" s="9" t="s">
        <v>67</v>
      </c>
      <c r="B10" s="13" t="s">
        <v>33</v>
      </c>
      <c r="C10" s="9">
        <f>IF(ISNUMBER(SEARCH("~*", 'perf-table-vs-tyql'!H65)), 1, VALUE(SUBSTITUTE(SUBSTITUTE('perf-table-vs-tyql'!H65, "X", ""), "&gt;", "")))</f>
        <v>694.97</v>
      </c>
      <c r="D10" s="9">
        <f>IF(ISNUMBER(SEARCH("~*", 'perf-table-vs-tyql'!I65)), 1, VALUE(SUBSTITUTE(SUBSTITUTE('perf-table-vs-tyql'!I65, "X", ""), "&gt;", "")))</f>
        <v>3.93</v>
      </c>
      <c r="E10" s="9">
        <f>IF(ISNUMBER(SEARCH("~*", 'perf-table-vs-tyql'!J65)), 1, VALUE(SUBSTITUTE(SUBSTITUTE('perf-table-vs-tyql'!J65, "X", ""), "&gt;", "")))</f>
        <v>1</v>
      </c>
    </row>
    <row r="11" spans="1:5" x14ac:dyDescent="0.2">
      <c r="A11" s="9" t="s">
        <v>69</v>
      </c>
      <c r="B11" s="13" t="s">
        <v>33</v>
      </c>
      <c r="C11" s="9">
        <f>IF(ISNUMBER(SEARCH("~*", 'perf-table-vs-tyql'!H66)), 1, VALUE(SUBSTITUTE(SUBSTITUTE('perf-table-vs-tyql'!H66, "X", ""), "&gt;", "")))</f>
        <v>3389.83</v>
      </c>
      <c r="D11" s="9">
        <f>IF(ISNUMBER(SEARCH("~*", 'perf-table-vs-tyql'!I66)), 1, VALUE(SUBSTITUTE(SUBSTITUTE('perf-table-vs-tyql'!I66, "X", ""), "&gt;", "")))</f>
        <v>3.78</v>
      </c>
      <c r="E11" s="9">
        <f>IF(ISNUMBER(SEARCH("~*", 'perf-table-vs-tyql'!J66)), 1, VALUE(SUBSTITUTE(SUBSTITUTE('perf-table-vs-tyql'!J66, "X", ""), "&gt;", "")))</f>
        <v>1</v>
      </c>
    </row>
    <row r="12" spans="1:5" x14ac:dyDescent="0.2">
      <c r="A12" s="9" t="s">
        <v>65</v>
      </c>
      <c r="B12" s="13" t="s">
        <v>35</v>
      </c>
      <c r="C12" s="9">
        <f>IF(ISNUMBER(SEARCH("~*", 'perf-table-vs-tyql'!H67)), 1, VALUE(SUBSTITUTE(SUBSTITUTE('perf-table-vs-tyql'!H67, "X", ""), "&gt;", "")))</f>
        <v>1</v>
      </c>
      <c r="D12" s="9">
        <f>IF(ISNUMBER(SEARCH("~*", 'perf-table-vs-tyql'!I67)), 1, VALUE(SUBSTITUTE(SUBSTITUTE('perf-table-vs-tyql'!I67, "X", ""), "&gt;", "")))</f>
        <v>4.0199999999999996</v>
      </c>
      <c r="E12" s="9">
        <f>IF(ISNUMBER(SEARCH("~*", 'perf-table-vs-tyql'!J67)), 1, VALUE(SUBSTITUTE(SUBSTITUTE('perf-table-vs-tyql'!J67, "X", ""), "&gt;", "")))</f>
        <v>1</v>
      </c>
    </row>
    <row r="13" spans="1:5" x14ac:dyDescent="0.2">
      <c r="A13" s="9" t="s">
        <v>67</v>
      </c>
      <c r="B13" s="13" t="s">
        <v>35</v>
      </c>
      <c r="C13" s="9">
        <f>IF(ISNUMBER(SEARCH("~*", 'perf-table-vs-tyql'!H68)), 1, VALUE(SUBSTITUTE(SUBSTITUTE('perf-table-vs-tyql'!H68, "X", ""), "&gt;", "")))</f>
        <v>1675.25</v>
      </c>
      <c r="D13" s="9">
        <f>IF(ISNUMBER(SEARCH("~*", 'perf-table-vs-tyql'!I68)), 1, VALUE(SUBSTITUTE(SUBSTITUTE('perf-table-vs-tyql'!I68, "X", ""), "&gt;", "")))</f>
        <v>6.79</v>
      </c>
      <c r="E13" s="9">
        <f>IF(ISNUMBER(SEARCH("~*", 'perf-table-vs-tyql'!J68)), 1, VALUE(SUBSTITUTE(SUBSTITUTE('perf-table-vs-tyql'!J68, "X", ""), "&gt;", "")))</f>
        <v>1</v>
      </c>
    </row>
    <row r="14" spans="1:5" x14ac:dyDescent="0.2">
      <c r="A14" s="9" t="s">
        <v>69</v>
      </c>
      <c r="B14" s="13" t="s">
        <v>35</v>
      </c>
      <c r="C14" s="9">
        <f>IF(ISNUMBER(SEARCH("~*", 'perf-table-vs-tyql'!H69)), 1, VALUE(SUBSTITUTE(SUBSTITUTE('perf-table-vs-tyql'!H69, "X", ""), "&gt;", "")))</f>
        <v>541.52</v>
      </c>
      <c r="D14" s="9">
        <f>IF(ISNUMBER(SEARCH("~*", 'perf-table-vs-tyql'!I69)), 1, VALUE(SUBSTITUTE(SUBSTITUTE('perf-table-vs-tyql'!I69, "X", ""), "&gt;", "")))</f>
        <v>13.34</v>
      </c>
      <c r="E14" s="9">
        <f>IF(ISNUMBER(SEARCH("~*", 'perf-table-vs-tyql'!J69)), 1, VALUE(SUBSTITUTE(SUBSTITUTE('perf-table-vs-tyql'!J69, "X", ""), "&gt;", "")))</f>
        <v>1</v>
      </c>
    </row>
    <row r="15" spans="1:5" x14ac:dyDescent="0.2">
      <c r="A15" s="9" t="s">
        <v>65</v>
      </c>
      <c r="B15" s="13" t="s">
        <v>37</v>
      </c>
      <c r="C15" s="9">
        <f>IF(ISNUMBER(SEARCH("~*", 'perf-table-vs-tyql'!H70)), 1, VALUE(SUBSTITUTE(SUBSTITUTE('perf-table-vs-tyql'!H70, "X", ""), "&gt;", "")))</f>
        <v>0.22</v>
      </c>
      <c r="D15" s="9">
        <f>IF(ISNUMBER(SEARCH("~*", 'perf-table-vs-tyql'!I70)), 1, VALUE(SUBSTITUTE(SUBSTITUTE('perf-table-vs-tyql'!I70, "X", ""), "&gt;", "")))</f>
        <v>11.03</v>
      </c>
      <c r="E15" s="9">
        <f>IF(ISNUMBER(SEARCH("~*", 'perf-table-vs-tyql'!J70)), 1, VALUE(SUBSTITUTE(SUBSTITUTE('perf-table-vs-tyql'!J70, "X", ""), "&gt;", "")))</f>
        <v>1</v>
      </c>
    </row>
    <row r="16" spans="1:5" x14ac:dyDescent="0.2">
      <c r="A16" s="9" t="s">
        <v>67</v>
      </c>
      <c r="B16" s="13" t="s">
        <v>37</v>
      </c>
      <c r="C16" s="9">
        <f>IF(ISNUMBER(SEARCH("~*", 'perf-table-vs-tyql'!H71)), 1, VALUE(SUBSTITUTE(SUBSTITUTE('perf-table-vs-tyql'!H71, "X", ""), "&gt;", "")))</f>
        <v>30000</v>
      </c>
      <c r="D16" s="9">
        <f>IF(ISNUMBER(SEARCH("~*", 'perf-table-vs-tyql'!I71)), 1, VALUE(SUBSTITUTE(SUBSTITUTE('perf-table-vs-tyql'!I71, "X", ""), "&gt;", "")))</f>
        <v>2.73</v>
      </c>
      <c r="E16" s="9">
        <f>IF(ISNUMBER(SEARCH("~*", 'perf-table-vs-tyql'!J71)), 1, VALUE(SUBSTITUTE(SUBSTITUTE('perf-table-vs-tyql'!J71, "X", ""), "&gt;", "")))</f>
        <v>1</v>
      </c>
    </row>
    <row r="17" spans="1:5" x14ac:dyDescent="0.2">
      <c r="A17" s="9" t="s">
        <v>69</v>
      </c>
      <c r="B17" s="13" t="s">
        <v>37</v>
      </c>
      <c r="C17" s="9">
        <f>IF(ISNUMBER(SEARCH("~*", 'perf-table-vs-tyql'!H72)), 1, VALUE(SUBSTITUTE(SUBSTITUTE('perf-table-vs-tyql'!H72, "X", ""), "&gt;", "")))</f>
        <v>25000</v>
      </c>
      <c r="D17" s="9">
        <f>IF(ISNUMBER(SEARCH("~*", 'perf-table-vs-tyql'!I72)), 1, VALUE(SUBSTITUTE(SUBSTITUTE('perf-table-vs-tyql'!I72, "X", ""), "&gt;", "")))</f>
        <v>2.4900000000000002</v>
      </c>
      <c r="E17" s="9">
        <f>IF(ISNUMBER(SEARCH("~*", 'perf-table-vs-tyql'!J72)), 1, VALUE(SUBSTITUTE(SUBSTITUTE('perf-table-vs-tyql'!J72, "X", ""), "&gt;", "")))</f>
        <v>1</v>
      </c>
    </row>
    <row r="18" spans="1:5" x14ac:dyDescent="0.2">
      <c r="A18" s="9" t="s">
        <v>65</v>
      </c>
      <c r="B18" s="13" t="s">
        <v>38</v>
      </c>
      <c r="C18" s="9">
        <f>IF(ISNUMBER(SEARCH("~*", 'perf-table-vs-tyql'!H73)), 1, VALUE(SUBSTITUTE(SUBSTITUTE('perf-table-vs-tyql'!H73, "X", ""), "&gt;", "")))</f>
        <v>0.21</v>
      </c>
      <c r="D18" s="9">
        <f>IF(ISNUMBER(SEARCH("~*", 'perf-table-vs-tyql'!I73)), 1, VALUE(SUBSTITUTE(SUBSTITUTE('perf-table-vs-tyql'!I73, "X", ""), "&gt;", "")))</f>
        <v>6.19</v>
      </c>
      <c r="E18" s="9">
        <f>IF(ISNUMBER(SEARCH("~*", 'perf-table-vs-tyql'!J73)), 1, VALUE(SUBSTITUTE(SUBSTITUTE('perf-table-vs-tyql'!J73, "X", ""), "&gt;", "")))</f>
        <v>1</v>
      </c>
    </row>
    <row r="19" spans="1:5" x14ac:dyDescent="0.2">
      <c r="A19" s="9" t="s">
        <v>67</v>
      </c>
      <c r="B19" s="13" t="s">
        <v>38</v>
      </c>
      <c r="C19" s="9">
        <f>IF(ISNUMBER(SEARCH("~*", 'perf-table-vs-tyql'!H74)), 1, VALUE(SUBSTITUTE(SUBSTITUTE('perf-table-vs-tyql'!H74, "X", ""), "&gt;", "")))</f>
        <v>46.91</v>
      </c>
      <c r="D19" s="9">
        <f>IF(ISNUMBER(SEARCH("~*", 'perf-table-vs-tyql'!I74)), 1, VALUE(SUBSTITUTE(SUBSTITUTE('perf-table-vs-tyql'!I74, "X", ""), "&gt;", "")))</f>
        <v>2.6</v>
      </c>
      <c r="E19" s="9">
        <f>IF(ISNUMBER(SEARCH("~*", 'perf-table-vs-tyql'!J74)), 1, VALUE(SUBSTITUTE(SUBSTITUTE('perf-table-vs-tyql'!J74, "X", ""), "&gt;", "")))</f>
        <v>1</v>
      </c>
    </row>
    <row r="20" spans="1:5" x14ac:dyDescent="0.2">
      <c r="A20" s="9" t="s">
        <v>69</v>
      </c>
      <c r="B20" s="13" t="s">
        <v>38</v>
      </c>
      <c r="C20" s="9">
        <f>IF(ISNUMBER(SEARCH("~*", 'perf-table-vs-tyql'!H75)), 1, VALUE(SUBSTITUTE(SUBSTITUTE('perf-table-vs-tyql'!H75, "X", ""), "&gt;", "")))</f>
        <v>48.79</v>
      </c>
      <c r="D20" s="9">
        <f>IF(ISNUMBER(SEARCH("~*", 'perf-table-vs-tyql'!I75)), 1, VALUE(SUBSTITUTE(SUBSTITUTE('perf-table-vs-tyql'!I75, "X", ""), "&gt;", "")))</f>
        <v>1.22</v>
      </c>
      <c r="E20" s="9">
        <f>IF(ISNUMBER(SEARCH("~*", 'perf-table-vs-tyql'!J75)), 1, VALUE(SUBSTITUTE(SUBSTITUTE('perf-table-vs-tyql'!J75, "X", ""), "&gt;", "")))</f>
        <v>1</v>
      </c>
    </row>
    <row r="21" spans="1:5" x14ac:dyDescent="0.2">
      <c r="A21" s="9" t="s">
        <v>65</v>
      </c>
      <c r="B21" s="13" t="s">
        <v>40</v>
      </c>
      <c r="C21" s="9">
        <f>IF(ISNUMBER(SEARCH("~*", 'perf-table-vs-tyql'!H76)), 1, VALUE(SUBSTITUTE(SUBSTITUTE('perf-table-vs-tyql'!H76, "X", ""), "&gt;", "")))</f>
        <v>0.12</v>
      </c>
      <c r="D21" s="9">
        <f>IF(ISNUMBER(SEARCH("~*", 'perf-table-vs-tyql'!I76)), 1, VALUE(SUBSTITUTE(SUBSTITUTE('perf-table-vs-tyql'!I76, "X", ""), "&gt;", "")))</f>
        <v>7.18</v>
      </c>
      <c r="E21" s="9">
        <f>IF(ISNUMBER(SEARCH("~*", 'perf-table-vs-tyql'!J76)), 1, VALUE(SUBSTITUTE(SUBSTITUTE('perf-table-vs-tyql'!J76, "X", ""), "&gt;", "")))</f>
        <v>1</v>
      </c>
    </row>
    <row r="22" spans="1:5" x14ac:dyDescent="0.2">
      <c r="A22" s="9" t="s">
        <v>67</v>
      </c>
      <c r="B22" s="13" t="s">
        <v>40</v>
      </c>
      <c r="C22" s="9">
        <f>IF(ISNUMBER(SEARCH("~*", 'perf-table-vs-tyql'!H77)), 1, VALUE(SUBSTITUTE(SUBSTITUTE('perf-table-vs-tyql'!H77, "X", ""), "&gt;", "")))</f>
        <v>561.27</v>
      </c>
      <c r="D22" s="9">
        <f>IF(ISNUMBER(SEARCH("~*", 'perf-table-vs-tyql'!I77)), 1, VALUE(SUBSTITUTE(SUBSTITUTE('perf-table-vs-tyql'!I77, "X", ""), "&gt;", "")))</f>
        <v>5.34</v>
      </c>
      <c r="E22" s="9">
        <f>IF(ISNUMBER(SEARCH("~*", 'perf-table-vs-tyql'!J77)), 1, VALUE(SUBSTITUTE(SUBSTITUTE('perf-table-vs-tyql'!J77, "X", ""), "&gt;", "")))</f>
        <v>1</v>
      </c>
    </row>
    <row r="23" spans="1:5" x14ac:dyDescent="0.2">
      <c r="A23" s="9" t="s">
        <v>69</v>
      </c>
      <c r="B23" s="13" t="s">
        <v>40</v>
      </c>
      <c r="C23" s="9">
        <f>IF(ISNUMBER(SEARCH("~*", 'perf-table-vs-tyql'!H78)), 1, VALUE(SUBSTITUTE(SUBSTITUTE('perf-table-vs-tyql'!H78, "X", ""), "&gt;", "")))</f>
        <v>18.940000000000001</v>
      </c>
      <c r="D23" s="9">
        <f>IF(ISNUMBER(SEARCH("~*", 'perf-table-vs-tyql'!I78)), 1, VALUE(SUBSTITUTE(SUBSTITUTE('perf-table-vs-tyql'!I78, "X", ""), "&gt;", "")))</f>
        <v>10.06</v>
      </c>
      <c r="E23" s="9">
        <f>IF(ISNUMBER(SEARCH("~*", 'perf-table-vs-tyql'!J78)), 1, VALUE(SUBSTITUTE(SUBSTITUTE('perf-table-vs-tyql'!J78, "X", ""), "&gt;", "")))</f>
        <v>1</v>
      </c>
    </row>
    <row r="24" spans="1:5" x14ac:dyDescent="0.2">
      <c r="A24" s="9" t="s">
        <v>65</v>
      </c>
      <c r="B24" s="13" t="s">
        <v>42</v>
      </c>
      <c r="C24" s="9">
        <f>IF(ISNUMBER(SEARCH("~*", 'perf-table-vs-tyql'!H79)), 1, VALUE(SUBSTITUTE(SUBSTITUTE('perf-table-vs-tyql'!H79, "X", ""), "&gt;", "")))</f>
        <v>0.31</v>
      </c>
      <c r="D24" s="9">
        <f>IF(ISNUMBER(SEARCH("~*", 'perf-table-vs-tyql'!I79)), 1, VALUE(SUBSTITUTE(SUBSTITUTE('perf-table-vs-tyql'!I79, "X", ""), "&gt;", "")))</f>
        <v>7.39</v>
      </c>
      <c r="E24" s="9">
        <f>IF(ISNUMBER(SEARCH("~*", 'perf-table-vs-tyql'!J79)), 1, VALUE(SUBSTITUTE(SUBSTITUTE('perf-table-vs-tyql'!J79, "X", ""), "&gt;", "")))</f>
        <v>1</v>
      </c>
    </row>
    <row r="25" spans="1:5" x14ac:dyDescent="0.2">
      <c r="A25" s="9" t="s">
        <v>67</v>
      </c>
      <c r="B25" s="13" t="s">
        <v>42</v>
      </c>
      <c r="C25" s="9">
        <f>IF(ISNUMBER(SEARCH("~*", 'perf-table-vs-tyql'!H80)), 1, VALUE(SUBSTITUTE(SUBSTITUTE('perf-table-vs-tyql'!H80, "X", ""), "&gt;", "")))</f>
        <v>1768.88</v>
      </c>
      <c r="D25" s="9">
        <f>IF(ISNUMBER(SEARCH("~*", 'perf-table-vs-tyql'!I80)), 1, VALUE(SUBSTITUTE(SUBSTITUTE('perf-table-vs-tyql'!I80, "X", ""), "&gt;", "")))</f>
        <v>5.84</v>
      </c>
      <c r="E25" s="9">
        <f>IF(ISNUMBER(SEARCH("~*", 'perf-table-vs-tyql'!J80)), 1, VALUE(SUBSTITUTE(SUBSTITUTE('perf-table-vs-tyql'!J80, "X", ""), "&gt;", "")))</f>
        <v>1</v>
      </c>
    </row>
    <row r="26" spans="1:5" x14ac:dyDescent="0.2">
      <c r="A26" s="9" t="s">
        <v>69</v>
      </c>
      <c r="B26" s="13" t="s">
        <v>42</v>
      </c>
      <c r="C26" s="9">
        <f>IF(ISNUMBER(SEARCH("~*", 'perf-table-vs-tyql'!H81)), 1, VALUE(SUBSTITUTE(SUBSTITUTE('perf-table-vs-tyql'!H81, "X", ""), "&gt;", "")))</f>
        <v>18981.25</v>
      </c>
      <c r="D26" s="9">
        <f>IF(ISNUMBER(SEARCH("~*", 'perf-table-vs-tyql'!I81)), 1, VALUE(SUBSTITUTE(SUBSTITUTE('perf-table-vs-tyql'!I81, "X", ""), "&gt;", "")))</f>
        <v>9.52</v>
      </c>
      <c r="E26" s="9">
        <f>IF(ISNUMBER(SEARCH("~*", 'perf-table-vs-tyql'!J81)), 1, VALUE(SUBSTITUTE(SUBSTITUTE('perf-table-vs-tyql'!J81, "X", ""), "&gt;", "")))</f>
        <v>1</v>
      </c>
    </row>
    <row r="27" spans="1:5" x14ac:dyDescent="0.2">
      <c r="A27" s="9" t="s">
        <v>65</v>
      </c>
      <c r="B27" s="13" t="s">
        <v>44</v>
      </c>
      <c r="C27" s="9">
        <f>IF(ISNUMBER(SEARCH("~*", 'perf-table-vs-tyql'!H82)), 1, VALUE(SUBSTITUTE(SUBSTITUTE('perf-table-vs-tyql'!H82, "X", ""), "&gt;", "")))</f>
        <v>0.28999999999999998</v>
      </c>
      <c r="D27" s="9">
        <f>IF(ISNUMBER(SEARCH("~*", 'perf-table-vs-tyql'!I82)), 1, VALUE(SUBSTITUTE(SUBSTITUTE('perf-table-vs-tyql'!I82, "X", ""), "&gt;", "")))</f>
        <v>23.56</v>
      </c>
      <c r="E27" s="9">
        <f>IF(ISNUMBER(SEARCH("~*", 'perf-table-vs-tyql'!J82)), 1, VALUE(SUBSTITUTE(SUBSTITUTE('perf-table-vs-tyql'!J82, "X", ""), "&gt;", "")))</f>
        <v>1</v>
      </c>
    </row>
    <row r="28" spans="1:5" x14ac:dyDescent="0.2">
      <c r="A28" s="9" t="s">
        <v>67</v>
      </c>
      <c r="B28" s="13" t="s">
        <v>44</v>
      </c>
      <c r="C28" s="9">
        <f>IF(ISNUMBER(SEARCH("~*", 'perf-table-vs-tyql'!H83)), 1, VALUE(SUBSTITUTE(SUBSTITUTE('perf-table-vs-tyql'!H83, "X", ""), "&gt;", "")))</f>
        <v>3.31</v>
      </c>
      <c r="D28" s="9">
        <f>IF(ISNUMBER(SEARCH("~*", 'perf-table-vs-tyql'!I83)), 1, VALUE(SUBSTITUTE(SUBSTITUTE('perf-table-vs-tyql'!I83, "X", ""), "&gt;", "")))</f>
        <v>3.31</v>
      </c>
      <c r="E28" s="9">
        <f>IF(ISNUMBER(SEARCH("~*", 'perf-table-vs-tyql'!J83)), 1, VALUE(SUBSTITUTE(SUBSTITUTE('perf-table-vs-tyql'!J83, "X", ""), "&gt;", "")))</f>
        <v>1</v>
      </c>
    </row>
    <row r="29" spans="1:5" x14ac:dyDescent="0.2">
      <c r="A29" s="9" t="s">
        <v>69</v>
      </c>
      <c r="B29" s="13" t="s">
        <v>44</v>
      </c>
      <c r="C29" s="9">
        <f>IF(ISNUMBER(SEARCH("~*", 'perf-table-vs-tyql'!H84)), 1, VALUE(SUBSTITUTE(SUBSTITUTE('perf-table-vs-tyql'!H84, "X", ""), "&gt;", "")))</f>
        <v>1.33</v>
      </c>
      <c r="D29" s="9">
        <f>IF(ISNUMBER(SEARCH("~*", 'perf-table-vs-tyql'!I84)), 1, VALUE(SUBSTITUTE(SUBSTITUTE('perf-table-vs-tyql'!I84, "X", ""), "&gt;", "")))</f>
        <v>1.33</v>
      </c>
      <c r="E29" s="9">
        <f>IF(ISNUMBER(SEARCH("~*", 'perf-table-vs-tyql'!J84)), 1, VALUE(SUBSTITUTE(SUBSTITUTE('perf-table-vs-tyql'!J84, "X", ""), "&gt;", "")))</f>
        <v>1</v>
      </c>
    </row>
    <row r="30" spans="1:5" x14ac:dyDescent="0.2">
      <c r="A30" s="9" t="s">
        <v>65</v>
      </c>
      <c r="B30" s="13" t="s">
        <v>47</v>
      </c>
      <c r="C30" s="9">
        <f>IF(ISNUMBER(SEARCH("~*", 'perf-table-vs-tyql'!H85)), 1, VALUE(SUBSTITUTE(SUBSTITUTE('perf-table-vs-tyql'!H85, "X", ""), "&gt;", "")))</f>
        <v>0.18</v>
      </c>
      <c r="D30" s="9">
        <f>IF(ISNUMBER(SEARCH("~*", 'perf-table-vs-tyql'!I85)), 1, VALUE(SUBSTITUTE(SUBSTITUTE('perf-table-vs-tyql'!I85, "X", ""), "&gt;", "")))</f>
        <v>5.37</v>
      </c>
      <c r="E30" s="9">
        <f>IF(ISNUMBER(SEARCH("~*", 'perf-table-vs-tyql'!J85)), 1, VALUE(SUBSTITUTE(SUBSTITUTE('perf-table-vs-tyql'!J85, "X", ""), "&gt;", "")))</f>
        <v>1</v>
      </c>
    </row>
    <row r="31" spans="1:5" x14ac:dyDescent="0.2">
      <c r="A31" s="9" t="s">
        <v>67</v>
      </c>
      <c r="B31" s="13" t="s">
        <v>47</v>
      </c>
      <c r="C31" s="9">
        <f>IF(ISNUMBER(SEARCH("~*", 'perf-table-vs-tyql'!H86)), 1, VALUE(SUBSTITUTE(SUBSTITUTE('perf-table-vs-tyql'!H86, "X", ""), "&gt;", "")))</f>
        <v>10909.09</v>
      </c>
      <c r="D31" s="9">
        <f>IF(ISNUMBER(SEARCH("~*", 'perf-table-vs-tyql'!I86)), 1, VALUE(SUBSTITUTE(SUBSTITUTE('perf-table-vs-tyql'!I86, "X", ""), "&gt;", "")))</f>
        <v>15.27</v>
      </c>
      <c r="E31" s="9">
        <f>IF(ISNUMBER(SEARCH("~*", 'perf-table-vs-tyql'!J86)), 1, VALUE(SUBSTITUTE(SUBSTITUTE('perf-table-vs-tyql'!J86, "X", ""), "&gt;", "")))</f>
        <v>1</v>
      </c>
    </row>
    <row r="32" spans="1:5" x14ac:dyDescent="0.2">
      <c r="A32" s="9" t="s">
        <v>69</v>
      </c>
      <c r="B32" s="13" t="s">
        <v>47</v>
      </c>
      <c r="C32" s="9">
        <f>IF(ISNUMBER(SEARCH("~*", 'perf-table-vs-tyql'!H87)), 1, VALUE(SUBSTITUTE(SUBSTITUTE('perf-table-vs-tyql'!H87, "X", ""), "&gt;", "")))</f>
        <v>1176.47</v>
      </c>
      <c r="D32" s="9">
        <f>IF(ISNUMBER(SEARCH("~*", 'perf-table-vs-tyql'!I87)), 1, VALUE(SUBSTITUTE(SUBSTITUTE('perf-table-vs-tyql'!I87, "X", ""), "&gt;", "")))</f>
        <v>1176.47</v>
      </c>
      <c r="E32" s="9">
        <f>IF(ISNUMBER(SEARCH("~*", 'perf-table-vs-tyql'!J87)), 1, VALUE(SUBSTITUTE(SUBSTITUTE('perf-table-vs-tyql'!J87, "X", ""), "&gt;", "")))</f>
        <v>1</v>
      </c>
    </row>
    <row r="33" spans="1:5" x14ac:dyDescent="0.2">
      <c r="A33" s="9" t="s">
        <v>65</v>
      </c>
      <c r="B33" s="13" t="s">
        <v>49</v>
      </c>
      <c r="C33" s="9">
        <f>IF(ISNUMBER(SEARCH("~*", 'perf-table-vs-tyql'!H88)), 1, VALUE(SUBSTITUTE(SUBSTITUTE('perf-table-vs-tyql'!H88, "X", ""), "&gt;", "")))</f>
        <v>1</v>
      </c>
      <c r="D33" s="9">
        <f>IF(ISNUMBER(SEARCH("~*", 'perf-table-vs-tyql'!I88)), 1, VALUE(SUBSTITUTE(SUBSTITUTE('perf-table-vs-tyql'!I88, "X", ""), "&gt;", "")))</f>
        <v>3.17</v>
      </c>
      <c r="E33" s="9">
        <f>IF(ISNUMBER(SEARCH("~*", 'perf-table-vs-tyql'!J88)), 1, VALUE(SUBSTITUTE(SUBSTITUTE('perf-table-vs-tyql'!J88, "X", ""), "&gt;", "")))</f>
        <v>1</v>
      </c>
    </row>
    <row r="34" spans="1:5" x14ac:dyDescent="0.2">
      <c r="A34" s="9" t="s">
        <v>67</v>
      </c>
      <c r="B34" s="13" t="s">
        <v>49</v>
      </c>
      <c r="C34" s="9">
        <f>IF(ISNUMBER(SEARCH("~*", 'perf-table-vs-tyql'!H89)), 1, VALUE(SUBSTITUTE(SUBSTITUTE('perf-table-vs-tyql'!H89, "X", ""), "&gt;", "")))</f>
        <v>7792.21</v>
      </c>
      <c r="D34" s="9">
        <f>IF(ISNUMBER(SEARCH("~*", 'perf-table-vs-tyql'!I89)), 1, VALUE(SUBSTITUTE(SUBSTITUTE('perf-table-vs-tyql'!I89, "X", ""), "&gt;", "")))</f>
        <v>5.1100000000000003</v>
      </c>
      <c r="E34" s="9">
        <f>IF(ISNUMBER(SEARCH("~*", 'perf-table-vs-tyql'!J89)), 1, VALUE(SUBSTITUTE(SUBSTITUTE('perf-table-vs-tyql'!J89, "X", ""), "&gt;", "")))</f>
        <v>1</v>
      </c>
    </row>
    <row r="35" spans="1:5" x14ac:dyDescent="0.2">
      <c r="A35" s="9" t="s">
        <v>69</v>
      </c>
      <c r="B35" s="13" t="s">
        <v>49</v>
      </c>
      <c r="C35" s="9">
        <f>IF(ISNUMBER(SEARCH("~*", 'perf-table-vs-tyql'!H90)), 1, VALUE(SUBSTITUTE(SUBSTITUTE('perf-table-vs-tyql'!H90, "X", ""), "&gt;", "")))</f>
        <v>1388.89</v>
      </c>
      <c r="D35" s="9">
        <f>IF(ISNUMBER(SEARCH("~*", 'perf-table-vs-tyql'!I90)), 1, VALUE(SUBSTITUTE(SUBSTITUTE('perf-table-vs-tyql'!I90, "X", ""), "&gt;", "")))</f>
        <v>1.72</v>
      </c>
      <c r="E35" s="9">
        <f>IF(ISNUMBER(SEARCH("~*", 'perf-table-vs-tyql'!J90)), 1, VALUE(SUBSTITUTE(SUBSTITUTE('perf-table-vs-tyql'!J90, "X", ""), "&gt;", "")))</f>
        <v>1</v>
      </c>
    </row>
    <row r="36" spans="1:5" x14ac:dyDescent="0.2">
      <c r="A36" s="9" t="s">
        <v>65</v>
      </c>
      <c r="B36" s="13" t="s">
        <v>50</v>
      </c>
      <c r="C36" s="9">
        <f>IF(ISNUMBER(SEARCH("~*", 'perf-table-vs-tyql'!H91)), 1, VALUE(SUBSTITUTE(SUBSTITUTE('perf-table-vs-tyql'!H91, "X", ""), "&gt;", "")))</f>
        <v>1</v>
      </c>
      <c r="D36" s="9">
        <f>IF(ISNUMBER(SEARCH("~*", 'perf-table-vs-tyql'!I91)), 1, VALUE(SUBSTITUTE(SUBSTITUTE('perf-table-vs-tyql'!I91, "X", ""), "&gt;", "")))</f>
        <v>8.4</v>
      </c>
      <c r="E36" s="9">
        <f>IF(ISNUMBER(SEARCH("~*", 'perf-table-vs-tyql'!J91)), 1, VALUE(SUBSTITUTE(SUBSTITUTE('perf-table-vs-tyql'!J91, "X", ""), "&gt;", "")))</f>
        <v>1</v>
      </c>
    </row>
    <row r="37" spans="1:5" x14ac:dyDescent="0.2">
      <c r="A37" s="9" t="s">
        <v>67</v>
      </c>
      <c r="B37" s="13" t="s">
        <v>50</v>
      </c>
      <c r="C37" s="9">
        <f>IF(ISNUMBER(SEARCH("~*", 'perf-table-vs-tyql'!H92)), 1, VALUE(SUBSTITUTE(SUBSTITUTE('perf-table-vs-tyql'!H92, "X", ""), "&gt;", "")))</f>
        <v>6451.61</v>
      </c>
      <c r="D37" s="9">
        <f>IF(ISNUMBER(SEARCH("~*", 'perf-table-vs-tyql'!I92)), 1, VALUE(SUBSTITUTE(SUBSTITUTE('perf-table-vs-tyql'!I92, "X", ""), "&gt;", "")))</f>
        <v>10.23</v>
      </c>
      <c r="E37" s="9">
        <f>IF(ISNUMBER(SEARCH("~*", 'perf-table-vs-tyql'!J92)), 1, VALUE(SUBSTITUTE(SUBSTITUTE('perf-table-vs-tyql'!J92, "X", ""), "&gt;", "")))</f>
        <v>1</v>
      </c>
    </row>
    <row r="38" spans="1:5" x14ac:dyDescent="0.2">
      <c r="A38" s="9" t="s">
        <v>69</v>
      </c>
      <c r="B38" s="13" t="s">
        <v>50</v>
      </c>
      <c r="C38" s="9">
        <f>IF(ISNUMBER(SEARCH("~*", 'perf-table-vs-tyql'!H93)), 1, VALUE(SUBSTITUTE(SUBSTITUTE('perf-table-vs-tyql'!H93, "X", ""), "&gt;", "")))</f>
        <v>699.3</v>
      </c>
      <c r="D38" s="9">
        <f>IF(ISNUMBER(SEARCH("~*", 'perf-table-vs-tyql'!I93)), 1, VALUE(SUBSTITUTE(SUBSTITUTE('perf-table-vs-tyql'!I93, "X", ""), "&gt;", "")))</f>
        <v>5.59</v>
      </c>
      <c r="E38" s="9">
        <f>IF(ISNUMBER(SEARCH("~*", 'perf-table-vs-tyql'!J93)), 1, VALUE(SUBSTITUTE(SUBSTITUTE('perf-table-vs-tyql'!J93, "X", ""), "&gt;", "")))</f>
        <v>1</v>
      </c>
    </row>
    <row r="39" spans="1:5" x14ac:dyDescent="0.2">
      <c r="A39" s="9" t="s">
        <v>65</v>
      </c>
      <c r="B39" s="13" t="s">
        <v>52</v>
      </c>
      <c r="C39" s="9">
        <f>IF(ISNUMBER(SEARCH("~*", 'perf-table-vs-tyql'!H94)), 1, VALUE(SUBSTITUTE(SUBSTITUTE('perf-table-vs-tyql'!H94, "X", ""), "&gt;", "")))</f>
        <v>0.16</v>
      </c>
      <c r="D39" s="9">
        <f>IF(ISNUMBER(SEARCH("~*", 'perf-table-vs-tyql'!I94)), 1, VALUE(SUBSTITUTE(SUBSTITUTE('perf-table-vs-tyql'!I94, "X", ""), "&gt;", "")))</f>
        <v>5.26</v>
      </c>
      <c r="E39" s="9">
        <f>IF(ISNUMBER(SEARCH("~*", 'perf-table-vs-tyql'!J94)), 1, VALUE(SUBSTITUTE(SUBSTITUTE('perf-table-vs-tyql'!J94, "X", ""), "&gt;", "")))</f>
        <v>1</v>
      </c>
    </row>
    <row r="40" spans="1:5" x14ac:dyDescent="0.2">
      <c r="A40" s="9" t="s">
        <v>67</v>
      </c>
      <c r="B40" s="13" t="s">
        <v>52</v>
      </c>
      <c r="C40" s="9">
        <f>IF(ISNUMBER(SEARCH("~*", 'perf-table-vs-tyql'!H95)), 1, VALUE(SUBSTITUTE(SUBSTITUTE('perf-table-vs-tyql'!H95, "X", ""), "&gt;", "")))</f>
        <v>11538.46</v>
      </c>
      <c r="D40" s="9">
        <f>IF(ISNUMBER(SEARCH("~*", 'perf-table-vs-tyql'!I95)), 1, VALUE(SUBSTITUTE(SUBSTITUTE('perf-table-vs-tyql'!I95, "X", ""), "&gt;", "")))</f>
        <v>16.13</v>
      </c>
      <c r="E40" s="9">
        <f>IF(ISNUMBER(SEARCH("~*", 'perf-table-vs-tyql'!J95)), 1, VALUE(SUBSTITUTE(SUBSTITUTE('perf-table-vs-tyql'!J95, "X", ""), "&gt;", "")))</f>
        <v>1</v>
      </c>
    </row>
    <row r="41" spans="1:5" x14ac:dyDescent="0.2">
      <c r="A41" s="9" t="s">
        <v>69</v>
      </c>
      <c r="B41" s="13" t="s">
        <v>52</v>
      </c>
      <c r="C41" s="9">
        <f>IF(ISNUMBER(SEARCH("~*", 'perf-table-vs-tyql'!H96)), 1, VALUE(SUBSTITUTE(SUBSTITUTE('perf-table-vs-tyql'!H96, "X", ""), "&gt;", "")))</f>
        <v>238.47</v>
      </c>
      <c r="D41" s="9">
        <f>IF(ISNUMBER(SEARCH("~*", 'perf-table-vs-tyql'!I96)), 1, VALUE(SUBSTITUTE(SUBSTITUTE('perf-table-vs-tyql'!I96, "X", ""), "&gt;", "")))</f>
        <v>238.47</v>
      </c>
      <c r="E41" s="9">
        <f>IF(ISNUMBER(SEARCH("~*", 'perf-table-vs-tyql'!J96)), 1, VALUE(SUBSTITUTE(SUBSTITUTE('perf-table-vs-tyql'!J96, "X", ""), "&gt;", "")))</f>
        <v>1</v>
      </c>
    </row>
    <row r="42" spans="1:5" x14ac:dyDescent="0.2">
      <c r="A42" s="9" t="s">
        <v>65</v>
      </c>
      <c r="B42" s="13" t="s">
        <v>54</v>
      </c>
      <c r="C42" s="9">
        <f>IF(ISNUMBER(SEARCH("~*", 'perf-table-vs-tyql'!H97)), 1, VALUE(SUBSTITUTE(SUBSTITUTE('perf-table-vs-tyql'!H97, "X", ""), "&gt;", "")))</f>
        <v>1</v>
      </c>
      <c r="D42" s="9">
        <f>IF(ISNUMBER(SEARCH("~*", 'perf-table-vs-tyql'!I97)), 1, VALUE(SUBSTITUTE(SUBSTITUTE('perf-table-vs-tyql'!I97, "X", ""), "&gt;", "")))</f>
        <v>8.01</v>
      </c>
      <c r="E42" s="9">
        <f>IF(ISNUMBER(SEARCH("~*", 'perf-table-vs-tyql'!J97)), 1, VALUE(SUBSTITUTE(SUBSTITUTE('perf-table-vs-tyql'!J97, "X", ""), "&gt;", "")))</f>
        <v>1</v>
      </c>
    </row>
    <row r="43" spans="1:5" x14ac:dyDescent="0.2">
      <c r="A43" s="9" t="s">
        <v>67</v>
      </c>
      <c r="B43" s="13" t="s">
        <v>54</v>
      </c>
      <c r="C43" s="9">
        <f>IF(ISNUMBER(SEARCH("~*", 'perf-table-vs-tyql'!H98)), 1, VALUE(SUBSTITUTE(SUBSTITUTE('perf-table-vs-tyql'!H98, "X", ""), "&gt;", "")))</f>
        <v>21.84</v>
      </c>
      <c r="D43" s="9">
        <f>IF(ISNUMBER(SEARCH("~*", 'perf-table-vs-tyql'!I98)), 1, VALUE(SUBSTITUTE(SUBSTITUTE('perf-table-vs-tyql'!I98, "X", ""), "&gt;", "")))</f>
        <v>5.75</v>
      </c>
      <c r="E43" s="9">
        <f>IF(ISNUMBER(SEARCH("~*", 'perf-table-vs-tyql'!J98)), 1, VALUE(SUBSTITUTE(SUBSTITUTE('perf-table-vs-tyql'!J98, "X", ""), "&gt;", "")))</f>
        <v>1</v>
      </c>
    </row>
    <row r="44" spans="1:5" x14ac:dyDescent="0.2">
      <c r="A44" s="9" t="s">
        <v>69</v>
      </c>
      <c r="B44" s="13" t="s">
        <v>54</v>
      </c>
      <c r="C44" s="9">
        <f>IF(ISNUMBER(SEARCH("~*", 'perf-table-vs-tyql'!H99)), 1, VALUE(SUBSTITUTE(SUBSTITUTE('perf-table-vs-tyql'!H99, "X", ""), "&gt;", "")))</f>
        <v>1435.36</v>
      </c>
      <c r="D44" s="9">
        <f>IF(ISNUMBER(SEARCH("~*", 'perf-table-vs-tyql'!I99)), 1, VALUE(SUBSTITUTE(SUBSTITUTE('perf-table-vs-tyql'!I99, "X", ""), "&gt;", "")))</f>
        <v>10.89</v>
      </c>
      <c r="E44" s="9">
        <f>IF(ISNUMBER(SEARCH("~*", 'perf-table-vs-tyql'!J99)), 1, VALUE(SUBSTITUTE(SUBSTITUTE('perf-table-vs-tyql'!J99, "X", ""), "&gt;", "")))</f>
        <v>1</v>
      </c>
    </row>
    <row r="45" spans="1:5" x14ac:dyDescent="0.2">
      <c r="A45" s="9" t="s">
        <v>65</v>
      </c>
      <c r="B45" s="13" t="s">
        <v>55</v>
      </c>
      <c r="C45" s="9">
        <f>IF(ISNUMBER(SEARCH("~*", 'perf-table-vs-tyql'!H100)), 1, VALUE(SUBSTITUTE(SUBSTITUTE('perf-table-vs-tyql'!H100, "X", ""), "&gt;", "")))</f>
        <v>0.21</v>
      </c>
      <c r="D45" s="9">
        <f>IF(ISNUMBER(SEARCH("~*", 'perf-table-vs-tyql'!I100)), 1, VALUE(SUBSTITUTE(SUBSTITUTE('perf-table-vs-tyql'!I100, "X", ""), "&gt;", "")))</f>
        <v>4.4800000000000004</v>
      </c>
      <c r="E45" s="9">
        <f>IF(ISNUMBER(SEARCH("~*", 'perf-table-vs-tyql'!J100)), 1, VALUE(SUBSTITUTE(SUBSTITUTE('perf-table-vs-tyql'!J100, "X", ""), "&gt;", "")))</f>
        <v>1</v>
      </c>
    </row>
    <row r="46" spans="1:5" x14ac:dyDescent="0.2">
      <c r="A46" s="9" t="s">
        <v>67</v>
      </c>
      <c r="B46" s="13" t="s">
        <v>55</v>
      </c>
      <c r="C46" s="9">
        <f>IF(ISNUMBER(SEARCH("~*", 'perf-table-vs-tyql'!H101)), 1, VALUE(SUBSTITUTE(SUBSTITUTE('perf-table-vs-tyql'!H101, "X", ""), "&gt;", "")))</f>
        <v>15.9</v>
      </c>
      <c r="D46" s="9">
        <f>IF(ISNUMBER(SEARCH("~*", 'perf-table-vs-tyql'!I101)), 1, VALUE(SUBSTITUTE(SUBSTITUTE('perf-table-vs-tyql'!I101, "X", ""), "&gt;", "")))</f>
        <v>3.79</v>
      </c>
      <c r="E46" s="9">
        <f>IF(ISNUMBER(SEARCH("~*", 'perf-table-vs-tyql'!J101)), 1, VALUE(SUBSTITUTE(SUBSTITUTE('perf-table-vs-tyql'!J101, "X", ""), "&gt;", "")))</f>
        <v>1</v>
      </c>
    </row>
    <row r="47" spans="1:5" x14ac:dyDescent="0.2">
      <c r="A47" s="9" t="s">
        <v>69</v>
      </c>
      <c r="B47" s="13" t="s">
        <v>55</v>
      </c>
      <c r="C47" s="9">
        <f>IF(ISNUMBER(SEARCH("~*", 'perf-table-vs-tyql'!H102)), 1, VALUE(SUBSTITUTE(SUBSTITUTE('perf-table-vs-tyql'!H102, "X", ""), "&gt;", "")))</f>
        <v>103.29</v>
      </c>
      <c r="D47" s="9">
        <f>IF(ISNUMBER(SEARCH("~*", 'perf-table-vs-tyql'!I102)), 1, VALUE(SUBSTITUTE(SUBSTITUTE('perf-table-vs-tyql'!I102, "X", ""), "&gt;", "")))</f>
        <v>3.9</v>
      </c>
      <c r="E47" s="9">
        <f>IF(ISNUMBER(SEARCH("~*", 'perf-table-vs-tyql'!J102)), 1, VALUE(SUBSTITUTE(SUBSTITUTE('perf-table-vs-tyql'!J102, "X", ""), "&gt;", "")))</f>
        <v>1</v>
      </c>
    </row>
    <row r="48" spans="1:5" x14ac:dyDescent="0.2">
      <c r="A48" s="9" t="s">
        <v>65</v>
      </c>
      <c r="B48" s="13" t="s">
        <v>56</v>
      </c>
      <c r="C48" s="9">
        <f>IF(ISNUMBER(SEARCH("~*", 'perf-table-vs-tyql'!H103)), 1, VALUE(SUBSTITUTE(SUBSTITUTE('perf-table-vs-tyql'!H103, "X", ""), "&gt;", "")))</f>
        <v>0.25</v>
      </c>
      <c r="D48" s="9">
        <f>IF(ISNUMBER(SEARCH("~*", 'perf-table-vs-tyql'!I103)), 1, VALUE(SUBSTITUTE(SUBSTITUTE('perf-table-vs-tyql'!I103, "X", ""), "&gt;", "")))</f>
        <v>14</v>
      </c>
      <c r="E48" s="9">
        <f>IF(ISNUMBER(SEARCH("~*", 'perf-table-vs-tyql'!J103)), 1, VALUE(SUBSTITUTE(SUBSTITUTE('perf-table-vs-tyql'!J103, "X", ""), "&gt;", "")))</f>
        <v>1</v>
      </c>
    </row>
    <row r="49" spans="1:13" x14ac:dyDescent="0.2">
      <c r="A49" s="9" t="s">
        <v>67</v>
      </c>
      <c r="B49" s="13" t="s">
        <v>56</v>
      </c>
      <c r="C49" s="9">
        <f>IF(ISNUMBER(SEARCH("~*", 'perf-table-vs-tyql'!H104)), 1, VALUE(SUBSTITUTE(SUBSTITUTE('perf-table-vs-tyql'!H104, "X", ""), "&gt;", "")))</f>
        <v>4838.71</v>
      </c>
      <c r="D49" s="9">
        <f>IF(ISNUMBER(SEARCH("~*", 'perf-table-vs-tyql'!I104)), 1, VALUE(SUBSTITUTE(SUBSTITUTE('perf-table-vs-tyql'!I104, "X", ""), "&gt;", "")))</f>
        <v>21.03</v>
      </c>
      <c r="E49" s="9">
        <f>IF(ISNUMBER(SEARCH("~*", 'perf-table-vs-tyql'!J104)), 1, VALUE(SUBSTITUTE(SUBSTITUTE('perf-table-vs-tyql'!J104, "X", ""), "&gt;", "")))</f>
        <v>1</v>
      </c>
    </row>
    <row r="50" spans="1:13" x14ac:dyDescent="0.2">
      <c r="A50" s="9" t="s">
        <v>69</v>
      </c>
      <c r="B50" s="13" t="s">
        <v>56</v>
      </c>
      <c r="C50" s="9">
        <f>IF(ISNUMBER(SEARCH("~*", 'perf-table-vs-tyql'!H105)), 1, VALUE(SUBSTITUTE(SUBSTITUTE('perf-table-vs-tyql'!H105, "X", ""), "&gt;", "")))</f>
        <v>453.17</v>
      </c>
      <c r="D50" s="9">
        <f>IF(ISNUMBER(SEARCH("~*", 'perf-table-vs-tyql'!I105)), 1, VALUE(SUBSTITUTE(SUBSTITUTE('perf-table-vs-tyql'!I105, "X", ""), "&gt;", "")))</f>
        <v>7.54</v>
      </c>
      <c r="E50" s="9">
        <f>IF(ISNUMBER(SEARCH("~*", 'perf-table-vs-tyql'!J105)), 1, VALUE(SUBSTITUTE(SUBSTITUTE('perf-table-vs-tyql'!J105, "X", ""), "&gt;", "")))</f>
        <v>1</v>
      </c>
    </row>
    <row r="52" spans="1:13" ht="17" x14ac:dyDescent="0.25">
      <c r="A52" s="9"/>
      <c r="B52" s="18"/>
    </row>
    <row r="53" spans="1:13" x14ac:dyDescent="0.2">
      <c r="A53" s="9"/>
    </row>
    <row r="54" spans="1:13" x14ac:dyDescent="0.2">
      <c r="A54" s="9"/>
      <c r="B54" s="19"/>
    </row>
    <row r="56" spans="1:13" x14ac:dyDescent="0.2">
      <c r="J56">
        <f>AVERAGE(J58:J60)</f>
        <v>2742.3154166666664</v>
      </c>
    </row>
    <row r="57" spans="1:13" x14ac:dyDescent="0.2">
      <c r="A57" t="s">
        <v>58</v>
      </c>
    </row>
    <row r="58" spans="1:13" ht="17" x14ac:dyDescent="0.25">
      <c r="A58" s="9" t="s">
        <v>91</v>
      </c>
      <c r="B58" s="18">
        <f>_xlfn.MAXIFS(C3:C50, A3:A50, "S", C3:C50, "&lt;&gt;")</f>
        <v>1</v>
      </c>
      <c r="C58" s="19" t="str">
        <f>INDEX(B2:B50, MATCH(B58, C2:C50, 0))</f>
        <v>Ancestry</v>
      </c>
      <c r="E58" t="s">
        <v>94</v>
      </c>
      <c r="F58">
        <f>_xlfn.MINIFS(C3:C50, A3:A50, "S", C3:C50, "&lt;&gt;")</f>
        <v>0.11</v>
      </c>
      <c r="G58" t="str">
        <f>INDEX(B$2:B$50, MATCH(F58, C$2:C$50, 0))</f>
        <v>APT</v>
      </c>
      <c r="I58" t="s">
        <v>97</v>
      </c>
      <c r="J58">
        <f>AVERAGEIFS(C3:C50, A3:A50, "S", C3:C50, "&lt;&gt;")</f>
        <v>0.50375000000000003</v>
      </c>
      <c r="L58" t="s">
        <v>101</v>
      </c>
      <c r="M58" cm="1">
        <f t="array" ref="M58">MEDIAN(IF(A2:A50="S", C2:C50))</f>
        <v>0.27</v>
      </c>
    </row>
    <row r="59" spans="1:13" x14ac:dyDescent="0.2">
      <c r="A59" s="9" t="s">
        <v>92</v>
      </c>
      <c r="B59">
        <f>_xlfn.MAXIFS(C3:C50, A3:A50, "M", C3:C50, "&lt;&gt;")</f>
        <v>30000</v>
      </c>
      <c r="C59" s="19" t="str">
        <f>INDEX(B2:B50, MATCH(B59, C2:C50, 0))</f>
        <v>CBA</v>
      </c>
      <c r="E59" t="s">
        <v>95</v>
      </c>
      <c r="F59">
        <f>_xlfn.MINIFS(C3:C50, A3:A50, "M", C3:C50, "&lt;&gt;")</f>
        <v>3.31</v>
      </c>
      <c r="G59" t="str">
        <f>INDEX(B$2:B$50, MATCH(F59, C$2:C$50, 0))</f>
        <v>Even-Odd</v>
      </c>
      <c r="I59" t="s">
        <v>98</v>
      </c>
      <c r="J59">
        <f>AVERAGEIFS(C3:C50, A3:A50, "M", C3:C50, "&lt;&gt;")</f>
        <v>4786.0949999999993</v>
      </c>
      <c r="L59" t="s">
        <v>102</v>
      </c>
      <c r="M59" cm="1">
        <f t="array" ref="M59">MEDIAN(IF(A2:A50="M", C2:C50))</f>
        <v>1185.1100000000001</v>
      </c>
    </row>
    <row r="60" spans="1:13" x14ac:dyDescent="0.2">
      <c r="A60" s="9" t="s">
        <v>93</v>
      </c>
      <c r="B60" s="19">
        <f>_xlfn.MAXIFS(C3:C50, A3:A50, "L", C3:C50, "&lt;&gt;")</f>
        <v>25000</v>
      </c>
      <c r="C60" s="19" t="str">
        <f>INDEX(B2:B50, MATCH(B60, C2:C50, 0))</f>
        <v>CBA</v>
      </c>
      <c r="E60" t="s">
        <v>96</v>
      </c>
      <c r="F60">
        <f>_xlfn.MINIFS(C3:C50, A3:A50, "L", C3:C50, "&lt;&gt;")</f>
        <v>1.33</v>
      </c>
      <c r="G60" t="str">
        <f>INDEX(B$2:B$50, MATCH(F60, C$2:C$50, 0))</f>
        <v>Even-Odd</v>
      </c>
      <c r="I60" t="s">
        <v>99</v>
      </c>
      <c r="J60">
        <f>AVERAGEIFS(C3:C50, A3:A50, "L", C3:C50, "&lt;&gt;")</f>
        <v>3440.3475000000003</v>
      </c>
      <c r="L60" t="s">
        <v>103</v>
      </c>
      <c r="M60" cm="1">
        <f t="array" ref="M60">MEDIAN(IF(A2:A50="L", C2:C50))</f>
        <v>620.41</v>
      </c>
    </row>
    <row r="63" spans="1:13" x14ac:dyDescent="0.2">
      <c r="A63" s="9" t="s">
        <v>100</v>
      </c>
      <c r="J63">
        <f>AVERAGE(J64:J66)</f>
        <v>36.323333333333338</v>
      </c>
    </row>
    <row r="64" spans="1:13" x14ac:dyDescent="0.2">
      <c r="A64" s="9" t="s">
        <v>91</v>
      </c>
      <c r="B64">
        <f>_xlfn.MAXIFS(D3:D50, A3:A50, "S", D3:D50, "&lt;&gt;")</f>
        <v>23.56</v>
      </c>
      <c r="C64" s="19" t="str">
        <f>INDEX(B2:B50, MATCH(B64, D2:D50, 0))</f>
        <v>Even-Odd</v>
      </c>
      <c r="E64" t="s">
        <v>94</v>
      </c>
      <c r="F64">
        <f>_xlfn.MINIFS(D3:D50, A3:A50, "S", D3:D50, "&lt;&gt;")</f>
        <v>3.17</v>
      </c>
      <c r="G64" t="str">
        <f>INDEX(B$2:B$50, MATCH(F64, D$2:D$50, 0))</f>
        <v>Orbits</v>
      </c>
      <c r="I64" t="s">
        <v>97</v>
      </c>
      <c r="J64">
        <f>AVERAGEIFS(D3:D50, A3:A50, "S", D3:D50, "&lt;&gt;")</f>
        <v>7.6168750000000012</v>
      </c>
      <c r="L64" t="s">
        <v>101</v>
      </c>
      <c r="M64" cm="1">
        <f t="array" ref="M64">MEDIAN(IF(A2:A50="S", D2:D50))</f>
        <v>6.1550000000000002</v>
      </c>
    </row>
    <row r="65" spans="1:13" x14ac:dyDescent="0.2">
      <c r="A65" s="9" t="s">
        <v>92</v>
      </c>
      <c r="B65">
        <f>_xlfn.MAXIFS(D3:D50, A3:A50, "M", D3:D50, "&lt;&gt;")</f>
        <v>21.03</v>
      </c>
      <c r="C65" s="19" t="str">
        <f>INDEX(B2:B50, MATCH(B65, D2:D50, 0))</f>
        <v>COT</v>
      </c>
      <c r="E65" t="s">
        <v>95</v>
      </c>
      <c r="F65">
        <f>_xlfn.MINIFS(D3:D50, A3:A50, "M", D3:D50, "&lt;&gt;")</f>
        <v>2.02</v>
      </c>
      <c r="G65" t="str">
        <f t="shared" ref="G65:G66" si="0">INDEX(B$2:B$50, MATCH(F65, D$2:D$50, 0))</f>
        <v>Ancestry</v>
      </c>
      <c r="I65" t="s">
        <v>98</v>
      </c>
      <c r="J65">
        <f>AVERAGEIFS(D3:D50, A3:A50, "M", D3:D50, "&lt;&gt;")</f>
        <v>7.1356250000000001</v>
      </c>
      <c r="L65" t="s">
        <v>102</v>
      </c>
      <c r="M65" cm="1">
        <f t="array" ref="M65">MEDIAN(IF(A2:A50="M", D2:D50))</f>
        <v>5.2249999999999996</v>
      </c>
    </row>
    <row r="66" spans="1:13" x14ac:dyDescent="0.2">
      <c r="A66" s="9" t="s">
        <v>93</v>
      </c>
      <c r="B66">
        <f>_xlfn.MAXIFS(D3:D50, A3:A50, "L", D3:D50, "&lt;&gt;")</f>
        <v>1176.47</v>
      </c>
      <c r="C66" s="19" t="str">
        <f>INDEX(B2:B50, MATCH(B66, D2:D50, 0))</f>
        <v>JPT</v>
      </c>
      <c r="E66" t="s">
        <v>96</v>
      </c>
      <c r="F66">
        <f>_xlfn.MINIFS(D3:D50, A3:A50, "L", D3:D50, "&lt;&gt;")</f>
        <v>1.22</v>
      </c>
      <c r="G66" t="str">
        <f t="shared" si="0"/>
        <v>CC</v>
      </c>
      <c r="I66" t="s">
        <v>99</v>
      </c>
      <c r="J66">
        <f>AVERAGEIFS(D3:D50, A3:A50, "L", D3:D50, "&lt;&gt;")</f>
        <v>94.217500000000015</v>
      </c>
      <c r="L66" t="s">
        <v>103</v>
      </c>
      <c r="M66" cm="1">
        <f t="array" ref="M66">MEDIAN(IF(A2:A50="L", D2:D50))</f>
        <v>6.75</v>
      </c>
    </row>
    <row r="68" spans="1:13" x14ac:dyDescent="0.2">
      <c r="A68" s="9" t="s">
        <v>110</v>
      </c>
    </row>
    <row r="69" spans="1:13" x14ac:dyDescent="0.2">
      <c r="A69" s="9" t="s">
        <v>91</v>
      </c>
      <c r="B69">
        <f>_xlfn.MAXIFS(E3:E50, A3:A50, "S",  E3:E50, "&lt;&gt;")</f>
        <v>1</v>
      </c>
      <c r="C69" s="19" t="str">
        <f>INDEX(B2:B50, MATCH(B69, E2:E50, 0))</f>
        <v>Ancestry</v>
      </c>
      <c r="E69" t="s">
        <v>94</v>
      </c>
      <c r="F69">
        <f>_xlfn.MINIFS(E3:E50, A3:A50, "S",  E3:E50, "&lt;&gt;")</f>
        <v>1</v>
      </c>
      <c r="G69" t="str">
        <f>INDEX(B$2:B$50, MATCH(F69, E$2:E$50, 0))</f>
        <v>Ancestry</v>
      </c>
      <c r="I69" t="s">
        <v>97</v>
      </c>
      <c r="J69">
        <f>AVERAGEIFS(E3:E50, A3:A50, "S",  E3:E50, "&lt;&gt;")</f>
        <v>1</v>
      </c>
      <c r="L69" t="s">
        <v>101</v>
      </c>
      <c r="M69" cm="1">
        <f t="array" ref="M69">MEDIAN(IF(A2:A50="S", E2:E50))</f>
        <v>1</v>
      </c>
    </row>
    <row r="70" spans="1:13" x14ac:dyDescent="0.2">
      <c r="A70" s="9" t="s">
        <v>92</v>
      </c>
      <c r="B70">
        <f>_xlfn.MAXIFS(E3:E50, A3:A50, "M",  E3:E50, "&lt;&gt;")</f>
        <v>1</v>
      </c>
      <c r="C70" s="19" t="str">
        <f>INDEX(B2:B50, MATCH(B70, E2:E50, 0))</f>
        <v>Ancestry</v>
      </c>
      <c r="E70" t="s">
        <v>95</v>
      </c>
      <c r="F70">
        <f>_xlfn.MINIFS(E3:E50, A3:A50, "M",  E3:E50, "&lt;&gt;")</f>
        <v>1</v>
      </c>
      <c r="G70" t="str">
        <f>INDEX(B$2:B$50, MATCH(F70, E$2:E$50, 0))</f>
        <v>Ancestry</v>
      </c>
      <c r="I70" t="s">
        <v>98</v>
      </c>
      <c r="J70">
        <f>AVERAGEIFS(E3:E50, A3:A50, "M",  E3:E50, "&lt;&gt;")</f>
        <v>1</v>
      </c>
      <c r="L70" t="s">
        <v>102</v>
      </c>
      <c r="M70" cm="1">
        <f t="array" ref="M70">MEDIAN(IF(A2:A50="M", E2:E50))</f>
        <v>1</v>
      </c>
    </row>
    <row r="71" spans="1:13" x14ac:dyDescent="0.2">
      <c r="A71" s="9" t="s">
        <v>93</v>
      </c>
      <c r="B71">
        <f>_xlfn.MAXIFS(E3:E50, A3:A50, "L",  E3:E50, "&lt;&gt;")</f>
        <v>1</v>
      </c>
      <c r="C71" s="19" t="str">
        <f>INDEX(B2:B50, MATCH(B71, E2:E50, 0))</f>
        <v>Ancestry</v>
      </c>
      <c r="E71" t="s">
        <v>96</v>
      </c>
      <c r="F71">
        <f>_xlfn.MINIFS(E3:E50, A3:A50, "L",  E3:E50, "&lt;&gt;")</f>
        <v>1</v>
      </c>
      <c r="G71" t="str">
        <f>INDEX(B$2:B$50, MATCH(F71, E$2:E$50, 0))</f>
        <v>Ancestry</v>
      </c>
      <c r="I71" t="s">
        <v>99</v>
      </c>
      <c r="J71">
        <f>AVERAGEIFS(E3:E50, A3:A50, "L",  E3:E50, "&lt;&gt;")</f>
        <v>1</v>
      </c>
      <c r="L71" t="s">
        <v>103</v>
      </c>
      <c r="M71" cm="1">
        <f t="array" ref="M71">MEDIAN(IF(A2:A50="L", E2:E50))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1AA8-9BEA-E443-AB6B-4D17842F4A3B}">
  <dimension ref="A2:P72"/>
  <sheetViews>
    <sheetView topLeftCell="F7" workbookViewId="0">
      <selection activeCell="P69" sqref="P69"/>
    </sheetView>
  </sheetViews>
  <sheetFormatPr baseColWidth="10" defaultRowHeight="16" x14ac:dyDescent="0.2"/>
  <cols>
    <col min="2" max="2" width="13.5" bestFit="1" customWidth="1"/>
    <col min="3" max="3" width="18.5" style="19" bestFit="1" customWidth="1"/>
    <col min="4" max="4" width="10.83203125" style="19"/>
    <col min="6" max="6" width="13.5" bestFit="1" customWidth="1"/>
    <col min="7" max="7" width="20.5" bestFit="1" customWidth="1"/>
    <col min="10" max="10" width="16" bestFit="1" customWidth="1"/>
    <col min="13" max="13" width="15.5" bestFit="1" customWidth="1"/>
    <col min="16" max="16" width="33.1640625" customWidth="1"/>
  </cols>
  <sheetData>
    <row r="2" spans="1:5" x14ac:dyDescent="0.2">
      <c r="A2" t="s">
        <v>11</v>
      </c>
      <c r="B2" t="s">
        <v>12</v>
      </c>
      <c r="C2" s="19" t="s">
        <v>16</v>
      </c>
      <c r="D2" s="19" t="s">
        <v>15</v>
      </c>
      <c r="E2" t="s">
        <v>107</v>
      </c>
    </row>
    <row r="3" spans="1:5" x14ac:dyDescent="0.2">
      <c r="A3" s="9" t="s">
        <v>65</v>
      </c>
      <c r="B3" s="13" t="s">
        <v>25</v>
      </c>
      <c r="C3" s="9">
        <f>IF(ISNUMBER(SEARCH("~*", 'perf-table-vs-jdbc'!H58)), 1, VALUE(SUBSTITUTE(SUBSTITUTE('perf-table-vs-jdbc'!H58, "X", ""), "&gt;", "")))</f>
        <v>0.35</v>
      </c>
      <c r="D3" s="9">
        <f>IF(ISNUMBER(SEARCH("~*", 'perf-table-vs-jdbc'!I58)), 1, VALUE(SUBSTITUTE(SUBSTITUTE('perf-table-vs-jdbc'!I58, "X", ""), "&gt;", "")))</f>
        <v>8.75</v>
      </c>
      <c r="E3" s="9">
        <f>IF(ISNUMBER(SEARCH("~*", 'perf-table-vs-jdbc'!J58)), 1, VALUE(SUBSTITUTE(SUBSTITUTE('perf-table-vs-jdbc'!J58, "X", ""), "&gt;", "")))</f>
        <v>1</v>
      </c>
    </row>
    <row r="4" spans="1:5" x14ac:dyDescent="0.2">
      <c r="A4" s="9" t="s">
        <v>67</v>
      </c>
      <c r="B4" s="13" t="s">
        <v>25</v>
      </c>
      <c r="C4" s="9">
        <f>IF(ISNUMBER(SEARCH("~*", 'perf-table-vs-jdbc'!H59)), 1, VALUE(SUBSTITUTE(SUBSTITUTE('perf-table-vs-jdbc'!H59, "X", ""), "&gt;", "")))</f>
        <v>17.38</v>
      </c>
      <c r="D4" s="9">
        <f>IF(ISNUMBER(SEARCH("~*", 'perf-table-vs-jdbc'!I59)), 1, VALUE(SUBSTITUTE(SUBSTITUTE('perf-table-vs-jdbc'!I59, "X", ""), "&gt;", "")))</f>
        <v>1.98</v>
      </c>
      <c r="E4" s="9">
        <f>IF(ISNUMBER(SEARCH("~*", 'perf-table-vs-jdbc'!J59)), 1, VALUE(SUBSTITUTE(SUBSTITUTE('perf-table-vs-jdbc'!J59, "X", ""), "&gt;", "")))</f>
        <v>1</v>
      </c>
    </row>
    <row r="5" spans="1:5" x14ac:dyDescent="0.2">
      <c r="A5" s="9" t="s">
        <v>69</v>
      </c>
      <c r="B5" s="13" t="s">
        <v>25</v>
      </c>
      <c r="C5" s="9">
        <f>IF(ISNUMBER(SEARCH("~*", 'perf-table-vs-jdbc'!H60)), 1, VALUE(SUBSTITUTE(SUBSTITUTE('perf-table-vs-jdbc'!H60, "X", ""), "&gt;", "")))</f>
        <v>15.2</v>
      </c>
      <c r="D5" s="9">
        <f>IF(ISNUMBER(SEARCH("~*", 'perf-table-vs-jdbc'!I60)), 1, VALUE(SUBSTITUTE(SUBSTITUTE('perf-table-vs-jdbc'!I60, "X", ""), "&gt;", "")))</f>
        <v>15.2</v>
      </c>
      <c r="E5" s="9">
        <f>IF(ISNUMBER(SEARCH("~*", 'perf-table-vs-jdbc'!J60)), 1, VALUE(SUBSTITUTE(SUBSTITUTE('perf-table-vs-jdbc'!J60, "X", ""), "&gt;", "")))</f>
        <v>1</v>
      </c>
    </row>
    <row r="6" spans="1:5" x14ac:dyDescent="0.2">
      <c r="A6" s="9" t="s">
        <v>65</v>
      </c>
      <c r="B6" s="13" t="s">
        <v>29</v>
      </c>
      <c r="C6" s="9">
        <f>IF(ISNUMBER(SEARCH("~*", 'perf-table-vs-jdbc'!H61)), 1, VALUE(SUBSTITUTE(SUBSTITUTE('perf-table-vs-jdbc'!H61, "X", ""), "&gt;", "")))</f>
        <v>0.12</v>
      </c>
      <c r="D6" s="9">
        <f>IF(ISNUMBER(SEARCH("~*", 'perf-table-vs-jdbc'!I61)), 1, VALUE(SUBSTITUTE(SUBSTITUTE('perf-table-vs-jdbc'!I61, "X", ""), "&gt;", "")))</f>
        <v>4.5999999999999996</v>
      </c>
      <c r="E6" s="9">
        <f>IF(ISNUMBER(SEARCH("~*", 'perf-table-vs-jdbc'!J61)), 1, VALUE(SUBSTITUTE(SUBSTITUTE('perf-table-vs-jdbc'!J61, "X", ""), "&gt;", "")))</f>
        <v>1</v>
      </c>
    </row>
    <row r="7" spans="1:5" x14ac:dyDescent="0.2">
      <c r="A7" s="9" t="s">
        <v>67</v>
      </c>
      <c r="B7" s="13" t="s">
        <v>29</v>
      </c>
      <c r="C7" s="9">
        <f>IF(ISNUMBER(SEARCH("~*", 'perf-table-vs-jdbc'!H62)), 1, VALUE(SUBSTITUTE(SUBSTITUTE('perf-table-vs-jdbc'!H62, "X", ""), "&gt;", "")))</f>
        <v>295.87</v>
      </c>
      <c r="D7" s="9">
        <f>IF(ISNUMBER(SEARCH("~*", 'perf-table-vs-jdbc'!I62)), 1, VALUE(SUBSTITUTE(SUBSTITUTE('perf-table-vs-jdbc'!I62, "X", ""), "&gt;", "")))</f>
        <v>5.27</v>
      </c>
      <c r="E7" s="9">
        <f>IF(ISNUMBER(SEARCH("~*", 'perf-table-vs-jdbc'!J62)), 1, VALUE(SUBSTITUTE(SUBSTITUTE('perf-table-vs-jdbc'!J62, "X", ""), "&gt;", "")))</f>
        <v>1</v>
      </c>
    </row>
    <row r="8" spans="1:5" x14ac:dyDescent="0.2">
      <c r="A8" s="9" t="s">
        <v>69</v>
      </c>
      <c r="B8" s="13" t="s">
        <v>29</v>
      </c>
      <c r="C8" s="9">
        <f>IF(ISNUMBER(SEARCH("~*", 'perf-table-vs-jdbc'!H63)), 1, VALUE(SUBSTITUTE(SUBSTITUTE('perf-table-vs-jdbc'!H63, "X", ""), "&gt;", "")))</f>
        <v>1656.64</v>
      </c>
      <c r="D8" s="9">
        <f>IF(ISNUMBER(SEARCH("~*", 'perf-table-vs-jdbc'!I63)), 1, VALUE(SUBSTITUTE(SUBSTITUTE('perf-table-vs-jdbc'!I63, "X", ""), "&gt;", "")))</f>
        <v>6.35</v>
      </c>
      <c r="E8" s="9">
        <f>IF(ISNUMBER(SEARCH("~*", 'perf-table-vs-jdbc'!J63)), 1, VALUE(SUBSTITUTE(SUBSTITUTE('perf-table-vs-jdbc'!J63, "X", ""), "&gt;", "")))</f>
        <v>1</v>
      </c>
    </row>
    <row r="9" spans="1:5" x14ac:dyDescent="0.2">
      <c r="A9" s="9" t="s">
        <v>65</v>
      </c>
      <c r="B9" s="13" t="s">
        <v>33</v>
      </c>
      <c r="C9" s="9">
        <f>IF(ISNUMBER(SEARCH("~*", 'perf-table-vs-jdbc'!H64)), 1, VALUE(SUBSTITUTE(SUBSTITUTE('perf-table-vs-jdbc'!H64, "X", ""), "&gt;", "")))</f>
        <v>0.28000000000000003</v>
      </c>
      <c r="D9" s="9">
        <f>IF(ISNUMBER(SEARCH("~*", 'perf-table-vs-jdbc'!I64)), 1, VALUE(SUBSTITUTE(SUBSTITUTE('perf-table-vs-jdbc'!I64, "X", ""), "&gt;", "")))</f>
        <v>3.98</v>
      </c>
      <c r="E9" s="9">
        <f>IF(ISNUMBER(SEARCH("~*", 'perf-table-vs-jdbc'!J64)), 1, VALUE(SUBSTITUTE(SUBSTITUTE('perf-table-vs-jdbc'!J64, "X", ""), "&gt;", "")))</f>
        <v>1</v>
      </c>
    </row>
    <row r="10" spans="1:5" x14ac:dyDescent="0.2">
      <c r="A10" s="9" t="s">
        <v>67</v>
      </c>
      <c r="B10" s="13" t="s">
        <v>33</v>
      </c>
      <c r="C10" s="9">
        <f>IF(ISNUMBER(SEARCH("~*", 'perf-table-vs-jdbc'!H65)), 1, VALUE(SUBSTITUTE(SUBSTITUTE('perf-table-vs-jdbc'!H65, "X", ""), "&gt;", "")))</f>
        <v>732.17</v>
      </c>
      <c r="D10" s="9">
        <f>IF(ISNUMBER(SEARCH("~*", 'perf-table-vs-jdbc'!I65)), 1, VALUE(SUBSTITUTE(SUBSTITUTE('perf-table-vs-jdbc'!I65, "X", ""), "&gt;", "")))</f>
        <v>4.1399999999999997</v>
      </c>
      <c r="E10" s="9">
        <f>IF(ISNUMBER(SEARCH("~*", 'perf-table-vs-jdbc'!J65)), 1, VALUE(SUBSTITUTE(SUBSTITUTE('perf-table-vs-jdbc'!J65, "X", ""), "&gt;", "")))</f>
        <v>1</v>
      </c>
    </row>
    <row r="11" spans="1:5" x14ac:dyDescent="0.2">
      <c r="A11" s="9" t="s">
        <v>69</v>
      </c>
      <c r="B11" s="13" t="s">
        <v>33</v>
      </c>
      <c r="C11" s="9">
        <f>IF(ISNUMBER(SEARCH("~*", 'perf-table-vs-jdbc'!H66)), 1, VALUE(SUBSTITUTE(SUBSTITUTE('perf-table-vs-jdbc'!H66, "X", ""), "&gt;", "")))</f>
        <v>3389.83</v>
      </c>
      <c r="D11" s="9">
        <f>IF(ISNUMBER(SEARCH("~*", 'perf-table-vs-jdbc'!I66)), 1, VALUE(SUBSTITUTE(SUBSTITUTE('perf-table-vs-jdbc'!I66, "X", ""), "&gt;", "")))</f>
        <v>3.89</v>
      </c>
      <c r="E11" s="9">
        <f>IF(ISNUMBER(SEARCH("~*", 'perf-table-vs-jdbc'!J66)), 1, VALUE(SUBSTITUTE(SUBSTITUTE('perf-table-vs-jdbc'!J66, "X", ""), "&gt;", "")))</f>
        <v>1</v>
      </c>
    </row>
    <row r="12" spans="1:5" x14ac:dyDescent="0.2">
      <c r="A12" s="9" t="s">
        <v>65</v>
      </c>
      <c r="B12" s="13" t="s">
        <v>35</v>
      </c>
      <c r="C12" s="9">
        <f>IF(ISNUMBER(SEARCH("~*", 'perf-table-vs-jdbc'!H67)), 1, VALUE(SUBSTITUTE(SUBSTITUTE('perf-table-vs-jdbc'!H67, "X", ""), "&gt;", "")))</f>
        <v>0.25</v>
      </c>
      <c r="D12" s="9">
        <f>IF(ISNUMBER(SEARCH("~*", 'perf-table-vs-jdbc'!I67)), 1, VALUE(SUBSTITUTE(SUBSTITUTE('perf-table-vs-jdbc'!I67, "X", ""), "&gt;", "")))</f>
        <v>4.18</v>
      </c>
      <c r="E12" s="9">
        <f>IF(ISNUMBER(SEARCH("~*", 'perf-table-vs-jdbc'!J67)), 1, VALUE(SUBSTITUTE(SUBSTITUTE('perf-table-vs-jdbc'!J67, "X", ""), "&gt;", "")))</f>
        <v>1</v>
      </c>
    </row>
    <row r="13" spans="1:5" x14ac:dyDescent="0.2">
      <c r="A13" s="9" t="s">
        <v>67</v>
      </c>
      <c r="B13" s="13" t="s">
        <v>35</v>
      </c>
      <c r="C13" s="9">
        <f>IF(ISNUMBER(SEARCH("~*", 'perf-table-vs-jdbc'!H68)), 1, VALUE(SUBSTITUTE(SUBSTITUTE('perf-table-vs-jdbc'!H68, "X", ""), "&gt;", "")))</f>
        <v>1853.82</v>
      </c>
      <c r="D13" s="9">
        <f>IF(ISNUMBER(SEARCH("~*", 'perf-table-vs-jdbc'!I68)), 1, VALUE(SUBSTITUTE(SUBSTITUTE('perf-table-vs-jdbc'!I68, "X", ""), "&gt;", "")))</f>
        <v>7.51</v>
      </c>
      <c r="E13" s="9">
        <f>IF(ISNUMBER(SEARCH("~*", 'perf-table-vs-jdbc'!J68)), 1, VALUE(SUBSTITUTE(SUBSTITUTE('perf-table-vs-jdbc'!J68, "X", ""), "&gt;", "")))</f>
        <v>1</v>
      </c>
    </row>
    <row r="14" spans="1:5" x14ac:dyDescent="0.2">
      <c r="A14" s="9" t="s">
        <v>69</v>
      </c>
      <c r="B14" s="13" t="s">
        <v>35</v>
      </c>
      <c r="C14" s="9">
        <f>IF(ISNUMBER(SEARCH("~*", 'perf-table-vs-jdbc'!H69)), 1, VALUE(SUBSTITUTE(SUBSTITUTE('perf-table-vs-jdbc'!H69, "X", ""), "&gt;", "")))</f>
        <v>541.52</v>
      </c>
      <c r="D14" s="9">
        <f>IF(ISNUMBER(SEARCH("~*", 'perf-table-vs-jdbc'!I69)), 1, VALUE(SUBSTITUTE(SUBSTITUTE('perf-table-vs-jdbc'!I69, "X", ""), "&gt;", "")))</f>
        <v>13.25</v>
      </c>
      <c r="E14" s="9">
        <f>IF(ISNUMBER(SEARCH("~*", 'perf-table-vs-jdbc'!J69)), 1, VALUE(SUBSTITUTE(SUBSTITUTE('perf-table-vs-jdbc'!J69, "X", ""), "&gt;", "")))</f>
        <v>1</v>
      </c>
    </row>
    <row r="15" spans="1:5" x14ac:dyDescent="0.2">
      <c r="A15" s="9" t="s">
        <v>65</v>
      </c>
      <c r="B15" s="13" t="s">
        <v>37</v>
      </c>
      <c r="C15" s="9">
        <f>IF(ISNUMBER(SEARCH("~*", 'perf-table-vs-jdbc'!H70)), 1, VALUE(SUBSTITUTE(SUBSTITUTE('perf-table-vs-jdbc'!H70, "X", ""), "&gt;", "")))</f>
        <v>0.25</v>
      </c>
      <c r="D15" s="9">
        <f>IF(ISNUMBER(SEARCH("~*", 'perf-table-vs-jdbc'!I70)), 1, VALUE(SUBSTITUTE(SUBSTITUTE('perf-table-vs-jdbc'!I70, "X", ""), "&gt;", "")))</f>
        <v>12.49</v>
      </c>
      <c r="E15" s="9">
        <f>IF(ISNUMBER(SEARCH("~*", 'perf-table-vs-jdbc'!J70)), 1, VALUE(SUBSTITUTE(SUBSTITUTE('perf-table-vs-jdbc'!J70, "X", ""), "&gt;", "")))</f>
        <v>1</v>
      </c>
    </row>
    <row r="16" spans="1:5" x14ac:dyDescent="0.2">
      <c r="A16" s="9" t="s">
        <v>67</v>
      </c>
      <c r="B16" s="13" t="s">
        <v>37</v>
      </c>
      <c r="C16" s="9">
        <f>IF(ISNUMBER(SEARCH("~*", 'perf-table-vs-jdbc'!H71)), 1, VALUE(SUBSTITUTE(SUBSTITUTE('perf-table-vs-jdbc'!H71, "X", ""), "&gt;", "")))</f>
        <v>30000</v>
      </c>
      <c r="D16" s="9">
        <f>IF(ISNUMBER(SEARCH("~*", 'perf-table-vs-jdbc'!I71)), 1, VALUE(SUBSTITUTE(SUBSTITUTE('perf-table-vs-jdbc'!I71, "X", ""), "&gt;", "")))</f>
        <v>3.29</v>
      </c>
      <c r="E16" s="9">
        <f>IF(ISNUMBER(SEARCH("~*", 'perf-table-vs-jdbc'!J71)), 1, VALUE(SUBSTITUTE(SUBSTITUTE('perf-table-vs-jdbc'!J71, "X", ""), "&gt;", "")))</f>
        <v>1</v>
      </c>
    </row>
    <row r="17" spans="1:5" x14ac:dyDescent="0.2">
      <c r="A17" s="9" t="s">
        <v>69</v>
      </c>
      <c r="B17" s="13" t="s">
        <v>37</v>
      </c>
      <c r="C17" s="9">
        <f>IF(ISNUMBER(SEARCH("~*", 'perf-table-vs-jdbc'!H72)), 1, VALUE(SUBSTITUTE(SUBSTITUTE('perf-table-vs-jdbc'!H72, "X", ""), "&gt;", "")))</f>
        <v>25000</v>
      </c>
      <c r="D17" s="9">
        <f>IF(ISNUMBER(SEARCH("~*", 'perf-table-vs-jdbc'!I72)), 1, VALUE(SUBSTITUTE(SUBSTITUTE('perf-table-vs-jdbc'!I72, "X", ""), "&gt;", "")))</f>
        <v>3.01</v>
      </c>
      <c r="E17" s="9">
        <f>IF(ISNUMBER(SEARCH("~*", 'perf-table-vs-jdbc'!J72)), 1, VALUE(SUBSTITUTE(SUBSTITUTE('perf-table-vs-jdbc'!J72, "X", ""), "&gt;", "")))</f>
        <v>1</v>
      </c>
    </row>
    <row r="18" spans="1:5" x14ac:dyDescent="0.2">
      <c r="A18" s="9" t="s">
        <v>65</v>
      </c>
      <c r="B18" s="13" t="s">
        <v>38</v>
      </c>
      <c r="C18" s="9">
        <f>IF(ISNUMBER(SEARCH("~*", 'perf-table-vs-jdbc'!H73)), 1, VALUE(SUBSTITUTE(SUBSTITUTE('perf-table-vs-jdbc'!H73, "X", ""), "&gt;", "")))</f>
        <v>0.26</v>
      </c>
      <c r="D18" s="9">
        <f>IF(ISNUMBER(SEARCH("~*", 'perf-table-vs-jdbc'!I73)), 1, VALUE(SUBSTITUTE(SUBSTITUTE('perf-table-vs-jdbc'!I73, "X", ""), "&gt;", "")))</f>
        <v>7.59</v>
      </c>
      <c r="E18" s="9">
        <f>IF(ISNUMBER(SEARCH("~*", 'perf-table-vs-jdbc'!J73)), 1, VALUE(SUBSTITUTE(SUBSTITUTE('perf-table-vs-jdbc'!J73, "X", ""), "&gt;", "")))</f>
        <v>1</v>
      </c>
    </row>
    <row r="19" spans="1:5" x14ac:dyDescent="0.2">
      <c r="A19" s="9" t="s">
        <v>67</v>
      </c>
      <c r="B19" s="13" t="s">
        <v>38</v>
      </c>
      <c r="C19" s="9">
        <f>IF(ISNUMBER(SEARCH("~*", 'perf-table-vs-jdbc'!H74)), 1, VALUE(SUBSTITUTE(SUBSTITUTE('perf-table-vs-jdbc'!H74, "X", ""), "&gt;", "")))</f>
        <v>46.13</v>
      </c>
      <c r="D19" s="9">
        <f>IF(ISNUMBER(SEARCH("~*", 'perf-table-vs-jdbc'!I74)), 1, VALUE(SUBSTITUTE(SUBSTITUTE('perf-table-vs-jdbc'!I74, "X", ""), "&gt;", "")))</f>
        <v>2.5499999999999998</v>
      </c>
      <c r="E19" s="9">
        <f>IF(ISNUMBER(SEARCH("~*", 'perf-table-vs-jdbc'!J74)), 1, VALUE(SUBSTITUTE(SUBSTITUTE('perf-table-vs-jdbc'!J74, "X", ""), "&gt;", "")))</f>
        <v>1</v>
      </c>
    </row>
    <row r="20" spans="1:5" x14ac:dyDescent="0.2">
      <c r="A20" s="9" t="s">
        <v>69</v>
      </c>
      <c r="B20" s="13" t="s">
        <v>38</v>
      </c>
      <c r="C20" s="9">
        <f>IF(ISNUMBER(SEARCH("~*", 'perf-table-vs-jdbc'!H75)), 1, VALUE(SUBSTITUTE(SUBSTITUTE('perf-table-vs-jdbc'!H75, "X", ""), "&gt;", "")))</f>
        <v>51.51</v>
      </c>
      <c r="D20" s="9">
        <f>IF(ISNUMBER(SEARCH("~*", 'perf-table-vs-jdbc'!I75)), 1, VALUE(SUBSTITUTE(SUBSTITUTE('perf-table-vs-jdbc'!I75, "X", ""), "&gt;", "")))</f>
        <v>1.29</v>
      </c>
      <c r="E20" s="9">
        <f>IF(ISNUMBER(SEARCH("~*", 'perf-table-vs-jdbc'!J75)), 1, VALUE(SUBSTITUTE(SUBSTITUTE('perf-table-vs-jdbc'!J75, "X", ""), "&gt;", "")))</f>
        <v>1</v>
      </c>
    </row>
    <row r="21" spans="1:5" x14ac:dyDescent="0.2">
      <c r="A21" s="9" t="s">
        <v>65</v>
      </c>
      <c r="B21" s="13" t="s">
        <v>40</v>
      </c>
      <c r="C21" s="9">
        <f>IF(ISNUMBER(SEARCH("~*", 'perf-table-vs-jdbc'!H76)), 1, VALUE(SUBSTITUTE(SUBSTITUTE('perf-table-vs-jdbc'!H76, "X", ""), "&gt;", "")))</f>
        <v>0.15</v>
      </c>
      <c r="D21" s="9">
        <f>IF(ISNUMBER(SEARCH("~*", 'perf-table-vs-jdbc'!I76)), 1, VALUE(SUBSTITUTE(SUBSTITUTE('perf-table-vs-jdbc'!I76, "X", ""), "&gt;", "")))</f>
        <v>9.5</v>
      </c>
      <c r="E21" s="9">
        <f>IF(ISNUMBER(SEARCH("~*", 'perf-table-vs-jdbc'!J76)), 1, VALUE(SUBSTITUTE(SUBSTITUTE('perf-table-vs-jdbc'!J76, "X", ""), "&gt;", "")))</f>
        <v>1</v>
      </c>
    </row>
    <row r="22" spans="1:5" x14ac:dyDescent="0.2">
      <c r="A22" s="9" t="s">
        <v>67</v>
      </c>
      <c r="B22" s="13" t="s">
        <v>40</v>
      </c>
      <c r="C22" s="9">
        <f>IF(ISNUMBER(SEARCH("~*", 'perf-table-vs-jdbc'!H77)), 1, VALUE(SUBSTITUTE(SUBSTITUTE('perf-table-vs-jdbc'!H77, "X", ""), "&gt;", "")))</f>
        <v>561.27</v>
      </c>
      <c r="D22" s="9">
        <f>IF(ISNUMBER(SEARCH("~*", 'perf-table-vs-jdbc'!I77)), 1, VALUE(SUBSTITUTE(SUBSTITUTE('perf-table-vs-jdbc'!I77, "X", ""), "&gt;", "")))</f>
        <v>5.15</v>
      </c>
      <c r="E22" s="9">
        <f>IF(ISNUMBER(SEARCH("~*", 'perf-table-vs-jdbc'!J77)), 1, VALUE(SUBSTITUTE(SUBSTITUTE('perf-table-vs-jdbc'!J77, "X", ""), "&gt;", "")))</f>
        <v>1</v>
      </c>
    </row>
    <row r="23" spans="1:5" x14ac:dyDescent="0.2">
      <c r="A23" s="9" t="s">
        <v>69</v>
      </c>
      <c r="B23" s="13" t="s">
        <v>40</v>
      </c>
      <c r="C23" s="9">
        <f>IF(ISNUMBER(SEARCH("~*", 'perf-table-vs-jdbc'!H78)), 1, VALUE(SUBSTITUTE(SUBSTITUTE('perf-table-vs-jdbc'!H78, "X", ""), "&gt;", "")))</f>
        <v>18.940000000000001</v>
      </c>
      <c r="D23" s="9">
        <f>IF(ISNUMBER(SEARCH("~*", 'perf-table-vs-jdbc'!I78)), 1, VALUE(SUBSTITUTE(SUBSTITUTE('perf-table-vs-jdbc'!I78, "X", ""), "&gt;", "")))</f>
        <v>10.09</v>
      </c>
      <c r="E23" s="9">
        <f>IF(ISNUMBER(SEARCH("~*", 'perf-table-vs-jdbc'!J78)), 1, VALUE(SUBSTITUTE(SUBSTITUTE('perf-table-vs-jdbc'!J78, "X", ""), "&gt;", "")))</f>
        <v>1</v>
      </c>
    </row>
    <row r="24" spans="1:5" x14ac:dyDescent="0.2">
      <c r="A24" s="9" t="s">
        <v>65</v>
      </c>
      <c r="B24" s="13" t="s">
        <v>42</v>
      </c>
      <c r="C24" s="9">
        <f>IF(ISNUMBER(SEARCH("~*", 'perf-table-vs-jdbc'!H79)), 1, VALUE(SUBSTITUTE(SUBSTITUTE('perf-table-vs-jdbc'!H79, "X", ""), "&gt;", "")))</f>
        <v>0.38</v>
      </c>
      <c r="D24" s="9">
        <f>IF(ISNUMBER(SEARCH("~*", 'perf-table-vs-jdbc'!I79)), 1, VALUE(SUBSTITUTE(SUBSTITUTE('perf-table-vs-jdbc'!I79, "X", ""), "&gt;", "")))</f>
        <v>9.14</v>
      </c>
      <c r="E24" s="9">
        <f>IF(ISNUMBER(SEARCH("~*", 'perf-table-vs-jdbc'!J79)), 1, VALUE(SUBSTITUTE(SUBSTITUTE('perf-table-vs-jdbc'!J79, "X", ""), "&gt;", "")))</f>
        <v>1</v>
      </c>
    </row>
    <row r="25" spans="1:5" x14ac:dyDescent="0.2">
      <c r="A25" s="9" t="s">
        <v>67</v>
      </c>
      <c r="B25" s="13" t="s">
        <v>42</v>
      </c>
      <c r="C25" s="9">
        <f>IF(ISNUMBER(SEARCH("~*", 'perf-table-vs-jdbc'!H80)), 1, VALUE(SUBSTITUTE(SUBSTITUTE('perf-table-vs-jdbc'!H80, "X", ""), "&gt;", "")))</f>
        <v>2115.21</v>
      </c>
      <c r="D25" s="9">
        <f>IF(ISNUMBER(SEARCH("~*", 'perf-table-vs-jdbc'!I80)), 1, VALUE(SUBSTITUTE(SUBSTITUTE('perf-table-vs-jdbc'!I80, "X", ""), "&gt;", "")))</f>
        <v>6.98</v>
      </c>
      <c r="E25" s="9">
        <f>IF(ISNUMBER(SEARCH("~*", 'perf-table-vs-jdbc'!J80)), 1, VALUE(SUBSTITUTE(SUBSTITUTE('perf-table-vs-jdbc'!J80, "X", ""), "&gt;", "")))</f>
        <v>1</v>
      </c>
    </row>
    <row r="26" spans="1:5" x14ac:dyDescent="0.2">
      <c r="A26" s="9" t="s">
        <v>69</v>
      </c>
      <c r="B26" s="13" t="s">
        <v>42</v>
      </c>
      <c r="C26" s="9">
        <f>IF(ISNUMBER(SEARCH("~*", 'perf-table-vs-jdbc'!H81)), 1, VALUE(SUBSTITUTE(SUBSTITUTE('perf-table-vs-jdbc'!H81, "X", ""), "&gt;", "")))</f>
        <v>20440.3</v>
      </c>
      <c r="D26" s="9">
        <f>IF(ISNUMBER(SEARCH("~*", 'perf-table-vs-jdbc'!I81)), 1, VALUE(SUBSTITUTE(SUBSTITUTE('perf-table-vs-jdbc'!I81, "X", ""), "&gt;", "")))</f>
        <v>10.25</v>
      </c>
      <c r="E26" s="9">
        <f>IF(ISNUMBER(SEARCH("~*", 'perf-table-vs-jdbc'!J81)), 1, VALUE(SUBSTITUTE(SUBSTITUTE('perf-table-vs-jdbc'!J81, "X", ""), "&gt;", "")))</f>
        <v>1</v>
      </c>
    </row>
    <row r="27" spans="1:5" x14ac:dyDescent="0.2">
      <c r="A27" s="9" t="s">
        <v>65</v>
      </c>
      <c r="B27" s="13" t="s">
        <v>44</v>
      </c>
      <c r="C27" s="9">
        <f>IF(ISNUMBER(SEARCH("~*", 'perf-table-vs-jdbc'!H82)), 1, VALUE(SUBSTITUTE(SUBSTITUTE('perf-table-vs-jdbc'!H82, "X", ""), "&gt;", "")))</f>
        <v>0.48</v>
      </c>
      <c r="D27" s="9">
        <f>IF(ISNUMBER(SEARCH("~*", 'perf-table-vs-jdbc'!I82)), 1, VALUE(SUBSTITUTE(SUBSTITUTE('perf-table-vs-jdbc'!I82, "X", ""), "&gt;", "")))</f>
        <v>38.28</v>
      </c>
      <c r="E27" s="9">
        <f>IF(ISNUMBER(SEARCH("~*", 'perf-table-vs-jdbc'!J82)), 1, VALUE(SUBSTITUTE(SUBSTITUTE('perf-table-vs-jdbc'!J82, "X", ""), "&gt;", "")))</f>
        <v>1</v>
      </c>
    </row>
    <row r="28" spans="1:5" x14ac:dyDescent="0.2">
      <c r="A28" s="9" t="s">
        <v>67</v>
      </c>
      <c r="B28" s="13" t="s">
        <v>44</v>
      </c>
      <c r="C28" s="9">
        <f>IF(ISNUMBER(SEARCH("~*", 'perf-table-vs-jdbc'!H83)), 1, VALUE(SUBSTITUTE(SUBSTITUTE('perf-table-vs-jdbc'!H83, "X", ""), "&gt;", "")))</f>
        <v>3.31</v>
      </c>
      <c r="D28" s="9">
        <f>IF(ISNUMBER(SEARCH("~*", 'perf-table-vs-jdbc'!I83)), 1, VALUE(SUBSTITUTE(SUBSTITUTE('perf-table-vs-jdbc'!I83, "X", ""), "&gt;", "")))</f>
        <v>3.31</v>
      </c>
      <c r="E28" s="9">
        <f>IF(ISNUMBER(SEARCH("~*", 'perf-table-vs-jdbc'!J83)), 1, VALUE(SUBSTITUTE(SUBSTITUTE('perf-table-vs-jdbc'!J83, "X", ""), "&gt;", "")))</f>
        <v>1</v>
      </c>
    </row>
    <row r="29" spans="1:5" x14ac:dyDescent="0.2">
      <c r="A29" s="9" t="s">
        <v>69</v>
      </c>
      <c r="B29" s="13" t="s">
        <v>44</v>
      </c>
      <c r="C29" s="9">
        <f>IF(ISNUMBER(SEARCH("~*", 'perf-table-vs-jdbc'!H84)), 1, VALUE(SUBSTITUTE(SUBSTITUTE('perf-table-vs-jdbc'!H84, "X", ""), "&gt;", "")))</f>
        <v>1.33</v>
      </c>
      <c r="D29" s="9">
        <f>IF(ISNUMBER(SEARCH("~*", 'perf-table-vs-jdbc'!I84)), 1, VALUE(SUBSTITUTE(SUBSTITUTE('perf-table-vs-jdbc'!I84, "X", ""), "&gt;", "")))</f>
        <v>1.33</v>
      </c>
      <c r="E29" s="9">
        <f>IF(ISNUMBER(SEARCH("~*", 'perf-table-vs-jdbc'!J84)), 1, VALUE(SUBSTITUTE(SUBSTITUTE('perf-table-vs-jdbc'!J84, "X", ""), "&gt;", "")))</f>
        <v>1</v>
      </c>
    </row>
    <row r="30" spans="1:5" x14ac:dyDescent="0.2">
      <c r="A30" s="9" t="s">
        <v>65</v>
      </c>
      <c r="B30" s="13" t="s">
        <v>47</v>
      </c>
      <c r="C30" s="9">
        <f>IF(ISNUMBER(SEARCH("~*", 'perf-table-vs-jdbc'!H85)), 1, VALUE(SUBSTITUTE(SUBSTITUTE('perf-table-vs-jdbc'!H85, "X", ""), "&gt;", "")))</f>
        <v>0.21</v>
      </c>
      <c r="D30" s="9">
        <f>IF(ISNUMBER(SEARCH("~*", 'perf-table-vs-jdbc'!I85)), 1, VALUE(SUBSTITUTE(SUBSTITUTE('perf-table-vs-jdbc'!I85, "X", ""), "&gt;", "")))</f>
        <v>6.35</v>
      </c>
      <c r="E30" s="9">
        <f>IF(ISNUMBER(SEARCH("~*", 'perf-table-vs-jdbc'!J85)), 1, VALUE(SUBSTITUTE(SUBSTITUTE('perf-table-vs-jdbc'!J85, "X", ""), "&gt;", "")))</f>
        <v>1</v>
      </c>
    </row>
    <row r="31" spans="1:5" x14ac:dyDescent="0.2">
      <c r="A31" s="9" t="s">
        <v>67</v>
      </c>
      <c r="B31" s="13" t="s">
        <v>47</v>
      </c>
      <c r="C31" s="9">
        <f>IF(ISNUMBER(SEARCH("~*", 'perf-table-vs-jdbc'!H86)), 1, VALUE(SUBSTITUTE(SUBSTITUTE('perf-table-vs-jdbc'!H86, "X", ""), "&gt;", "")))</f>
        <v>10909.09</v>
      </c>
      <c r="D31" s="9">
        <f>IF(ISNUMBER(SEARCH("~*", 'perf-table-vs-jdbc'!I86)), 1, VALUE(SUBSTITUTE(SUBSTITUTE('perf-table-vs-jdbc'!I86, "X", ""), "&gt;", "")))</f>
        <v>15.84</v>
      </c>
      <c r="E31" s="9">
        <f>IF(ISNUMBER(SEARCH("~*", 'perf-table-vs-jdbc'!J86)), 1, VALUE(SUBSTITUTE(SUBSTITUTE('perf-table-vs-jdbc'!J86, "X", ""), "&gt;", "")))</f>
        <v>1</v>
      </c>
    </row>
    <row r="32" spans="1:5" x14ac:dyDescent="0.2">
      <c r="A32" s="9" t="s">
        <v>69</v>
      </c>
      <c r="B32" s="13" t="s">
        <v>47</v>
      </c>
      <c r="C32" s="9">
        <f>IF(ISNUMBER(SEARCH("~*", 'perf-table-vs-jdbc'!H87)), 1, VALUE(SUBSTITUTE(SUBSTITUTE('perf-table-vs-jdbc'!H87, "X", ""), "&gt;", "")))</f>
        <v>1176.47</v>
      </c>
      <c r="D32" s="9">
        <f>IF(ISNUMBER(SEARCH("~*", 'perf-table-vs-jdbc'!I87)), 1, VALUE(SUBSTITUTE(SUBSTITUTE('perf-table-vs-jdbc'!I87, "X", ""), "&gt;", "")))</f>
        <v>1176.47</v>
      </c>
      <c r="E32" s="9">
        <f>IF(ISNUMBER(SEARCH("~*", 'perf-table-vs-jdbc'!J87)), 1, VALUE(SUBSTITUTE(SUBSTITUTE('perf-table-vs-jdbc'!J87, "X", ""), "&gt;", "")))</f>
        <v>1</v>
      </c>
    </row>
    <row r="33" spans="1:5" x14ac:dyDescent="0.2">
      <c r="A33" s="9" t="s">
        <v>65</v>
      </c>
      <c r="B33" s="13" t="s">
        <v>49</v>
      </c>
      <c r="C33" s="9">
        <f>IF(ISNUMBER(SEARCH("~*", 'perf-table-vs-jdbc'!H88)), 1, VALUE(SUBSTITUTE(SUBSTITUTE('perf-table-vs-jdbc'!H88, "X", ""), "&gt;", "")))</f>
        <v>0.21</v>
      </c>
      <c r="D33" s="9">
        <f>IF(ISNUMBER(SEARCH("~*", 'perf-table-vs-jdbc'!I88)), 1, VALUE(SUBSTITUTE(SUBSTITUTE('perf-table-vs-jdbc'!I88, "X", ""), "&gt;", "")))</f>
        <v>3.94</v>
      </c>
      <c r="E33" s="9">
        <f>IF(ISNUMBER(SEARCH("~*", 'perf-table-vs-jdbc'!J88)), 1, VALUE(SUBSTITUTE(SUBSTITUTE('perf-table-vs-jdbc'!J88, "X", ""), "&gt;", "")))</f>
        <v>1</v>
      </c>
    </row>
    <row r="34" spans="1:5" x14ac:dyDescent="0.2">
      <c r="A34" s="9" t="s">
        <v>67</v>
      </c>
      <c r="B34" s="13" t="s">
        <v>49</v>
      </c>
      <c r="C34" s="9">
        <f>IF(ISNUMBER(SEARCH("~*", 'perf-table-vs-jdbc'!H89)), 1, VALUE(SUBSTITUTE(SUBSTITUTE('perf-table-vs-jdbc'!H89, "X", ""), "&gt;", "")))</f>
        <v>7792.21</v>
      </c>
      <c r="D34" s="9">
        <f>IF(ISNUMBER(SEARCH("~*", 'perf-table-vs-jdbc'!I89)), 1, VALUE(SUBSTITUTE(SUBSTITUTE('perf-table-vs-jdbc'!I89, "X", ""), "&gt;", "")))</f>
        <v>5.23</v>
      </c>
      <c r="E34" s="9">
        <f>IF(ISNUMBER(SEARCH("~*", 'perf-table-vs-jdbc'!J89)), 1, VALUE(SUBSTITUTE(SUBSTITUTE('perf-table-vs-jdbc'!J89, "X", ""), "&gt;", "")))</f>
        <v>1</v>
      </c>
    </row>
    <row r="35" spans="1:5" x14ac:dyDescent="0.2">
      <c r="A35" s="9" t="s">
        <v>69</v>
      </c>
      <c r="B35" s="13" t="s">
        <v>49</v>
      </c>
      <c r="C35" s="9">
        <f>IF(ISNUMBER(SEARCH("~*", 'perf-table-vs-jdbc'!H90)), 1, VALUE(SUBSTITUTE(SUBSTITUTE('perf-table-vs-jdbc'!H90, "X", ""), "&gt;", "")))</f>
        <v>1388.89</v>
      </c>
      <c r="D35" s="9">
        <f>IF(ISNUMBER(SEARCH("~*", 'perf-table-vs-jdbc'!I90)), 1, VALUE(SUBSTITUTE(SUBSTITUTE('perf-table-vs-jdbc'!I90, "X", ""), "&gt;", "")))</f>
        <v>1.94</v>
      </c>
      <c r="E35" s="9">
        <f>IF(ISNUMBER(SEARCH("~*", 'perf-table-vs-jdbc'!J90)), 1, VALUE(SUBSTITUTE(SUBSTITUTE('perf-table-vs-jdbc'!J90, "X", ""), "&gt;", "")))</f>
        <v>1</v>
      </c>
    </row>
    <row r="36" spans="1:5" x14ac:dyDescent="0.2">
      <c r="A36" s="9" t="s">
        <v>65</v>
      </c>
      <c r="B36" s="13" t="s">
        <v>50</v>
      </c>
      <c r="C36" s="9">
        <f>IF(ISNUMBER(SEARCH("~*", 'perf-table-vs-jdbc'!H91)), 1, VALUE(SUBSTITUTE(SUBSTITUTE('perf-table-vs-jdbc'!H91, "X", ""), "&gt;", "")))</f>
        <v>1</v>
      </c>
      <c r="D36" s="9">
        <f>IF(ISNUMBER(SEARCH("~*", 'perf-table-vs-jdbc'!I91)), 1, VALUE(SUBSTITUTE(SUBSTITUTE('perf-table-vs-jdbc'!I91, "X", ""), "&gt;", "")))</f>
        <v>10.09</v>
      </c>
      <c r="E36" s="9">
        <f>IF(ISNUMBER(SEARCH("~*", 'perf-table-vs-jdbc'!J91)), 1, VALUE(SUBSTITUTE(SUBSTITUTE('perf-table-vs-jdbc'!J91, "X", ""), "&gt;", "")))</f>
        <v>1</v>
      </c>
    </row>
    <row r="37" spans="1:5" x14ac:dyDescent="0.2">
      <c r="A37" s="9" t="s">
        <v>67</v>
      </c>
      <c r="B37" s="13" t="s">
        <v>50</v>
      </c>
      <c r="C37" s="9">
        <f>IF(ISNUMBER(SEARCH("~*", 'perf-table-vs-jdbc'!H92)), 1, VALUE(SUBSTITUTE(SUBSTITUTE('perf-table-vs-jdbc'!H92, "X", ""), "&gt;", "")))</f>
        <v>6451.61</v>
      </c>
      <c r="D37" s="9">
        <f>IF(ISNUMBER(SEARCH("~*", 'perf-table-vs-jdbc'!I92)), 1, VALUE(SUBSTITUTE(SUBSTITUTE('perf-table-vs-jdbc'!I92, "X", ""), "&gt;", "")))</f>
        <v>10.76</v>
      </c>
      <c r="E37" s="9">
        <f>IF(ISNUMBER(SEARCH("~*", 'perf-table-vs-jdbc'!J92)), 1, VALUE(SUBSTITUTE(SUBSTITUTE('perf-table-vs-jdbc'!J92, "X", ""), "&gt;", "")))</f>
        <v>1</v>
      </c>
    </row>
    <row r="38" spans="1:5" x14ac:dyDescent="0.2">
      <c r="A38" s="9" t="s">
        <v>69</v>
      </c>
      <c r="B38" s="13" t="s">
        <v>50</v>
      </c>
      <c r="C38" s="9">
        <f>IF(ISNUMBER(SEARCH("~*", 'perf-table-vs-jdbc'!H93)), 1, VALUE(SUBSTITUTE(SUBSTITUTE('perf-table-vs-jdbc'!H93, "X", ""), "&gt;", "")))</f>
        <v>699.3</v>
      </c>
      <c r="D38" s="9">
        <f>IF(ISNUMBER(SEARCH("~*", 'perf-table-vs-jdbc'!I93)), 1, VALUE(SUBSTITUTE(SUBSTITUTE('perf-table-vs-jdbc'!I93, "X", ""), "&gt;", "")))</f>
        <v>5.49</v>
      </c>
      <c r="E38" s="9">
        <f>IF(ISNUMBER(SEARCH("~*", 'perf-table-vs-jdbc'!J93)), 1, VALUE(SUBSTITUTE(SUBSTITUTE('perf-table-vs-jdbc'!J93, "X", ""), "&gt;", "")))</f>
        <v>1</v>
      </c>
    </row>
    <row r="39" spans="1:5" x14ac:dyDescent="0.2">
      <c r="A39" s="9" t="s">
        <v>65</v>
      </c>
      <c r="B39" s="13" t="s">
        <v>52</v>
      </c>
      <c r="C39" s="9">
        <f>IF(ISNUMBER(SEARCH("~*", 'perf-table-vs-jdbc'!H94)), 1, VALUE(SUBSTITUTE(SUBSTITUTE('perf-table-vs-jdbc'!H94, "X", ""), "&gt;", "")))</f>
        <v>0.21</v>
      </c>
      <c r="D39" s="9">
        <f>IF(ISNUMBER(SEARCH("~*", 'perf-table-vs-jdbc'!I94)), 1, VALUE(SUBSTITUTE(SUBSTITUTE('perf-table-vs-jdbc'!I94, "X", ""), "&gt;", "")))</f>
        <v>6.84</v>
      </c>
      <c r="E39" s="9">
        <f>IF(ISNUMBER(SEARCH("~*", 'perf-table-vs-jdbc'!J94)), 1, VALUE(SUBSTITUTE(SUBSTITUTE('perf-table-vs-jdbc'!J94, "X", ""), "&gt;", "")))</f>
        <v>1</v>
      </c>
    </row>
    <row r="40" spans="1:5" x14ac:dyDescent="0.2">
      <c r="A40" s="9" t="s">
        <v>67</v>
      </c>
      <c r="B40" s="13" t="s">
        <v>52</v>
      </c>
      <c r="C40" s="9">
        <f>IF(ISNUMBER(SEARCH("~*", 'perf-table-vs-jdbc'!H95)), 1, VALUE(SUBSTITUTE(SUBSTITUTE('perf-table-vs-jdbc'!H95, "X", ""), "&gt;", "")))</f>
        <v>11538.46</v>
      </c>
      <c r="D40" s="9">
        <f>IF(ISNUMBER(SEARCH("~*", 'perf-table-vs-jdbc'!I95)), 1, VALUE(SUBSTITUTE(SUBSTITUTE('perf-table-vs-jdbc'!I95, "X", ""), "&gt;", "")))</f>
        <v>17.649999999999999</v>
      </c>
      <c r="E40" s="9">
        <f>IF(ISNUMBER(SEARCH("~*", 'perf-table-vs-jdbc'!J95)), 1, VALUE(SUBSTITUTE(SUBSTITUTE('perf-table-vs-jdbc'!J95, "X", ""), "&gt;", "")))</f>
        <v>1</v>
      </c>
    </row>
    <row r="41" spans="1:5" x14ac:dyDescent="0.2">
      <c r="A41" s="9" t="s">
        <v>69</v>
      </c>
      <c r="B41" s="13" t="s">
        <v>52</v>
      </c>
      <c r="C41" s="9">
        <f>IF(ISNUMBER(SEARCH("~*", 'perf-table-vs-jdbc'!H96)), 1, VALUE(SUBSTITUTE(SUBSTITUTE('perf-table-vs-jdbc'!H96, "X", ""), "&gt;", "")))</f>
        <v>238.47</v>
      </c>
      <c r="D41" s="9">
        <f>IF(ISNUMBER(SEARCH("~*", 'perf-table-vs-jdbc'!I96)), 1, VALUE(SUBSTITUTE(SUBSTITUTE('perf-table-vs-jdbc'!I96, "X", ""), "&gt;", "")))</f>
        <v>238.47</v>
      </c>
      <c r="E41" s="9">
        <f>IF(ISNUMBER(SEARCH("~*", 'perf-table-vs-jdbc'!J96)), 1, VALUE(SUBSTITUTE(SUBSTITUTE('perf-table-vs-jdbc'!J96, "X", ""), "&gt;", "")))</f>
        <v>1</v>
      </c>
    </row>
    <row r="42" spans="1:5" x14ac:dyDescent="0.2">
      <c r="A42" s="9" t="s">
        <v>65</v>
      </c>
      <c r="B42" s="13" t="s">
        <v>54</v>
      </c>
      <c r="C42" s="9">
        <f>IF(ISNUMBER(SEARCH("~*", 'perf-table-vs-jdbc'!H97)), 1, VALUE(SUBSTITUTE(SUBSTITUTE('perf-table-vs-jdbc'!H97, "X", ""), "&gt;", "")))</f>
        <v>1</v>
      </c>
      <c r="D42" s="9">
        <f>IF(ISNUMBER(SEARCH("~*", 'perf-table-vs-jdbc'!I97)), 1, VALUE(SUBSTITUTE(SUBSTITUTE('perf-table-vs-jdbc'!I97, "X", ""), "&gt;", "")))</f>
        <v>7.9</v>
      </c>
      <c r="E42" s="9">
        <f>IF(ISNUMBER(SEARCH("~*", 'perf-table-vs-jdbc'!J97)), 1, VALUE(SUBSTITUTE(SUBSTITUTE('perf-table-vs-jdbc'!J97, "X", ""), "&gt;", "")))</f>
        <v>1</v>
      </c>
    </row>
    <row r="43" spans="1:5" x14ac:dyDescent="0.2">
      <c r="A43" s="9" t="s">
        <v>67</v>
      </c>
      <c r="B43" s="13" t="s">
        <v>54</v>
      </c>
      <c r="C43" s="9">
        <f>IF(ISNUMBER(SEARCH("~*", 'perf-table-vs-jdbc'!H98)), 1, VALUE(SUBSTITUTE(SUBSTITUTE('perf-table-vs-jdbc'!H98, "X", ""), "&gt;", "")))</f>
        <v>22.52</v>
      </c>
      <c r="D43" s="9">
        <f>IF(ISNUMBER(SEARCH("~*", 'perf-table-vs-jdbc'!I98)), 1, VALUE(SUBSTITUTE(SUBSTITUTE('perf-table-vs-jdbc'!I98, "X", ""), "&gt;", "")))</f>
        <v>5.93</v>
      </c>
      <c r="E43" s="9">
        <f>IF(ISNUMBER(SEARCH("~*", 'perf-table-vs-jdbc'!J98)), 1, VALUE(SUBSTITUTE(SUBSTITUTE('perf-table-vs-jdbc'!J98, "X", ""), "&gt;", "")))</f>
        <v>1</v>
      </c>
    </row>
    <row r="44" spans="1:5" x14ac:dyDescent="0.2">
      <c r="A44" s="9" t="s">
        <v>69</v>
      </c>
      <c r="B44" s="13" t="s">
        <v>54</v>
      </c>
      <c r="C44" s="9">
        <f>IF(ISNUMBER(SEARCH("~*", 'perf-table-vs-jdbc'!H99)), 1, VALUE(SUBSTITUTE(SUBSTITUTE('perf-table-vs-jdbc'!H99, "X", ""), "&gt;", "")))</f>
        <v>1401.17</v>
      </c>
      <c r="D44" s="9">
        <f>IF(ISNUMBER(SEARCH("~*", 'perf-table-vs-jdbc'!I99)), 1, VALUE(SUBSTITUTE(SUBSTITUTE('perf-table-vs-jdbc'!I99, "X", ""), "&gt;", "")))</f>
        <v>10.63</v>
      </c>
      <c r="E44" s="9">
        <f>IF(ISNUMBER(SEARCH("~*", 'perf-table-vs-jdbc'!J99)), 1, VALUE(SUBSTITUTE(SUBSTITUTE('perf-table-vs-jdbc'!J99, "X", ""), "&gt;", "")))</f>
        <v>1</v>
      </c>
    </row>
    <row r="45" spans="1:5" x14ac:dyDescent="0.2">
      <c r="A45" s="9" t="s">
        <v>65</v>
      </c>
      <c r="B45" s="13" t="s">
        <v>55</v>
      </c>
      <c r="C45" s="9">
        <f>IF(ISNUMBER(SEARCH("~*", 'perf-table-vs-jdbc'!H100)), 1, VALUE(SUBSTITUTE(SUBSTITUTE('perf-table-vs-jdbc'!H100, "X", ""), "&gt;", "")))</f>
        <v>0.3</v>
      </c>
      <c r="D45" s="9">
        <f>IF(ISNUMBER(SEARCH("~*", 'perf-table-vs-jdbc'!I100)), 1, VALUE(SUBSTITUTE(SUBSTITUTE('perf-table-vs-jdbc'!I100, "X", ""), "&gt;", "")))</f>
        <v>6.17</v>
      </c>
      <c r="E45" s="9">
        <f>IF(ISNUMBER(SEARCH("~*", 'perf-table-vs-jdbc'!J100)), 1, VALUE(SUBSTITUTE(SUBSTITUTE('perf-table-vs-jdbc'!J100, "X", ""), "&gt;", "")))</f>
        <v>1</v>
      </c>
    </row>
    <row r="46" spans="1:5" x14ac:dyDescent="0.2">
      <c r="A46" s="9" t="s">
        <v>67</v>
      </c>
      <c r="B46" s="13" t="s">
        <v>55</v>
      </c>
      <c r="C46" s="9">
        <f>IF(ISNUMBER(SEARCH("~*", 'perf-table-vs-jdbc'!H101)), 1, VALUE(SUBSTITUTE(SUBSTITUTE('perf-table-vs-jdbc'!H101, "X", ""), "&gt;", "")))</f>
        <v>19.09</v>
      </c>
      <c r="D46" s="9">
        <f>IF(ISNUMBER(SEARCH("~*", 'perf-table-vs-jdbc'!I101)), 1, VALUE(SUBSTITUTE(SUBSTITUTE('perf-table-vs-jdbc'!I101, "X", ""), "&gt;", "")))</f>
        <v>4.55</v>
      </c>
      <c r="E46" s="9">
        <f>IF(ISNUMBER(SEARCH("~*", 'perf-table-vs-jdbc'!J101)), 1, VALUE(SUBSTITUTE(SUBSTITUTE('perf-table-vs-jdbc'!J101, "X", ""), "&gt;", "")))</f>
        <v>1</v>
      </c>
    </row>
    <row r="47" spans="1:5" x14ac:dyDescent="0.2">
      <c r="A47" s="9" t="s">
        <v>69</v>
      </c>
      <c r="B47" s="13" t="s">
        <v>55</v>
      </c>
      <c r="C47" s="9">
        <f>IF(ISNUMBER(SEARCH("~*", 'perf-table-vs-jdbc'!H102)), 1, VALUE(SUBSTITUTE(SUBSTITUTE('perf-table-vs-jdbc'!H102, "X", ""), "&gt;", "")))</f>
        <v>106.58</v>
      </c>
      <c r="D47" s="9">
        <f>IF(ISNUMBER(SEARCH("~*", 'perf-table-vs-jdbc'!I102)), 1, VALUE(SUBSTITUTE(SUBSTITUTE('perf-table-vs-jdbc'!I102, "X", ""), "&gt;", "")))</f>
        <v>4.0199999999999996</v>
      </c>
      <c r="E47" s="9">
        <f>IF(ISNUMBER(SEARCH("~*", 'perf-table-vs-jdbc'!J102)), 1, VALUE(SUBSTITUTE(SUBSTITUTE('perf-table-vs-jdbc'!J102, "X", ""), "&gt;", "")))</f>
        <v>1</v>
      </c>
    </row>
    <row r="48" spans="1:5" x14ac:dyDescent="0.2">
      <c r="A48" s="9" t="s">
        <v>65</v>
      </c>
      <c r="B48" s="13" t="s">
        <v>56</v>
      </c>
      <c r="C48" s="9">
        <f>IF(ISNUMBER(SEARCH("~*", 'perf-table-vs-jdbc'!H103)), 1, VALUE(SUBSTITUTE(SUBSTITUTE('perf-table-vs-jdbc'!H103, "X", ""), "&gt;", "")))</f>
        <v>0.35</v>
      </c>
      <c r="D48" s="9">
        <f>IF(ISNUMBER(SEARCH("~*", 'perf-table-vs-jdbc'!I103)), 1, VALUE(SUBSTITUTE(SUBSTITUTE('perf-table-vs-jdbc'!I103, "X", ""), "&gt;", "")))</f>
        <v>19.329999999999998</v>
      </c>
      <c r="E48" s="9">
        <f>IF(ISNUMBER(SEARCH("~*", 'perf-table-vs-jdbc'!J103)), 1, VALUE(SUBSTITUTE(SUBSTITUTE('perf-table-vs-jdbc'!J103, "X", ""), "&gt;", "")))</f>
        <v>1</v>
      </c>
    </row>
    <row r="49" spans="1:16" x14ac:dyDescent="0.2">
      <c r="A49" s="9" t="s">
        <v>67</v>
      </c>
      <c r="B49" s="13" t="s">
        <v>56</v>
      </c>
      <c r="C49" s="9">
        <f>IF(ISNUMBER(SEARCH("~*", 'perf-table-vs-jdbc'!H104)), 1, VALUE(SUBSTITUTE(SUBSTITUTE('perf-table-vs-jdbc'!H104, "X", ""), "&gt;", "")))</f>
        <v>4838.71</v>
      </c>
      <c r="D49" s="9">
        <f>IF(ISNUMBER(SEARCH("~*", 'perf-table-vs-jdbc'!I104)), 1, VALUE(SUBSTITUTE(SUBSTITUTE('perf-table-vs-jdbc'!I104, "X", ""), "&gt;", "")))</f>
        <v>21.1</v>
      </c>
      <c r="E49" s="9">
        <f>IF(ISNUMBER(SEARCH("~*", 'perf-table-vs-jdbc'!J104)), 1, VALUE(SUBSTITUTE(SUBSTITUTE('perf-table-vs-jdbc'!J104, "X", ""), "&gt;", "")))</f>
        <v>1</v>
      </c>
    </row>
    <row r="50" spans="1:16" x14ac:dyDescent="0.2">
      <c r="A50" s="9" t="s">
        <v>69</v>
      </c>
      <c r="B50" s="13" t="s">
        <v>56</v>
      </c>
      <c r="C50" s="9">
        <f>IF(ISNUMBER(SEARCH("~*", 'perf-table-vs-jdbc'!H105)), 1, VALUE(SUBSTITUTE(SUBSTITUTE('perf-table-vs-jdbc'!H105, "X", ""), "&gt;", "")))</f>
        <v>453.17</v>
      </c>
      <c r="D50" s="9">
        <f>IF(ISNUMBER(SEARCH("~*", 'perf-table-vs-jdbc'!I105)), 1, VALUE(SUBSTITUTE(SUBSTITUTE('perf-table-vs-jdbc'!I105, "X", ""), "&gt;", "")))</f>
        <v>7.36</v>
      </c>
      <c r="E50" s="9">
        <f>IF(ISNUMBER(SEARCH("~*", 'perf-table-vs-jdbc'!J105)), 1, VALUE(SUBSTITUTE(SUBSTITUTE('perf-table-vs-jdbc'!J105, "X", ""), "&gt;", "")))</f>
        <v>1</v>
      </c>
    </row>
    <row r="52" spans="1:16" ht="17" x14ac:dyDescent="0.25">
      <c r="A52" s="9"/>
      <c r="B52" s="18"/>
    </row>
    <row r="53" spans="1:16" x14ac:dyDescent="0.2">
      <c r="A53" s="9"/>
    </row>
    <row r="54" spans="1:16" x14ac:dyDescent="0.2">
      <c r="A54" s="9"/>
      <c r="B54" s="19"/>
    </row>
    <row r="56" spans="1:16" x14ac:dyDescent="0.2">
      <c r="A56" s="21" t="s">
        <v>58</v>
      </c>
    </row>
    <row r="57" spans="1:16" x14ac:dyDescent="0.2">
      <c r="A57" s="27" t="s">
        <v>124</v>
      </c>
      <c r="B57" s="21">
        <f>MAX(B58:B60)</f>
        <v>30000</v>
      </c>
      <c r="E57" s="27" t="s">
        <v>125</v>
      </c>
      <c r="F57" s="21">
        <f>MIN(F58:F60)</f>
        <v>0.12</v>
      </c>
      <c r="I57" s="27" t="s">
        <v>123</v>
      </c>
      <c r="J57" s="21">
        <f>AVERAGE(J58:J60)</f>
        <v>2787.1243749999999</v>
      </c>
      <c r="O57" s="24" t="s">
        <v>126</v>
      </c>
      <c r="P57" s="24" t="str">
        <f>B57 &amp; "X&amp;"   &amp; F57 &amp;  "X&amp;" &amp;   J57 &amp; "X"</f>
        <v>30000X&amp;0.12X&amp;2787.124375X</v>
      </c>
    </row>
    <row r="58" spans="1:16" ht="17" x14ac:dyDescent="0.25">
      <c r="A58" s="9" t="s">
        <v>91</v>
      </c>
      <c r="B58" s="18">
        <f>_xlfn.MAXIFS(C3:C50, A3:A50, "S", C3:C50, "&lt;&gt;")</f>
        <v>1</v>
      </c>
      <c r="C58" s="19" t="str">
        <f>INDEX(B2:B50, MATCH(B58, C2:C50, 0))</f>
        <v>Party</v>
      </c>
      <c r="E58" t="s">
        <v>94</v>
      </c>
      <c r="F58">
        <f>_xlfn.MINIFS(C3:C50, A3:A50, "S", C3:C50, "&lt;&gt;")</f>
        <v>0.12</v>
      </c>
      <c r="G58" t="str">
        <f>INDEX(B$2:B$50, MATCH(F58, C$2:C$50, 0))</f>
        <v>APT</v>
      </c>
      <c r="I58" t="s">
        <v>97</v>
      </c>
      <c r="J58">
        <f>AVERAGEIFS(C3:C50, A3:A50, "S", C3:C50, "&lt;&gt;")</f>
        <v>0.36249999999999999</v>
      </c>
      <c r="L58" t="s">
        <v>101</v>
      </c>
      <c r="M58" cm="1">
        <f t="array" ref="M58">MEDIAN(IF(A2:A50="S", C2:C50))</f>
        <v>0.27</v>
      </c>
    </row>
    <row r="59" spans="1:16" x14ac:dyDescent="0.2">
      <c r="A59" s="9" t="s">
        <v>92</v>
      </c>
      <c r="B59">
        <f>_xlfn.MAXIFS(C3:C50, A3:A50, "M", C3:C50, "&lt;&gt;")</f>
        <v>30000</v>
      </c>
      <c r="C59" s="19" t="str">
        <f>INDEX(B2:B50, MATCH(B59, C2:C50, 0))</f>
        <v>CBA</v>
      </c>
      <c r="E59" t="s">
        <v>95</v>
      </c>
      <c r="F59">
        <f>_xlfn.MINIFS(C3:C50, A3:A50, "M", C3:C50, "&lt;&gt;")</f>
        <v>3.31</v>
      </c>
      <c r="G59" t="str">
        <f>INDEX(B$2:B$50, MATCH(F59, C$2:C$50, 0))</f>
        <v>Even-Odd</v>
      </c>
      <c r="I59" t="s">
        <v>98</v>
      </c>
      <c r="J59">
        <f>AVERAGEIFS(C3:C50, A3:A50, "M", C3:C50, "&lt;&gt;")</f>
        <v>4824.8031249999995</v>
      </c>
      <c r="L59" t="s">
        <v>102</v>
      </c>
      <c r="M59" cm="1">
        <f t="array" ref="M59">MEDIAN(IF(A2:A50="M", C2:C50))</f>
        <v>1292.9949999999999</v>
      </c>
    </row>
    <row r="60" spans="1:16" x14ac:dyDescent="0.2">
      <c r="A60" s="9" t="s">
        <v>93</v>
      </c>
      <c r="B60" s="19">
        <f>_xlfn.MAXIFS(C3:C50, A3:A50, "L", C3:C50, "&lt;&gt;")</f>
        <v>25000</v>
      </c>
      <c r="C60" s="19" t="str">
        <f>INDEX(B2:B50, MATCH(B60, C2:C50, 0))</f>
        <v>CBA</v>
      </c>
      <c r="E60" t="s">
        <v>96</v>
      </c>
      <c r="F60">
        <f>_xlfn.MINIFS(C3:C50, A3:A50, "L", C3:C50, "&lt;&gt;")</f>
        <v>1.33</v>
      </c>
      <c r="G60" t="str">
        <f>INDEX(B$2:B$50, MATCH(F60, C$2:C$50, 0))</f>
        <v>Even-Odd</v>
      </c>
      <c r="I60" t="s">
        <v>99</v>
      </c>
      <c r="J60">
        <f>AVERAGEIFS(C3:C50, A3:A50, "L", C3:C50, "&lt;&gt;")</f>
        <v>3536.2075000000004</v>
      </c>
      <c r="L60" t="s">
        <v>103</v>
      </c>
      <c r="M60" cm="1">
        <f t="array" ref="M60">MEDIAN(IF(A2:A50="L", C2:C50))</f>
        <v>620.41</v>
      </c>
    </row>
    <row r="62" spans="1:16" x14ac:dyDescent="0.2">
      <c r="A62" s="26" t="s">
        <v>100</v>
      </c>
    </row>
    <row r="63" spans="1:16" x14ac:dyDescent="0.2">
      <c r="A63" s="28" t="s">
        <v>124</v>
      </c>
      <c r="B63" s="21">
        <f>MAX(B64:B66)</f>
        <v>1176.47</v>
      </c>
      <c r="E63" s="27" t="s">
        <v>125</v>
      </c>
      <c r="F63" s="21">
        <f>MIN(F64:F66)</f>
        <v>1.29</v>
      </c>
      <c r="I63" s="27" t="s">
        <v>123</v>
      </c>
      <c r="J63" s="21">
        <f>AVERAGE(J64:J66)</f>
        <v>37.279375000000009</v>
      </c>
      <c r="O63" s="24" t="s">
        <v>126</v>
      </c>
      <c r="P63" s="24" t="str">
        <f>B63 &amp; "X&amp;"   &amp; F63 &amp;  "X&amp;" &amp;   J63&amp; "X"</f>
        <v>1176.47X&amp;1.29X&amp;37.279375X</v>
      </c>
    </row>
    <row r="64" spans="1:16" x14ac:dyDescent="0.2">
      <c r="A64" s="9" t="s">
        <v>91</v>
      </c>
      <c r="B64">
        <f>_xlfn.MAXIFS(D3:D50, A3:A50, "S", D3:D50, "&lt;&gt;")</f>
        <v>38.28</v>
      </c>
      <c r="C64" s="19" t="str">
        <f>INDEX(B2:B50, MATCH(B64, D2:D50, 0))</f>
        <v>Even-Odd</v>
      </c>
      <c r="E64" t="s">
        <v>94</v>
      </c>
      <c r="F64">
        <f>_xlfn.MINIFS(D3:D50, A3:A50, "S", D3:D50, "&lt;&gt;")</f>
        <v>3.94</v>
      </c>
      <c r="G64" t="str">
        <f>INDEX(B$2:B$50, MATCH(F64, D$2:D$50, 0))</f>
        <v>Orbits</v>
      </c>
      <c r="I64" t="s">
        <v>97</v>
      </c>
      <c r="J64">
        <f>AVERAGEIFS(D3:D50, A3:A50, "S", D3:D50, "&lt;&gt;")</f>
        <v>9.9456249999999997</v>
      </c>
      <c r="L64" t="s">
        <v>101</v>
      </c>
      <c r="M64" cm="1">
        <f t="array" ref="M64">MEDIAN(IF(A2:A50="S", D2:D50))</f>
        <v>7.7450000000000001</v>
      </c>
    </row>
    <row r="65" spans="1:16" x14ac:dyDescent="0.2">
      <c r="A65" s="9" t="s">
        <v>92</v>
      </c>
      <c r="B65">
        <f>_xlfn.MAXIFS(D3:D50, A3:A50, "M", D3:D50, "&lt;&gt;")</f>
        <v>21.1</v>
      </c>
      <c r="C65" s="19" t="str">
        <f>INDEX(B2:B50, MATCH(B65, D2:D50, 0))</f>
        <v>COT</v>
      </c>
      <c r="E65" t="s">
        <v>95</v>
      </c>
      <c r="F65">
        <f>_xlfn.MINIFS(D3:D50, A3:A50, "M", D3:D50, "&lt;&gt;")</f>
        <v>1.98</v>
      </c>
      <c r="G65" t="str">
        <f t="shared" ref="G65:G66" si="0">INDEX(B$2:B$50, MATCH(F65, D$2:D$50, 0))</f>
        <v>Ancestry</v>
      </c>
      <c r="I65" t="s">
        <v>98</v>
      </c>
      <c r="J65">
        <f>AVERAGEIFS(D3:D50, A3:A50, "M", D3:D50, "&lt;&gt;")</f>
        <v>7.5775000000000023</v>
      </c>
      <c r="L65" t="s">
        <v>102</v>
      </c>
      <c r="M65" cm="1">
        <f t="array" ref="M65">MEDIAN(IF(A2:A50="M", D2:D50))</f>
        <v>5.25</v>
      </c>
    </row>
    <row r="66" spans="1:16" x14ac:dyDescent="0.2">
      <c r="A66" s="9" t="s">
        <v>93</v>
      </c>
      <c r="B66">
        <f>_xlfn.MAXIFS(D3:D50, A3:A50, "L", D3:D50, "&lt;&gt;")</f>
        <v>1176.47</v>
      </c>
      <c r="C66" s="19" t="str">
        <f>INDEX(B2:B50, MATCH(B66, D2:D50, 0))</f>
        <v>JPT</v>
      </c>
      <c r="E66" t="s">
        <v>96</v>
      </c>
      <c r="F66">
        <f>_xlfn.MINIFS(D3:D50, A3:A50, "L", D3:D50, "&lt;&gt;")</f>
        <v>1.29</v>
      </c>
      <c r="G66" t="str">
        <f t="shared" si="0"/>
        <v>CC</v>
      </c>
      <c r="I66" t="s">
        <v>99</v>
      </c>
      <c r="J66">
        <f>AVERAGEIFS(D3:D50, A3:A50, "L", D3:D50, "&lt;&gt;")</f>
        <v>94.315000000000012</v>
      </c>
      <c r="L66" t="s">
        <v>103</v>
      </c>
      <c r="M66" cm="1">
        <f t="array" ref="M66">MEDIAN(IF(A2:A50="L", D2:D50))</f>
        <v>6.8550000000000004</v>
      </c>
    </row>
    <row r="67" spans="1:16" x14ac:dyDescent="0.2">
      <c r="A67" s="9"/>
    </row>
    <row r="68" spans="1:16" x14ac:dyDescent="0.2">
      <c r="A68" s="26" t="s">
        <v>110</v>
      </c>
    </row>
    <row r="69" spans="1:16" x14ac:dyDescent="0.2">
      <c r="A69" s="28" t="s">
        <v>124</v>
      </c>
      <c r="B69" s="21">
        <f>MAX(B70:B72)</f>
        <v>1</v>
      </c>
      <c r="E69" s="27" t="s">
        <v>125</v>
      </c>
      <c r="F69" s="21">
        <f>MIN(F70:F72)</f>
        <v>1</v>
      </c>
      <c r="I69" s="27" t="s">
        <v>123</v>
      </c>
      <c r="J69" s="21">
        <f>AVERAGE(J70:J72)</f>
        <v>1</v>
      </c>
      <c r="O69" s="24" t="s">
        <v>126</v>
      </c>
      <c r="P69" s="24" t="str">
        <f>B69 &amp; "X&amp;"   &amp; F69 &amp;  "X&amp;" &amp;   J69 &amp; "X"</f>
        <v>1X&amp;1X&amp;1X</v>
      </c>
    </row>
    <row r="70" spans="1:16" x14ac:dyDescent="0.2">
      <c r="A70" s="9" t="s">
        <v>91</v>
      </c>
      <c r="B70">
        <f>_xlfn.MAXIFS(E3:E50, A3:A50, "S",  E3:E50, "&lt;&gt;")</f>
        <v>1</v>
      </c>
      <c r="C70" s="19" t="str">
        <f>INDEX(B2:B50, MATCH(B70, E2:E50, 0))</f>
        <v>Ancestry</v>
      </c>
      <c r="E70" t="s">
        <v>94</v>
      </c>
      <c r="F70">
        <f>_xlfn.MINIFS(E3:E50, A3:A50, "S",  E3:E50, "&lt;&gt;")</f>
        <v>1</v>
      </c>
      <c r="G70" t="str">
        <f>INDEX(B$2:B$50, MATCH(F70, E$2:E$50, 0))</f>
        <v>Ancestry</v>
      </c>
      <c r="I70" t="s">
        <v>97</v>
      </c>
      <c r="J70">
        <f>AVERAGEIFS(E3:E50, A3:A50, "S",  E3:E50, "&lt;&gt;")</f>
        <v>1</v>
      </c>
      <c r="L70" t="s">
        <v>101</v>
      </c>
      <c r="M70" cm="1">
        <f t="array" ref="M70">MEDIAN(IF(A2:A50="S", E2:E50))</f>
        <v>1</v>
      </c>
    </row>
    <row r="71" spans="1:16" x14ac:dyDescent="0.2">
      <c r="A71" s="9" t="s">
        <v>92</v>
      </c>
      <c r="B71">
        <f>_xlfn.MAXIFS(E3:E50, A3:A50, "M",  E3:E50, "&lt;&gt;")</f>
        <v>1</v>
      </c>
      <c r="C71" s="19" t="str">
        <f>INDEX(B2:B50, MATCH(B71, E2:E50, 0))</f>
        <v>Ancestry</v>
      </c>
      <c r="E71" t="s">
        <v>95</v>
      </c>
      <c r="F71">
        <f>_xlfn.MINIFS(E3:E50, A3:A50, "M",  E3:E50, "&lt;&gt;")</f>
        <v>1</v>
      </c>
      <c r="G71" t="str">
        <f>INDEX(B$2:B$50, MATCH(F71, E$2:E$50, 0))</f>
        <v>Ancestry</v>
      </c>
      <c r="I71" t="s">
        <v>98</v>
      </c>
      <c r="J71">
        <f>AVERAGEIFS(E3:E50, A3:A50, "M",  E3:E50, "&lt;&gt;")</f>
        <v>1</v>
      </c>
      <c r="L71" t="s">
        <v>102</v>
      </c>
      <c r="M71" cm="1">
        <f t="array" ref="M71">MEDIAN(IF(A2:A50="M", E2:E50))</f>
        <v>1</v>
      </c>
    </row>
    <row r="72" spans="1:16" x14ac:dyDescent="0.2">
      <c r="A72" s="9" t="s">
        <v>93</v>
      </c>
      <c r="B72">
        <f>_xlfn.MAXIFS(E3:E50, A3:A50, "L",  E3:E50, "&lt;&gt;")</f>
        <v>1</v>
      </c>
      <c r="C72" s="19" t="str">
        <f>INDEX(B2:B50, MATCH(B72, E2:E50, 0))</f>
        <v>Ancestry</v>
      </c>
      <c r="E72" t="s">
        <v>96</v>
      </c>
      <c r="F72">
        <f>_xlfn.MINIFS(E3:E50, A3:A50, "L",  E3:E50, "&lt;&gt;")</f>
        <v>1</v>
      </c>
      <c r="G72" t="str">
        <f>INDEX(B$2:B$50, MATCH(F72, E$2:E$50, 0))</f>
        <v>Ancestry</v>
      </c>
      <c r="I72" t="s">
        <v>99</v>
      </c>
      <c r="J72">
        <f>AVERAGEIFS(E3:E50, A3:A50, "L",  E3:E50, "&lt;&gt;")</f>
        <v>1</v>
      </c>
      <c r="L72" t="s">
        <v>103</v>
      </c>
      <c r="M72" cm="1">
        <f t="array" ref="M72">MEDIAN(IF(A2:A50="L", E2:E50))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54BB-15D5-9A48-87F4-A50F41F32126}">
  <dimension ref="A1:AB65"/>
  <sheetViews>
    <sheetView topLeftCell="T1" workbookViewId="0">
      <selection activeCell="J35" sqref="J35"/>
    </sheetView>
  </sheetViews>
  <sheetFormatPr baseColWidth="10" defaultRowHeight="16" x14ac:dyDescent="0.2"/>
  <cols>
    <col min="2" max="2" width="12.5" bestFit="1" customWidth="1"/>
    <col min="3" max="3" width="7.5" bestFit="1" customWidth="1"/>
    <col min="4" max="4" width="8" bestFit="1" customWidth="1"/>
    <col min="5" max="5" width="5.83203125" bestFit="1" customWidth="1"/>
    <col min="6" max="6" width="17" bestFit="1" customWidth="1"/>
    <col min="7" max="7" width="9.1640625" bestFit="1" customWidth="1"/>
    <col min="8" max="8" width="4.6640625" bestFit="1" customWidth="1"/>
    <col min="12" max="12" width="12.5" bestFit="1" customWidth="1"/>
    <col min="13" max="13" width="7.5" bestFit="1" customWidth="1"/>
    <col min="14" max="14" width="8" bestFit="1" customWidth="1"/>
    <col min="15" max="15" width="5.83203125" bestFit="1" customWidth="1"/>
    <col min="16" max="16" width="17" bestFit="1" customWidth="1"/>
    <col min="17" max="17" width="10.1640625" bestFit="1" customWidth="1"/>
    <col min="18" max="18" width="4.6640625" bestFit="1" customWidth="1"/>
    <col min="22" max="22" width="12.5" bestFit="1" customWidth="1"/>
    <col min="23" max="23" width="7.5" bestFit="1" customWidth="1"/>
    <col min="24" max="24" width="8" bestFit="1" customWidth="1"/>
    <col min="25" max="25" width="5.83203125" bestFit="1" customWidth="1"/>
    <col min="26" max="26" width="17" bestFit="1" customWidth="1"/>
    <col min="27" max="27" width="10.1640625" bestFit="1" customWidth="1"/>
    <col min="28" max="28" width="4.6640625" bestFit="1" customWidth="1"/>
  </cols>
  <sheetData>
    <row r="1" spans="1:28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</row>
    <row r="2" spans="1:28" x14ac:dyDescent="0.2">
      <c r="A2" t="s">
        <v>16</v>
      </c>
      <c r="B2" t="s">
        <v>24</v>
      </c>
      <c r="C2" t="s">
        <v>21</v>
      </c>
      <c r="D2">
        <v>1</v>
      </c>
      <c r="E2">
        <v>5</v>
      </c>
      <c r="F2">
        <v>1.8779999999999999E-3</v>
      </c>
      <c r="G2">
        <v>1.387E-3</v>
      </c>
      <c r="H2" t="s">
        <v>22</v>
      </c>
      <c r="K2" t="s">
        <v>16</v>
      </c>
      <c r="L2" t="s">
        <v>24</v>
      </c>
      <c r="M2" t="s">
        <v>21</v>
      </c>
      <c r="N2">
        <v>1</v>
      </c>
      <c r="O2">
        <v>5</v>
      </c>
      <c r="P2">
        <v>3.7118329999999999</v>
      </c>
      <c r="Q2">
        <v>0.24960199999999999</v>
      </c>
      <c r="R2" t="s">
        <v>22</v>
      </c>
      <c r="U2" t="s">
        <v>16</v>
      </c>
      <c r="V2" t="s">
        <v>28</v>
      </c>
      <c r="W2" t="s">
        <v>21</v>
      </c>
      <c r="X2">
        <v>1</v>
      </c>
      <c r="Y2">
        <v>5</v>
      </c>
      <c r="Z2">
        <v>58.664898000000001</v>
      </c>
      <c r="AA2">
        <v>0.37143700000000002</v>
      </c>
      <c r="AB2" t="s">
        <v>22</v>
      </c>
    </row>
    <row r="3" spans="1:28" x14ac:dyDescent="0.2">
      <c r="A3" t="s">
        <v>16</v>
      </c>
      <c r="B3" t="s">
        <v>28</v>
      </c>
      <c r="C3" t="s">
        <v>21</v>
      </c>
      <c r="D3">
        <v>1</v>
      </c>
      <c r="E3">
        <v>5</v>
      </c>
      <c r="F3">
        <v>1.4890000000000001E-3</v>
      </c>
      <c r="G3">
        <v>1.108E-3</v>
      </c>
      <c r="H3" t="s">
        <v>22</v>
      </c>
      <c r="K3" t="s">
        <v>16</v>
      </c>
      <c r="L3" t="s">
        <v>28</v>
      </c>
      <c r="M3" t="s">
        <v>21</v>
      </c>
      <c r="N3">
        <v>1</v>
      </c>
      <c r="O3">
        <v>5</v>
      </c>
      <c r="P3">
        <v>4.8585609999999999</v>
      </c>
      <c r="Q3">
        <v>0.110946</v>
      </c>
      <c r="R3" t="s">
        <v>22</v>
      </c>
      <c r="U3" t="s">
        <v>16</v>
      </c>
      <c r="V3" t="s">
        <v>2</v>
      </c>
      <c r="W3" t="s">
        <v>21</v>
      </c>
      <c r="X3">
        <v>1</v>
      </c>
      <c r="Y3">
        <v>5</v>
      </c>
      <c r="Z3">
        <v>40.566226999999998</v>
      </c>
      <c r="AA3">
        <v>15.468301</v>
      </c>
      <c r="AB3" t="s">
        <v>22</v>
      </c>
    </row>
    <row r="4" spans="1:28" x14ac:dyDescent="0.2">
      <c r="A4" t="s">
        <v>16</v>
      </c>
      <c r="B4" t="s">
        <v>32</v>
      </c>
      <c r="C4" t="s">
        <v>21</v>
      </c>
      <c r="D4">
        <v>1</v>
      </c>
      <c r="E4">
        <v>5</v>
      </c>
      <c r="F4">
        <v>3.1059999999999998E-3</v>
      </c>
      <c r="G4">
        <v>3.7139999999999999E-3</v>
      </c>
      <c r="H4" t="s">
        <v>22</v>
      </c>
      <c r="K4" t="s">
        <v>16</v>
      </c>
      <c r="L4" t="s">
        <v>32</v>
      </c>
      <c r="M4" t="s">
        <v>21</v>
      </c>
      <c r="N4">
        <v>1</v>
      </c>
      <c r="O4">
        <v>5</v>
      </c>
      <c r="P4">
        <v>33.197488999999997</v>
      </c>
      <c r="Q4">
        <v>2.1538149999999998</v>
      </c>
      <c r="R4" t="s">
        <v>22</v>
      </c>
      <c r="U4" t="s">
        <v>16</v>
      </c>
      <c r="V4" t="s">
        <v>41</v>
      </c>
      <c r="W4" t="s">
        <v>21</v>
      </c>
      <c r="X4">
        <v>1</v>
      </c>
      <c r="Y4">
        <v>5</v>
      </c>
      <c r="Z4">
        <v>257.40468099999998</v>
      </c>
      <c r="AA4">
        <v>0.125219</v>
      </c>
      <c r="AB4" t="s">
        <v>22</v>
      </c>
    </row>
    <row r="5" spans="1:28" x14ac:dyDescent="0.2">
      <c r="A5" t="s">
        <v>16</v>
      </c>
      <c r="B5" t="s">
        <v>34</v>
      </c>
      <c r="C5" t="s">
        <v>21</v>
      </c>
      <c r="D5">
        <v>1</v>
      </c>
      <c r="E5">
        <v>5</v>
      </c>
      <c r="F5">
        <v>2.1310000000000001E-3</v>
      </c>
      <c r="G5">
        <v>8.5700000000000001E-4</v>
      </c>
      <c r="H5" t="s">
        <v>22</v>
      </c>
      <c r="K5" t="s">
        <v>16</v>
      </c>
      <c r="L5" t="s">
        <v>34</v>
      </c>
      <c r="M5" t="s">
        <v>21</v>
      </c>
      <c r="N5">
        <v>1</v>
      </c>
      <c r="O5">
        <v>5</v>
      </c>
      <c r="P5">
        <v>139.447811</v>
      </c>
      <c r="Q5">
        <v>2.9983979999999999</v>
      </c>
      <c r="R5" t="s">
        <v>22</v>
      </c>
      <c r="U5" t="s">
        <v>16</v>
      </c>
      <c r="V5" t="s">
        <v>26</v>
      </c>
      <c r="W5" t="s">
        <v>21</v>
      </c>
      <c r="X5">
        <v>1</v>
      </c>
      <c r="Y5">
        <v>5</v>
      </c>
      <c r="Z5">
        <v>233.75161800000001</v>
      </c>
      <c r="AA5">
        <v>3.9332120000000002</v>
      </c>
      <c r="AB5" t="s">
        <v>22</v>
      </c>
    </row>
    <row r="6" spans="1:28" x14ac:dyDescent="0.2">
      <c r="A6" t="s">
        <v>16</v>
      </c>
      <c r="B6" t="s">
        <v>36</v>
      </c>
      <c r="C6" t="s">
        <v>21</v>
      </c>
      <c r="D6">
        <v>1</v>
      </c>
      <c r="E6">
        <v>5</v>
      </c>
      <c r="F6">
        <v>6.1700000000000001E-3</v>
      </c>
      <c r="G6">
        <v>6.9249999999999997E-3</v>
      </c>
      <c r="H6" t="s">
        <v>22</v>
      </c>
      <c r="K6" t="s">
        <v>16</v>
      </c>
      <c r="L6" t="s">
        <v>2</v>
      </c>
      <c r="M6" t="s">
        <v>21</v>
      </c>
      <c r="N6">
        <v>1</v>
      </c>
      <c r="O6">
        <v>5</v>
      </c>
      <c r="P6">
        <v>13.838817000000001</v>
      </c>
      <c r="Q6">
        <v>6.1946510000000004</v>
      </c>
      <c r="R6" t="s">
        <v>22</v>
      </c>
      <c r="U6" t="s">
        <v>16</v>
      </c>
      <c r="V6" t="s">
        <v>30</v>
      </c>
      <c r="W6" t="s">
        <v>21</v>
      </c>
      <c r="X6">
        <v>1</v>
      </c>
      <c r="Y6">
        <v>5</v>
      </c>
      <c r="Z6">
        <v>6.6339059999999996</v>
      </c>
      <c r="AA6">
        <v>0.129079</v>
      </c>
      <c r="AB6" t="s">
        <v>22</v>
      </c>
    </row>
    <row r="7" spans="1:28" x14ac:dyDescent="0.2">
      <c r="A7" t="s">
        <v>16</v>
      </c>
      <c r="B7" t="s">
        <v>2</v>
      </c>
      <c r="C7" t="s">
        <v>21</v>
      </c>
      <c r="D7">
        <v>1</v>
      </c>
      <c r="E7">
        <v>5</v>
      </c>
      <c r="F7">
        <v>2.4269999999999999E-3</v>
      </c>
      <c r="G7">
        <v>1.1440000000000001E-3</v>
      </c>
      <c r="H7" t="s">
        <v>22</v>
      </c>
      <c r="K7" t="s">
        <v>16</v>
      </c>
      <c r="L7" t="s">
        <v>41</v>
      </c>
      <c r="M7" t="s">
        <v>21</v>
      </c>
      <c r="N7">
        <v>1</v>
      </c>
      <c r="O7">
        <v>5</v>
      </c>
      <c r="P7">
        <v>17.674676000000002</v>
      </c>
      <c r="Q7">
        <v>0.23539399999999999</v>
      </c>
      <c r="R7" t="s">
        <v>22</v>
      </c>
      <c r="U7" t="s">
        <v>107</v>
      </c>
      <c r="V7" t="s">
        <v>24</v>
      </c>
      <c r="W7" t="s">
        <v>21</v>
      </c>
      <c r="X7">
        <v>1</v>
      </c>
      <c r="Y7">
        <v>5</v>
      </c>
      <c r="Z7">
        <v>39.521869000000002</v>
      </c>
      <c r="AA7">
        <v>1.534343</v>
      </c>
      <c r="AB7" t="s">
        <v>22</v>
      </c>
    </row>
    <row r="8" spans="1:28" x14ac:dyDescent="0.2">
      <c r="A8" t="s">
        <v>16</v>
      </c>
      <c r="B8" t="s">
        <v>39</v>
      </c>
      <c r="C8" t="s">
        <v>21</v>
      </c>
      <c r="D8">
        <v>1</v>
      </c>
      <c r="E8">
        <v>5</v>
      </c>
      <c r="F8">
        <v>2.7550000000000001E-3</v>
      </c>
      <c r="G8">
        <v>2.8379999999999998E-3</v>
      </c>
      <c r="H8" t="s">
        <v>22</v>
      </c>
      <c r="K8" t="s">
        <v>16</v>
      </c>
      <c r="L8" t="s">
        <v>26</v>
      </c>
      <c r="M8" t="s">
        <v>21</v>
      </c>
      <c r="N8">
        <v>1</v>
      </c>
      <c r="O8">
        <v>5</v>
      </c>
      <c r="P8">
        <v>0.57808099999999996</v>
      </c>
      <c r="Q8">
        <v>0.101012</v>
      </c>
      <c r="R8" t="s">
        <v>22</v>
      </c>
      <c r="U8" t="s">
        <v>107</v>
      </c>
      <c r="V8" t="s">
        <v>28</v>
      </c>
      <c r="W8" t="s">
        <v>21</v>
      </c>
      <c r="X8">
        <v>1</v>
      </c>
      <c r="Y8">
        <v>5</v>
      </c>
      <c r="Z8">
        <v>3.5411999999999999E-2</v>
      </c>
      <c r="AA8">
        <v>9.5090000000000001E-3</v>
      </c>
      <c r="AB8" t="s">
        <v>22</v>
      </c>
    </row>
    <row r="9" spans="1:28" x14ac:dyDescent="0.2">
      <c r="A9" t="s">
        <v>16</v>
      </c>
      <c r="B9" t="s">
        <v>41</v>
      </c>
      <c r="C9" t="s">
        <v>21</v>
      </c>
      <c r="D9">
        <v>1</v>
      </c>
      <c r="E9">
        <v>5</v>
      </c>
      <c r="F9">
        <v>1.9889999999999999E-3</v>
      </c>
      <c r="G9">
        <v>1.5039999999999999E-3</v>
      </c>
      <c r="H9" t="s">
        <v>22</v>
      </c>
      <c r="K9" t="s">
        <v>16</v>
      </c>
      <c r="L9" t="s">
        <v>30</v>
      </c>
      <c r="M9" t="s">
        <v>21</v>
      </c>
      <c r="N9">
        <v>1</v>
      </c>
      <c r="O9">
        <v>5</v>
      </c>
      <c r="P9">
        <v>0.332675</v>
      </c>
      <c r="Q9">
        <v>1.4732E-2</v>
      </c>
      <c r="R9" t="s">
        <v>22</v>
      </c>
      <c r="U9" t="s">
        <v>107</v>
      </c>
      <c r="V9" t="s">
        <v>32</v>
      </c>
      <c r="W9" t="s">
        <v>21</v>
      </c>
      <c r="X9">
        <v>1</v>
      </c>
      <c r="Y9">
        <v>5</v>
      </c>
      <c r="Z9">
        <v>0.172121</v>
      </c>
      <c r="AA9">
        <v>2.6742999999999999E-2</v>
      </c>
      <c r="AB9" t="s">
        <v>22</v>
      </c>
    </row>
    <row r="10" spans="1:28" x14ac:dyDescent="0.2">
      <c r="A10" t="s">
        <v>16</v>
      </c>
      <c r="B10" t="s">
        <v>43</v>
      </c>
      <c r="C10" t="s">
        <v>21</v>
      </c>
      <c r="D10">
        <v>1</v>
      </c>
      <c r="E10">
        <v>5</v>
      </c>
      <c r="F10">
        <v>4.0720000000000001E-3</v>
      </c>
      <c r="G10">
        <v>3.2560000000000002E-3</v>
      </c>
      <c r="H10" t="s">
        <v>22</v>
      </c>
      <c r="K10" t="s">
        <v>107</v>
      </c>
      <c r="L10" t="s">
        <v>24</v>
      </c>
      <c r="M10" t="s">
        <v>21</v>
      </c>
      <c r="N10">
        <v>1</v>
      </c>
      <c r="O10">
        <v>5</v>
      </c>
      <c r="P10">
        <v>0.213615</v>
      </c>
      <c r="Q10">
        <v>3.2332E-2</v>
      </c>
      <c r="R10" t="s">
        <v>22</v>
      </c>
      <c r="U10" t="s">
        <v>107</v>
      </c>
      <c r="V10" t="s">
        <v>34</v>
      </c>
      <c r="W10" t="s">
        <v>21</v>
      </c>
      <c r="X10">
        <v>1</v>
      </c>
      <c r="Y10">
        <v>5</v>
      </c>
      <c r="Z10">
        <v>1.1151880000000001</v>
      </c>
      <c r="AA10">
        <v>0.11033999999999999</v>
      </c>
      <c r="AB10" t="s">
        <v>22</v>
      </c>
    </row>
    <row r="11" spans="1:28" x14ac:dyDescent="0.2">
      <c r="A11" t="s">
        <v>16</v>
      </c>
      <c r="B11" t="s">
        <v>46</v>
      </c>
      <c r="C11" t="s">
        <v>21</v>
      </c>
      <c r="D11">
        <v>1</v>
      </c>
      <c r="E11">
        <v>5</v>
      </c>
      <c r="F11">
        <v>2.519E-3</v>
      </c>
      <c r="G11">
        <v>1.1820000000000001E-3</v>
      </c>
      <c r="H11" t="s">
        <v>22</v>
      </c>
      <c r="K11" t="s">
        <v>107</v>
      </c>
      <c r="L11" t="s">
        <v>28</v>
      </c>
      <c r="M11" t="s">
        <v>21</v>
      </c>
      <c r="N11">
        <v>1</v>
      </c>
      <c r="O11">
        <v>5</v>
      </c>
      <c r="P11">
        <v>1.6421000000000002E-2</v>
      </c>
      <c r="Q11">
        <v>7.9810000000000002E-3</v>
      </c>
      <c r="R11" t="s">
        <v>22</v>
      </c>
      <c r="U11" t="s">
        <v>107</v>
      </c>
      <c r="V11" t="s">
        <v>36</v>
      </c>
      <c r="W11" t="s">
        <v>21</v>
      </c>
      <c r="X11">
        <v>1</v>
      </c>
      <c r="Y11">
        <v>5</v>
      </c>
      <c r="Z11">
        <v>1.9702000000000001E-2</v>
      </c>
      <c r="AA11">
        <v>1.3256E-2</v>
      </c>
      <c r="AB11" t="s">
        <v>22</v>
      </c>
    </row>
    <row r="12" spans="1:28" x14ac:dyDescent="0.2">
      <c r="A12" t="s">
        <v>16</v>
      </c>
      <c r="B12" t="s">
        <v>45</v>
      </c>
      <c r="C12" t="s">
        <v>21</v>
      </c>
      <c r="D12">
        <v>1</v>
      </c>
      <c r="E12">
        <v>5</v>
      </c>
      <c r="F12">
        <v>2.0479999999999999E-3</v>
      </c>
      <c r="G12">
        <v>1.137E-3</v>
      </c>
      <c r="H12" t="s">
        <v>22</v>
      </c>
      <c r="K12" t="s">
        <v>107</v>
      </c>
      <c r="L12" t="s">
        <v>32</v>
      </c>
      <c r="M12" t="s">
        <v>21</v>
      </c>
      <c r="N12">
        <v>1</v>
      </c>
      <c r="O12">
        <v>5</v>
      </c>
      <c r="P12">
        <v>4.5340999999999999E-2</v>
      </c>
      <c r="Q12">
        <v>1.4982000000000001E-2</v>
      </c>
      <c r="R12" t="s">
        <v>22</v>
      </c>
      <c r="U12" t="s">
        <v>107</v>
      </c>
      <c r="V12" t="s">
        <v>2</v>
      </c>
      <c r="W12" t="s">
        <v>21</v>
      </c>
      <c r="X12">
        <v>1</v>
      </c>
      <c r="Y12">
        <v>5</v>
      </c>
      <c r="Z12">
        <v>0.78751300000000002</v>
      </c>
      <c r="AA12">
        <v>7.4812000000000003E-2</v>
      </c>
      <c r="AB12" t="s">
        <v>22</v>
      </c>
    </row>
    <row r="13" spans="1:28" x14ac:dyDescent="0.2">
      <c r="A13" t="s">
        <v>16</v>
      </c>
      <c r="B13" t="s">
        <v>48</v>
      </c>
      <c r="C13" t="s">
        <v>21</v>
      </c>
      <c r="D13">
        <v>1</v>
      </c>
      <c r="E13">
        <v>5</v>
      </c>
      <c r="F13">
        <v>3.7420000000000001E-3</v>
      </c>
      <c r="G13">
        <v>2.2750000000000001E-3</v>
      </c>
      <c r="H13" t="s">
        <v>22</v>
      </c>
      <c r="K13" t="s">
        <v>107</v>
      </c>
      <c r="L13" t="s">
        <v>34</v>
      </c>
      <c r="M13" t="s">
        <v>21</v>
      </c>
      <c r="N13">
        <v>1</v>
      </c>
      <c r="O13">
        <v>5</v>
      </c>
      <c r="P13">
        <v>7.5221999999999997E-2</v>
      </c>
      <c r="Q13">
        <v>2.0247999999999999E-2</v>
      </c>
      <c r="R13" t="s">
        <v>22</v>
      </c>
      <c r="U13" t="s">
        <v>107</v>
      </c>
      <c r="V13" t="s">
        <v>39</v>
      </c>
      <c r="W13" t="s">
        <v>21</v>
      </c>
      <c r="X13">
        <v>1</v>
      </c>
      <c r="Y13">
        <v>5</v>
      </c>
      <c r="Z13">
        <v>31.570931000000002</v>
      </c>
      <c r="AA13">
        <v>2.1908020000000001</v>
      </c>
      <c r="AB13" t="s">
        <v>22</v>
      </c>
    </row>
    <row r="14" spans="1:28" x14ac:dyDescent="0.2">
      <c r="A14" t="s">
        <v>16</v>
      </c>
      <c r="B14" t="s">
        <v>51</v>
      </c>
      <c r="C14" t="s">
        <v>21</v>
      </c>
      <c r="D14">
        <v>1</v>
      </c>
      <c r="E14">
        <v>5</v>
      </c>
      <c r="F14">
        <v>2.6059999999999998E-3</v>
      </c>
      <c r="G14">
        <v>4.6700000000000002E-4</v>
      </c>
      <c r="H14" t="s">
        <v>22</v>
      </c>
      <c r="K14" t="s">
        <v>107</v>
      </c>
      <c r="L14" t="s">
        <v>36</v>
      </c>
      <c r="M14" t="s">
        <v>21</v>
      </c>
      <c r="N14">
        <v>1</v>
      </c>
      <c r="O14">
        <v>5</v>
      </c>
      <c r="P14">
        <v>1.6522999999999999E-2</v>
      </c>
      <c r="Q14">
        <v>5.561E-3</v>
      </c>
      <c r="R14" t="s">
        <v>22</v>
      </c>
      <c r="U14" t="s">
        <v>107</v>
      </c>
      <c r="V14" t="s">
        <v>41</v>
      </c>
      <c r="W14" t="s">
        <v>21</v>
      </c>
      <c r="X14">
        <v>1</v>
      </c>
      <c r="Y14">
        <v>5</v>
      </c>
      <c r="Z14">
        <v>1.2593E-2</v>
      </c>
      <c r="AA14">
        <v>8.2819999999999994E-3</v>
      </c>
      <c r="AB14" t="s">
        <v>22</v>
      </c>
    </row>
    <row r="15" spans="1:28" x14ac:dyDescent="0.2">
      <c r="A15" t="s">
        <v>16</v>
      </c>
      <c r="B15" t="s">
        <v>26</v>
      </c>
      <c r="C15" t="s">
        <v>21</v>
      </c>
      <c r="D15">
        <v>1</v>
      </c>
      <c r="E15">
        <v>5</v>
      </c>
      <c r="F15">
        <v>2.5100000000000001E-3</v>
      </c>
      <c r="G15">
        <v>8.7699999999999996E-4</v>
      </c>
      <c r="H15" t="s">
        <v>22</v>
      </c>
      <c r="K15" t="s">
        <v>107</v>
      </c>
      <c r="L15" t="s">
        <v>2</v>
      </c>
      <c r="M15" t="s">
        <v>21</v>
      </c>
      <c r="N15">
        <v>1</v>
      </c>
      <c r="O15">
        <v>5</v>
      </c>
      <c r="P15">
        <v>0.29999700000000001</v>
      </c>
      <c r="Q15">
        <v>1.5205E-2</v>
      </c>
      <c r="R15" t="s">
        <v>22</v>
      </c>
      <c r="U15" t="s">
        <v>107</v>
      </c>
      <c r="V15" t="s">
        <v>43</v>
      </c>
      <c r="W15" t="s">
        <v>21</v>
      </c>
      <c r="X15">
        <v>1</v>
      </c>
      <c r="Y15">
        <v>5</v>
      </c>
      <c r="Z15">
        <v>454.28804400000001</v>
      </c>
      <c r="AA15">
        <v>24.824615999999999</v>
      </c>
      <c r="AB15" t="s">
        <v>22</v>
      </c>
    </row>
    <row r="16" spans="1:28" x14ac:dyDescent="0.2">
      <c r="A16" t="s">
        <v>16</v>
      </c>
      <c r="B16" t="s">
        <v>30</v>
      </c>
      <c r="C16" t="s">
        <v>21</v>
      </c>
      <c r="D16">
        <v>1</v>
      </c>
      <c r="E16">
        <v>5</v>
      </c>
      <c r="F16">
        <v>1.4760000000000001E-3</v>
      </c>
      <c r="G16">
        <v>5.9999999999999995E-4</v>
      </c>
      <c r="H16" t="s">
        <v>22</v>
      </c>
      <c r="K16" t="s">
        <v>107</v>
      </c>
      <c r="L16" t="s">
        <v>39</v>
      </c>
      <c r="M16" t="s">
        <v>21</v>
      </c>
      <c r="N16">
        <v>1</v>
      </c>
      <c r="O16">
        <v>5</v>
      </c>
      <c r="P16">
        <v>1.109318</v>
      </c>
      <c r="Q16">
        <v>0.1164</v>
      </c>
      <c r="R16" t="s">
        <v>22</v>
      </c>
      <c r="U16" t="s">
        <v>107</v>
      </c>
      <c r="V16" t="s">
        <v>46</v>
      </c>
      <c r="W16" t="s">
        <v>21</v>
      </c>
      <c r="X16">
        <v>1</v>
      </c>
      <c r="Y16">
        <v>5</v>
      </c>
      <c r="Z16">
        <v>0.49288900000000002</v>
      </c>
      <c r="AA16">
        <v>4.9963E-2</v>
      </c>
      <c r="AB16" t="s">
        <v>22</v>
      </c>
    </row>
    <row r="17" spans="1:28" x14ac:dyDescent="0.2">
      <c r="A17" t="s">
        <v>16</v>
      </c>
      <c r="B17" t="s">
        <v>53</v>
      </c>
      <c r="C17" t="s">
        <v>21</v>
      </c>
      <c r="D17">
        <v>1</v>
      </c>
      <c r="E17">
        <v>5</v>
      </c>
      <c r="F17">
        <v>2.8660000000000001E-3</v>
      </c>
      <c r="G17">
        <v>1.2869999999999999E-3</v>
      </c>
      <c r="H17" t="s">
        <v>22</v>
      </c>
      <c r="K17" t="s">
        <v>107</v>
      </c>
      <c r="L17" t="s">
        <v>41</v>
      </c>
      <c r="M17" t="s">
        <v>21</v>
      </c>
      <c r="N17">
        <v>1</v>
      </c>
      <c r="O17">
        <v>5</v>
      </c>
      <c r="P17">
        <v>8.3560000000000006E-3</v>
      </c>
      <c r="Q17">
        <v>5.0419999999999996E-3</v>
      </c>
      <c r="R17" t="s">
        <v>22</v>
      </c>
      <c r="U17" t="s">
        <v>107</v>
      </c>
      <c r="V17" t="s">
        <v>45</v>
      </c>
      <c r="W17" t="s">
        <v>21</v>
      </c>
      <c r="X17">
        <v>1</v>
      </c>
      <c r="Y17">
        <v>5</v>
      </c>
      <c r="Z17">
        <v>0.38301600000000002</v>
      </c>
      <c r="AA17">
        <v>3.9407999999999999E-2</v>
      </c>
      <c r="AB17" t="s">
        <v>22</v>
      </c>
    </row>
    <row r="18" spans="1:28" x14ac:dyDescent="0.2">
      <c r="A18" t="s">
        <v>107</v>
      </c>
      <c r="B18" t="s">
        <v>24</v>
      </c>
      <c r="C18" t="s">
        <v>21</v>
      </c>
      <c r="D18">
        <v>1</v>
      </c>
      <c r="E18">
        <v>5</v>
      </c>
      <c r="F18">
        <v>5.3489999999999996E-3</v>
      </c>
      <c r="G18">
        <v>3.1120000000000002E-3</v>
      </c>
      <c r="H18" t="s">
        <v>22</v>
      </c>
      <c r="K18" t="s">
        <v>107</v>
      </c>
      <c r="L18" t="s">
        <v>43</v>
      </c>
      <c r="M18" t="s">
        <v>21</v>
      </c>
      <c r="N18">
        <v>1</v>
      </c>
      <c r="O18">
        <v>5</v>
      </c>
      <c r="P18">
        <v>178.27417199999999</v>
      </c>
      <c r="Q18">
        <v>7.189667</v>
      </c>
      <c r="R18" t="s">
        <v>22</v>
      </c>
      <c r="U18" t="s">
        <v>107</v>
      </c>
      <c r="V18" t="s">
        <v>48</v>
      </c>
      <c r="W18" t="s">
        <v>21</v>
      </c>
      <c r="X18">
        <v>1</v>
      </c>
      <c r="Y18">
        <v>5</v>
      </c>
      <c r="Z18">
        <v>0.87324100000000004</v>
      </c>
      <c r="AA18">
        <v>0.144875</v>
      </c>
      <c r="AB18" t="s">
        <v>22</v>
      </c>
    </row>
    <row r="19" spans="1:28" x14ac:dyDescent="0.2">
      <c r="A19" t="s">
        <v>107</v>
      </c>
      <c r="B19" t="s">
        <v>28</v>
      </c>
      <c r="C19" t="s">
        <v>21</v>
      </c>
      <c r="D19">
        <v>1</v>
      </c>
      <c r="E19">
        <v>5</v>
      </c>
      <c r="F19">
        <v>1.1920999999999999E-2</v>
      </c>
      <c r="G19">
        <v>4.8560000000000001E-3</v>
      </c>
      <c r="H19" t="s">
        <v>22</v>
      </c>
      <c r="K19" t="s">
        <v>107</v>
      </c>
      <c r="L19" t="s">
        <v>46</v>
      </c>
      <c r="M19" t="s">
        <v>21</v>
      </c>
      <c r="N19">
        <v>1</v>
      </c>
      <c r="O19">
        <v>5</v>
      </c>
      <c r="P19">
        <v>5.2683000000000001E-2</v>
      </c>
      <c r="Q19">
        <v>9.1809999999999999E-3</v>
      </c>
      <c r="R19" t="s">
        <v>22</v>
      </c>
      <c r="U19" t="s">
        <v>107</v>
      </c>
      <c r="V19" t="s">
        <v>51</v>
      </c>
      <c r="W19" t="s">
        <v>21</v>
      </c>
      <c r="X19">
        <v>1</v>
      </c>
      <c r="Y19">
        <v>5</v>
      </c>
      <c r="Z19">
        <v>2.4506489999999999</v>
      </c>
      <c r="AA19">
        <v>0.47071099999999999</v>
      </c>
      <c r="AB19" t="s">
        <v>22</v>
      </c>
    </row>
    <row r="20" spans="1:28" x14ac:dyDescent="0.2">
      <c r="A20" t="s">
        <v>107</v>
      </c>
      <c r="B20" t="s">
        <v>32</v>
      </c>
      <c r="C20" t="s">
        <v>21</v>
      </c>
      <c r="D20">
        <v>1</v>
      </c>
      <c r="E20">
        <v>5</v>
      </c>
      <c r="F20">
        <v>1.1039E-2</v>
      </c>
      <c r="G20">
        <v>7.1729999999999997E-3</v>
      </c>
      <c r="H20" t="s">
        <v>22</v>
      </c>
      <c r="K20" t="s">
        <v>107</v>
      </c>
      <c r="L20" t="s">
        <v>45</v>
      </c>
      <c r="M20" t="s">
        <v>21</v>
      </c>
      <c r="N20">
        <v>1</v>
      </c>
      <c r="O20">
        <v>5</v>
      </c>
      <c r="P20">
        <v>7.4971999999999997E-2</v>
      </c>
      <c r="Q20">
        <v>1.4522999999999999E-2</v>
      </c>
      <c r="R20" t="s">
        <v>22</v>
      </c>
      <c r="U20" t="s">
        <v>107</v>
      </c>
      <c r="V20" t="s">
        <v>26</v>
      </c>
      <c r="W20" t="s">
        <v>21</v>
      </c>
      <c r="X20">
        <v>1</v>
      </c>
      <c r="Y20">
        <v>5</v>
      </c>
      <c r="Z20">
        <v>0.166826</v>
      </c>
      <c r="AA20">
        <v>2.3425999999999999E-2</v>
      </c>
      <c r="AB20" t="s">
        <v>22</v>
      </c>
    </row>
    <row r="21" spans="1:28" x14ac:dyDescent="0.2">
      <c r="A21" t="s">
        <v>107</v>
      </c>
      <c r="B21" t="s">
        <v>34</v>
      </c>
      <c r="C21" t="s">
        <v>21</v>
      </c>
      <c r="D21">
        <v>1</v>
      </c>
      <c r="E21">
        <v>5</v>
      </c>
      <c r="F21">
        <v>8.5599999999999999E-3</v>
      </c>
      <c r="G21">
        <v>5.3109999999999997E-3</v>
      </c>
      <c r="H21" t="s">
        <v>22</v>
      </c>
      <c r="K21" t="s">
        <v>107</v>
      </c>
      <c r="L21" t="s">
        <v>48</v>
      </c>
      <c r="M21" t="s">
        <v>21</v>
      </c>
      <c r="N21">
        <v>1</v>
      </c>
      <c r="O21">
        <v>5</v>
      </c>
      <c r="P21">
        <v>8.8609999999999994E-2</v>
      </c>
      <c r="Q21">
        <v>1.4751E-2</v>
      </c>
      <c r="R21" t="s">
        <v>22</v>
      </c>
      <c r="U21" t="s">
        <v>107</v>
      </c>
      <c r="V21" t="s">
        <v>30</v>
      </c>
      <c r="W21" t="s">
        <v>21</v>
      </c>
      <c r="X21">
        <v>1</v>
      </c>
      <c r="Y21">
        <v>5</v>
      </c>
      <c r="Z21">
        <v>6.2243E-2</v>
      </c>
      <c r="AA21">
        <v>8.5240000000000003E-3</v>
      </c>
      <c r="AB21" t="s">
        <v>22</v>
      </c>
    </row>
    <row r="22" spans="1:28" x14ac:dyDescent="0.2">
      <c r="A22" t="s">
        <v>107</v>
      </c>
      <c r="B22" t="s">
        <v>36</v>
      </c>
      <c r="C22" t="s">
        <v>21</v>
      </c>
      <c r="D22">
        <v>1</v>
      </c>
      <c r="E22">
        <v>5</v>
      </c>
      <c r="F22">
        <v>2.4934000000000001E-2</v>
      </c>
      <c r="G22">
        <v>9.9260000000000008E-3</v>
      </c>
      <c r="H22" t="s">
        <v>22</v>
      </c>
      <c r="K22" t="s">
        <v>107</v>
      </c>
      <c r="L22" t="s">
        <v>51</v>
      </c>
      <c r="M22" t="s">
        <v>21</v>
      </c>
      <c r="N22">
        <v>1</v>
      </c>
      <c r="O22">
        <v>5</v>
      </c>
      <c r="P22">
        <v>4.7639000000000001E-2</v>
      </c>
      <c r="Q22">
        <v>8.2050000000000005E-3</v>
      </c>
      <c r="R22" t="s">
        <v>22</v>
      </c>
      <c r="U22" t="s">
        <v>107</v>
      </c>
      <c r="V22" t="s">
        <v>53</v>
      </c>
      <c r="W22" t="s">
        <v>21</v>
      </c>
      <c r="X22">
        <v>1</v>
      </c>
      <c r="Y22">
        <v>5</v>
      </c>
      <c r="Z22">
        <v>1.3558479999999999</v>
      </c>
      <c r="AA22">
        <v>0.179258</v>
      </c>
      <c r="AB22" t="s">
        <v>22</v>
      </c>
    </row>
    <row r="23" spans="1:28" x14ac:dyDescent="0.2">
      <c r="A23" t="s">
        <v>107</v>
      </c>
      <c r="B23" t="s">
        <v>2</v>
      </c>
      <c r="C23" t="s">
        <v>21</v>
      </c>
      <c r="D23">
        <v>1</v>
      </c>
      <c r="E23">
        <v>5</v>
      </c>
      <c r="F23">
        <v>9.2339999999999992E-3</v>
      </c>
      <c r="G23">
        <v>5.463E-3</v>
      </c>
      <c r="H23" t="s">
        <v>22</v>
      </c>
      <c r="K23" t="s">
        <v>107</v>
      </c>
      <c r="L23" t="s">
        <v>26</v>
      </c>
      <c r="M23" t="s">
        <v>21</v>
      </c>
      <c r="N23">
        <v>1</v>
      </c>
      <c r="O23">
        <v>5</v>
      </c>
      <c r="P23">
        <v>2.5665E-2</v>
      </c>
      <c r="Q23">
        <v>6.9569999999999996E-3</v>
      </c>
      <c r="R23" t="s">
        <v>22</v>
      </c>
      <c r="U23" t="s">
        <v>15</v>
      </c>
      <c r="V23" t="s">
        <v>28</v>
      </c>
      <c r="W23" t="s">
        <v>21</v>
      </c>
      <c r="X23">
        <v>1</v>
      </c>
      <c r="Y23">
        <v>5</v>
      </c>
      <c r="Z23">
        <v>0.22487099999999999</v>
      </c>
      <c r="AA23">
        <v>1.9980000000000001E-2</v>
      </c>
      <c r="AB23" t="s">
        <v>22</v>
      </c>
    </row>
    <row r="24" spans="1:28" x14ac:dyDescent="0.2">
      <c r="A24" t="s">
        <v>107</v>
      </c>
      <c r="B24" t="s">
        <v>39</v>
      </c>
      <c r="C24" t="s">
        <v>21</v>
      </c>
      <c r="D24">
        <v>1</v>
      </c>
      <c r="E24">
        <v>5</v>
      </c>
      <c r="F24">
        <v>1.8013999999999999E-2</v>
      </c>
      <c r="G24">
        <v>6.6829999999999997E-3</v>
      </c>
      <c r="H24" t="s">
        <v>22</v>
      </c>
      <c r="K24" t="s">
        <v>107</v>
      </c>
      <c r="L24" t="s">
        <v>30</v>
      </c>
      <c r="M24" t="s">
        <v>21</v>
      </c>
      <c r="N24">
        <v>1</v>
      </c>
      <c r="O24">
        <v>5</v>
      </c>
      <c r="P24">
        <v>1.7423999999999999E-2</v>
      </c>
      <c r="Q24">
        <v>7.4130000000000003E-3</v>
      </c>
      <c r="R24" t="s">
        <v>22</v>
      </c>
      <c r="U24" t="s">
        <v>15</v>
      </c>
      <c r="V24" t="s">
        <v>32</v>
      </c>
      <c r="W24" t="s">
        <v>21</v>
      </c>
      <c r="X24">
        <v>1</v>
      </c>
      <c r="Y24">
        <v>5</v>
      </c>
      <c r="Z24">
        <v>0.669624</v>
      </c>
      <c r="AA24">
        <v>0.15983900000000001</v>
      </c>
      <c r="AB24" t="s">
        <v>22</v>
      </c>
    </row>
    <row r="25" spans="1:28" x14ac:dyDescent="0.2">
      <c r="A25" t="s">
        <v>107</v>
      </c>
      <c r="B25" t="s">
        <v>41</v>
      </c>
      <c r="C25" t="s">
        <v>21</v>
      </c>
      <c r="D25">
        <v>1</v>
      </c>
      <c r="E25">
        <v>5</v>
      </c>
      <c r="F25">
        <v>5.2269999999999999E-3</v>
      </c>
      <c r="G25">
        <v>2.9989999999999999E-3</v>
      </c>
      <c r="H25" t="s">
        <v>22</v>
      </c>
      <c r="K25" t="s">
        <v>107</v>
      </c>
      <c r="L25" t="s">
        <v>53</v>
      </c>
      <c r="M25" t="s">
        <v>21</v>
      </c>
      <c r="N25">
        <v>1</v>
      </c>
      <c r="O25">
        <v>5</v>
      </c>
      <c r="P25">
        <v>0.123728</v>
      </c>
      <c r="Q25">
        <v>1.1287E-2</v>
      </c>
      <c r="R25" t="s">
        <v>22</v>
      </c>
      <c r="U25" t="s">
        <v>15</v>
      </c>
      <c r="V25" t="s">
        <v>34</v>
      </c>
      <c r="W25" t="s">
        <v>21</v>
      </c>
      <c r="X25">
        <v>1</v>
      </c>
      <c r="Y25">
        <v>5</v>
      </c>
      <c r="Z25">
        <v>14.777259000000001</v>
      </c>
      <c r="AA25">
        <v>3.0322990000000001</v>
      </c>
      <c r="AB25" t="s">
        <v>22</v>
      </c>
    </row>
    <row r="26" spans="1:28" x14ac:dyDescent="0.2">
      <c r="A26" t="s">
        <v>107</v>
      </c>
      <c r="B26" t="s">
        <v>43</v>
      </c>
      <c r="C26" t="s">
        <v>21</v>
      </c>
      <c r="D26">
        <v>1</v>
      </c>
      <c r="E26">
        <v>5</v>
      </c>
      <c r="F26">
        <v>8.5550000000000001E-3</v>
      </c>
      <c r="G26">
        <v>2.8600000000000001E-3</v>
      </c>
      <c r="H26" t="s">
        <v>22</v>
      </c>
      <c r="K26" t="s">
        <v>15</v>
      </c>
      <c r="L26" t="s">
        <v>24</v>
      </c>
      <c r="M26" t="s">
        <v>21</v>
      </c>
      <c r="N26">
        <v>1</v>
      </c>
      <c r="O26">
        <v>5</v>
      </c>
      <c r="P26">
        <v>0.42259600000000003</v>
      </c>
      <c r="Q26">
        <v>3.4178E-2</v>
      </c>
      <c r="R26" t="s">
        <v>22</v>
      </c>
      <c r="U26" t="s">
        <v>15</v>
      </c>
      <c r="V26" t="s">
        <v>36</v>
      </c>
      <c r="W26" t="s">
        <v>21</v>
      </c>
      <c r="X26">
        <v>1</v>
      </c>
      <c r="Y26">
        <v>5</v>
      </c>
      <c r="Z26">
        <v>5.9309000000000001E-2</v>
      </c>
      <c r="AA26">
        <v>4.2519999999999997E-3</v>
      </c>
      <c r="AB26" t="s">
        <v>22</v>
      </c>
    </row>
    <row r="27" spans="1:28" x14ac:dyDescent="0.2">
      <c r="A27" t="s">
        <v>107</v>
      </c>
      <c r="B27" t="s">
        <v>46</v>
      </c>
      <c r="C27" t="s">
        <v>21</v>
      </c>
      <c r="D27">
        <v>1</v>
      </c>
      <c r="E27">
        <v>5</v>
      </c>
      <c r="F27">
        <v>1.2097999999999999E-2</v>
      </c>
      <c r="G27">
        <v>7.2750000000000002E-3</v>
      </c>
      <c r="H27" t="s">
        <v>22</v>
      </c>
      <c r="K27" t="s">
        <v>15</v>
      </c>
      <c r="L27" t="s">
        <v>28</v>
      </c>
      <c r="M27" t="s">
        <v>21</v>
      </c>
      <c r="N27">
        <v>1</v>
      </c>
      <c r="O27">
        <v>5</v>
      </c>
      <c r="P27">
        <v>8.6501999999999996E-2</v>
      </c>
      <c r="Q27">
        <v>1.3379E-2</v>
      </c>
      <c r="R27" t="s">
        <v>22</v>
      </c>
      <c r="U27" t="s">
        <v>15</v>
      </c>
      <c r="V27" t="s">
        <v>2</v>
      </c>
      <c r="W27" t="s">
        <v>21</v>
      </c>
      <c r="X27">
        <v>1</v>
      </c>
      <c r="Y27">
        <v>5</v>
      </c>
      <c r="Z27">
        <v>1.0160309999999999</v>
      </c>
      <c r="AA27">
        <v>7.1665999999999994E-2</v>
      </c>
      <c r="AB27" t="s">
        <v>22</v>
      </c>
    </row>
    <row r="28" spans="1:28" x14ac:dyDescent="0.2">
      <c r="A28" t="s">
        <v>107</v>
      </c>
      <c r="B28" t="s">
        <v>45</v>
      </c>
      <c r="C28" t="s">
        <v>21</v>
      </c>
      <c r="D28">
        <v>1</v>
      </c>
      <c r="E28">
        <v>5</v>
      </c>
      <c r="F28">
        <v>9.5499999999999995E-3</v>
      </c>
      <c r="G28">
        <v>5.7829999999999999E-3</v>
      </c>
      <c r="H28" t="s">
        <v>22</v>
      </c>
      <c r="K28" t="s">
        <v>15</v>
      </c>
      <c r="L28" t="s">
        <v>32</v>
      </c>
      <c r="M28" t="s">
        <v>21</v>
      </c>
      <c r="N28">
        <v>1</v>
      </c>
      <c r="O28">
        <v>5</v>
      </c>
      <c r="P28">
        <v>0.187528</v>
      </c>
      <c r="Q28">
        <v>1.4536E-2</v>
      </c>
      <c r="R28" t="s">
        <v>22</v>
      </c>
      <c r="U28" t="s">
        <v>15</v>
      </c>
      <c r="V28" t="s">
        <v>39</v>
      </c>
      <c r="W28" t="s">
        <v>21</v>
      </c>
      <c r="X28">
        <v>1</v>
      </c>
      <c r="Y28">
        <v>5</v>
      </c>
      <c r="Z28">
        <v>318.531181</v>
      </c>
      <c r="AA28">
        <v>23.956686000000001</v>
      </c>
      <c r="AB28" t="s">
        <v>22</v>
      </c>
    </row>
    <row r="29" spans="1:28" x14ac:dyDescent="0.2">
      <c r="A29" t="s">
        <v>107</v>
      </c>
      <c r="B29" t="s">
        <v>48</v>
      </c>
      <c r="C29" t="s">
        <v>21</v>
      </c>
      <c r="D29">
        <v>1</v>
      </c>
      <c r="E29">
        <v>5</v>
      </c>
      <c r="F29">
        <v>9.8010000000000007E-3</v>
      </c>
      <c r="G29">
        <v>7.7479999999999997E-3</v>
      </c>
      <c r="H29" t="s">
        <v>22</v>
      </c>
      <c r="K29" t="s">
        <v>15</v>
      </c>
      <c r="L29" t="s">
        <v>34</v>
      </c>
      <c r="M29" t="s">
        <v>21</v>
      </c>
      <c r="N29">
        <v>1</v>
      </c>
      <c r="O29">
        <v>5</v>
      </c>
      <c r="P29">
        <v>0.56497600000000003</v>
      </c>
      <c r="Q29">
        <v>1.7454999999999998E-2</v>
      </c>
      <c r="R29" t="s">
        <v>22</v>
      </c>
      <c r="U29" t="s">
        <v>15</v>
      </c>
      <c r="V29" t="s">
        <v>41</v>
      </c>
      <c r="W29" t="s">
        <v>21</v>
      </c>
      <c r="X29">
        <v>1</v>
      </c>
      <c r="Y29">
        <v>5</v>
      </c>
      <c r="Z29">
        <v>0.12911900000000001</v>
      </c>
      <c r="AA29">
        <v>1.3450999999999999E-2</v>
      </c>
      <c r="AB29" t="s">
        <v>22</v>
      </c>
    </row>
    <row r="30" spans="1:28" x14ac:dyDescent="0.2">
      <c r="A30" t="s">
        <v>107</v>
      </c>
      <c r="B30" t="s">
        <v>51</v>
      </c>
      <c r="C30" t="s">
        <v>21</v>
      </c>
      <c r="D30">
        <v>1</v>
      </c>
      <c r="E30">
        <v>5</v>
      </c>
      <c r="F30">
        <v>1.2428E-2</v>
      </c>
      <c r="G30">
        <v>8.0409999999999995E-3</v>
      </c>
      <c r="H30" t="s">
        <v>22</v>
      </c>
      <c r="K30" t="s">
        <v>15</v>
      </c>
      <c r="L30" t="s">
        <v>36</v>
      </c>
      <c r="M30" t="s">
        <v>21</v>
      </c>
      <c r="N30">
        <v>1</v>
      </c>
      <c r="O30">
        <v>5</v>
      </c>
      <c r="P30">
        <v>5.4288999999999997E-2</v>
      </c>
      <c r="Q30">
        <v>5.3010000000000002E-3</v>
      </c>
      <c r="R30" t="s">
        <v>22</v>
      </c>
      <c r="U30" t="s">
        <v>15</v>
      </c>
      <c r="V30" t="s">
        <v>45</v>
      </c>
      <c r="W30" t="s">
        <v>21</v>
      </c>
      <c r="X30">
        <v>1</v>
      </c>
      <c r="Y30">
        <v>5</v>
      </c>
      <c r="Z30">
        <v>0.74385100000000004</v>
      </c>
      <c r="AA30">
        <v>0.18567900000000001</v>
      </c>
      <c r="AB30" t="s">
        <v>22</v>
      </c>
    </row>
    <row r="31" spans="1:28" x14ac:dyDescent="0.2">
      <c r="A31" t="s">
        <v>107</v>
      </c>
      <c r="B31" t="s">
        <v>26</v>
      </c>
      <c r="C31" t="s">
        <v>21</v>
      </c>
      <c r="D31">
        <v>1</v>
      </c>
      <c r="E31">
        <v>5</v>
      </c>
      <c r="F31">
        <v>8.6239999999999997E-3</v>
      </c>
      <c r="G31">
        <v>6.8219999999999999E-3</v>
      </c>
      <c r="H31" t="s">
        <v>22</v>
      </c>
      <c r="K31" t="s">
        <v>15</v>
      </c>
      <c r="L31" t="s">
        <v>2</v>
      </c>
      <c r="M31" t="s">
        <v>21</v>
      </c>
      <c r="N31">
        <v>1</v>
      </c>
      <c r="O31">
        <v>5</v>
      </c>
      <c r="P31">
        <v>0.76590000000000003</v>
      </c>
      <c r="Q31">
        <v>4.6831999999999999E-2</v>
      </c>
      <c r="R31" t="s">
        <v>22</v>
      </c>
      <c r="U31" t="s">
        <v>15</v>
      </c>
      <c r="V31" t="s">
        <v>48</v>
      </c>
      <c r="W31" t="s">
        <v>21</v>
      </c>
      <c r="X31">
        <v>1</v>
      </c>
      <c r="Y31">
        <v>5</v>
      </c>
      <c r="Z31">
        <v>4.7958179999999997</v>
      </c>
      <c r="AA31">
        <v>0.51678800000000003</v>
      </c>
      <c r="AB31" t="s">
        <v>22</v>
      </c>
    </row>
    <row r="32" spans="1:28" x14ac:dyDescent="0.2">
      <c r="A32" t="s">
        <v>107</v>
      </c>
      <c r="B32" t="s">
        <v>30</v>
      </c>
      <c r="C32" t="s">
        <v>21</v>
      </c>
      <c r="D32">
        <v>1</v>
      </c>
      <c r="E32">
        <v>5</v>
      </c>
      <c r="F32">
        <v>4.9890000000000004E-3</v>
      </c>
      <c r="G32">
        <v>2.7729999999999999E-3</v>
      </c>
      <c r="H32" t="s">
        <v>22</v>
      </c>
      <c r="K32" t="s">
        <v>15</v>
      </c>
      <c r="L32" t="s">
        <v>39</v>
      </c>
      <c r="M32" t="s">
        <v>21</v>
      </c>
      <c r="N32">
        <v>1</v>
      </c>
      <c r="O32">
        <v>5</v>
      </c>
      <c r="P32">
        <v>5.7115309999999999</v>
      </c>
      <c r="Q32">
        <v>0.33422800000000003</v>
      </c>
      <c r="R32" t="s">
        <v>22</v>
      </c>
      <c r="U32" t="s">
        <v>15</v>
      </c>
      <c r="V32" t="s">
        <v>26</v>
      </c>
      <c r="W32" t="s">
        <v>21</v>
      </c>
      <c r="X32">
        <v>1</v>
      </c>
      <c r="Y32">
        <v>5</v>
      </c>
      <c r="Z32">
        <v>1.7730919999999999</v>
      </c>
      <c r="AA32">
        <v>0.24601400000000001</v>
      </c>
      <c r="AB32" t="s">
        <v>22</v>
      </c>
    </row>
    <row r="33" spans="1:28" x14ac:dyDescent="0.2">
      <c r="A33" t="s">
        <v>107</v>
      </c>
      <c r="B33" t="s">
        <v>53</v>
      </c>
      <c r="C33" t="s">
        <v>21</v>
      </c>
      <c r="D33">
        <v>1</v>
      </c>
      <c r="E33">
        <v>5</v>
      </c>
      <c r="F33">
        <v>8.2719999999999998E-3</v>
      </c>
      <c r="G33">
        <v>3.313E-3</v>
      </c>
      <c r="H33" t="s">
        <v>22</v>
      </c>
      <c r="K33" t="s">
        <v>15</v>
      </c>
      <c r="L33" t="s">
        <v>41</v>
      </c>
      <c r="M33" t="s">
        <v>21</v>
      </c>
      <c r="N33">
        <v>1</v>
      </c>
      <c r="O33">
        <v>5</v>
      </c>
      <c r="P33">
        <v>5.8332000000000002E-2</v>
      </c>
      <c r="Q33">
        <v>1.5427E-2</v>
      </c>
      <c r="R33" t="s">
        <v>22</v>
      </c>
      <c r="U33" t="s">
        <v>15</v>
      </c>
      <c r="V33" t="s">
        <v>30</v>
      </c>
      <c r="W33" t="s">
        <v>21</v>
      </c>
      <c r="X33">
        <v>1</v>
      </c>
      <c r="Y33">
        <v>5</v>
      </c>
      <c r="Z33">
        <v>0.25033899999999998</v>
      </c>
      <c r="AA33">
        <v>3.5459999999999998E-2</v>
      </c>
      <c r="AB33" t="s">
        <v>22</v>
      </c>
    </row>
    <row r="34" spans="1:28" x14ac:dyDescent="0.2">
      <c r="A34" t="s">
        <v>15</v>
      </c>
      <c r="B34" t="s">
        <v>24</v>
      </c>
      <c r="C34" t="s">
        <v>21</v>
      </c>
      <c r="D34">
        <v>1</v>
      </c>
      <c r="E34">
        <v>5</v>
      </c>
      <c r="F34">
        <v>4.6814000000000001E-2</v>
      </c>
      <c r="G34">
        <v>1.3365E-2</v>
      </c>
      <c r="H34" t="s">
        <v>22</v>
      </c>
      <c r="K34" t="s">
        <v>15</v>
      </c>
      <c r="L34" t="s">
        <v>46</v>
      </c>
      <c r="M34" t="s">
        <v>21</v>
      </c>
      <c r="N34">
        <v>1</v>
      </c>
      <c r="O34">
        <v>5</v>
      </c>
      <c r="P34">
        <v>0.83453699999999997</v>
      </c>
      <c r="Q34">
        <v>0.104989</v>
      </c>
      <c r="R34" t="s">
        <v>22</v>
      </c>
      <c r="U34" t="s">
        <v>15</v>
      </c>
      <c r="V34" t="s">
        <v>53</v>
      </c>
      <c r="W34" t="s">
        <v>21</v>
      </c>
      <c r="X34">
        <v>1</v>
      </c>
      <c r="Y34">
        <v>5</v>
      </c>
      <c r="Z34">
        <v>9.9756239999999998</v>
      </c>
      <c r="AA34">
        <v>1.7068840000000001</v>
      </c>
      <c r="AB34" t="s">
        <v>22</v>
      </c>
    </row>
    <row r="35" spans="1:28" x14ac:dyDescent="0.2">
      <c r="A35" t="s">
        <v>15</v>
      </c>
      <c r="B35" t="s">
        <v>28</v>
      </c>
      <c r="C35" t="s">
        <v>21</v>
      </c>
      <c r="D35">
        <v>1</v>
      </c>
      <c r="E35">
        <v>5</v>
      </c>
      <c r="F35">
        <v>5.4882E-2</v>
      </c>
      <c r="G35">
        <v>2.1817E-2</v>
      </c>
      <c r="H35" t="s">
        <v>22</v>
      </c>
      <c r="K35" t="s">
        <v>15</v>
      </c>
      <c r="L35" t="s">
        <v>45</v>
      </c>
      <c r="M35" t="s">
        <v>21</v>
      </c>
      <c r="N35">
        <v>1</v>
      </c>
      <c r="O35">
        <v>5</v>
      </c>
      <c r="P35">
        <v>0.39185500000000001</v>
      </c>
      <c r="Q35">
        <v>6.9461999999999996E-2</v>
      </c>
      <c r="R35" t="s">
        <v>22</v>
      </c>
      <c r="U35" t="s">
        <v>14</v>
      </c>
      <c r="V35" t="s">
        <v>24</v>
      </c>
      <c r="W35" t="s">
        <v>21</v>
      </c>
      <c r="X35">
        <v>1</v>
      </c>
      <c r="Y35">
        <v>5</v>
      </c>
      <c r="Z35">
        <v>39.469213000000003</v>
      </c>
      <c r="AA35">
        <v>0.86114100000000005</v>
      </c>
      <c r="AB35" t="s">
        <v>22</v>
      </c>
    </row>
    <row r="36" spans="1:28" x14ac:dyDescent="0.2">
      <c r="A36" t="s">
        <v>15</v>
      </c>
      <c r="B36" t="s">
        <v>32</v>
      </c>
      <c r="C36" t="s">
        <v>21</v>
      </c>
      <c r="D36">
        <v>1</v>
      </c>
      <c r="E36">
        <v>5</v>
      </c>
      <c r="F36">
        <v>4.3912E-2</v>
      </c>
      <c r="G36">
        <v>1.1979E-2</v>
      </c>
      <c r="H36" t="s">
        <v>22</v>
      </c>
      <c r="K36" t="s">
        <v>15</v>
      </c>
      <c r="L36" t="s">
        <v>48</v>
      </c>
      <c r="M36" t="s">
        <v>21</v>
      </c>
      <c r="N36">
        <v>1</v>
      </c>
      <c r="O36">
        <v>5</v>
      </c>
      <c r="P36">
        <v>0.953685</v>
      </c>
      <c r="Q36">
        <v>6.2190000000000002E-2</v>
      </c>
      <c r="R36" t="s">
        <v>22</v>
      </c>
      <c r="U36" t="s">
        <v>14</v>
      </c>
      <c r="V36" t="s">
        <v>28</v>
      </c>
      <c r="W36" t="s">
        <v>21</v>
      </c>
      <c r="X36">
        <v>1</v>
      </c>
      <c r="Y36">
        <v>5</v>
      </c>
      <c r="Z36">
        <v>3.7756999999999999E-2</v>
      </c>
      <c r="AA36">
        <v>6.1029999999999999E-3</v>
      </c>
      <c r="AB36" t="s">
        <v>22</v>
      </c>
    </row>
    <row r="37" spans="1:28" x14ac:dyDescent="0.2">
      <c r="A37" t="s">
        <v>15</v>
      </c>
      <c r="B37" t="s">
        <v>34</v>
      </c>
      <c r="C37" t="s">
        <v>21</v>
      </c>
      <c r="D37">
        <v>1</v>
      </c>
      <c r="E37">
        <v>5</v>
      </c>
      <c r="F37">
        <v>3.5820999999999999E-2</v>
      </c>
      <c r="G37">
        <v>1.291E-2</v>
      </c>
      <c r="H37" t="s">
        <v>22</v>
      </c>
      <c r="K37" t="s">
        <v>15</v>
      </c>
      <c r="L37" t="s">
        <v>51</v>
      </c>
      <c r="M37" t="s">
        <v>21</v>
      </c>
      <c r="N37">
        <v>1</v>
      </c>
      <c r="O37">
        <v>5</v>
      </c>
      <c r="P37">
        <v>0.84097900000000003</v>
      </c>
      <c r="Q37">
        <v>7.0915000000000006E-2</v>
      </c>
      <c r="R37" t="s">
        <v>22</v>
      </c>
      <c r="U37" t="s">
        <v>14</v>
      </c>
      <c r="V37" t="s">
        <v>32</v>
      </c>
      <c r="W37" t="s">
        <v>21</v>
      </c>
      <c r="X37">
        <v>1</v>
      </c>
      <c r="Y37">
        <v>5</v>
      </c>
      <c r="Z37">
        <v>0.177232</v>
      </c>
      <c r="AA37">
        <v>3.7964999999999999E-2</v>
      </c>
      <c r="AB37" t="s">
        <v>22</v>
      </c>
    </row>
    <row r="38" spans="1:28" x14ac:dyDescent="0.2">
      <c r="A38" t="s">
        <v>15</v>
      </c>
      <c r="B38" t="s">
        <v>36</v>
      </c>
      <c r="C38" t="s">
        <v>21</v>
      </c>
      <c r="D38">
        <v>1</v>
      </c>
      <c r="E38">
        <v>5</v>
      </c>
      <c r="F38">
        <v>0.31134699999999998</v>
      </c>
      <c r="G38">
        <v>3.6797000000000003E-2</v>
      </c>
      <c r="H38" t="s">
        <v>22</v>
      </c>
      <c r="K38" t="s">
        <v>15</v>
      </c>
      <c r="L38" t="s">
        <v>26</v>
      </c>
      <c r="M38" t="s">
        <v>21</v>
      </c>
      <c r="N38">
        <v>1</v>
      </c>
      <c r="O38">
        <v>5</v>
      </c>
      <c r="P38">
        <v>0.152309</v>
      </c>
      <c r="Q38">
        <v>9.2919999999999999E-3</v>
      </c>
      <c r="R38" t="s">
        <v>22</v>
      </c>
      <c r="U38" t="s">
        <v>14</v>
      </c>
      <c r="V38" t="s">
        <v>34</v>
      </c>
      <c r="W38" t="s">
        <v>21</v>
      </c>
      <c r="X38">
        <v>1</v>
      </c>
      <c r="Y38">
        <v>5</v>
      </c>
      <c r="Z38">
        <v>1.1081350000000001</v>
      </c>
      <c r="AA38">
        <v>7.8641000000000003E-2</v>
      </c>
      <c r="AB38" t="s">
        <v>22</v>
      </c>
    </row>
    <row r="39" spans="1:28" x14ac:dyDescent="0.2">
      <c r="A39" t="s">
        <v>15</v>
      </c>
      <c r="B39" t="s">
        <v>2</v>
      </c>
      <c r="C39" t="s">
        <v>21</v>
      </c>
      <c r="D39">
        <v>1</v>
      </c>
      <c r="E39">
        <v>5</v>
      </c>
      <c r="F39">
        <v>7.0066000000000003E-2</v>
      </c>
      <c r="G39">
        <v>1.9456000000000001E-2</v>
      </c>
      <c r="H39" t="s">
        <v>22</v>
      </c>
      <c r="K39" t="s">
        <v>15</v>
      </c>
      <c r="L39" t="s">
        <v>30</v>
      </c>
      <c r="M39" t="s">
        <v>21</v>
      </c>
      <c r="N39">
        <v>1</v>
      </c>
      <c r="O39">
        <v>5</v>
      </c>
      <c r="P39">
        <v>7.9342999999999997E-2</v>
      </c>
      <c r="Q39">
        <v>1.7704000000000001E-2</v>
      </c>
      <c r="R39" t="s">
        <v>22</v>
      </c>
      <c r="U39" t="s">
        <v>14</v>
      </c>
      <c r="V39" t="s">
        <v>36</v>
      </c>
      <c r="W39" t="s">
        <v>21</v>
      </c>
      <c r="X39">
        <v>1</v>
      </c>
      <c r="Y39">
        <v>5</v>
      </c>
      <c r="Z39">
        <v>2.3800000000000002E-2</v>
      </c>
      <c r="AA39">
        <v>6.3540000000000003E-3</v>
      </c>
      <c r="AB39" t="s">
        <v>22</v>
      </c>
    </row>
    <row r="40" spans="1:28" x14ac:dyDescent="0.2">
      <c r="A40" t="s">
        <v>15</v>
      </c>
      <c r="B40" t="s">
        <v>39</v>
      </c>
      <c r="C40" t="s">
        <v>21</v>
      </c>
      <c r="D40">
        <v>1</v>
      </c>
      <c r="E40">
        <v>5</v>
      </c>
      <c r="F40">
        <v>0.17114599999999999</v>
      </c>
      <c r="G40">
        <v>2.3591999999999998E-2</v>
      </c>
      <c r="H40" t="s">
        <v>22</v>
      </c>
      <c r="K40" t="s">
        <v>15</v>
      </c>
      <c r="L40" t="s">
        <v>53</v>
      </c>
      <c r="M40" t="s">
        <v>21</v>
      </c>
      <c r="N40">
        <v>1</v>
      </c>
      <c r="O40">
        <v>5</v>
      </c>
      <c r="P40">
        <v>2.6106609999999999</v>
      </c>
      <c r="Q40">
        <v>0.29087299999999999</v>
      </c>
      <c r="R40" t="s">
        <v>22</v>
      </c>
      <c r="U40" t="s">
        <v>14</v>
      </c>
      <c r="V40" t="s">
        <v>2</v>
      </c>
      <c r="W40" t="s">
        <v>21</v>
      </c>
      <c r="X40">
        <v>1</v>
      </c>
      <c r="Y40">
        <v>5</v>
      </c>
      <c r="Z40">
        <v>0.83143599999999995</v>
      </c>
      <c r="AA40">
        <v>0.105878</v>
      </c>
      <c r="AB40" t="s">
        <v>22</v>
      </c>
    </row>
    <row r="41" spans="1:28" x14ac:dyDescent="0.2">
      <c r="A41" t="s">
        <v>15</v>
      </c>
      <c r="B41" t="s">
        <v>41</v>
      </c>
      <c r="C41" t="s">
        <v>21</v>
      </c>
      <c r="D41">
        <v>1</v>
      </c>
      <c r="E41">
        <v>5</v>
      </c>
      <c r="F41">
        <v>4.7777E-2</v>
      </c>
      <c r="G41">
        <v>5.8009999999999997E-3</v>
      </c>
      <c r="H41" t="s">
        <v>22</v>
      </c>
      <c r="K41" t="s">
        <v>14</v>
      </c>
      <c r="L41" t="s">
        <v>24</v>
      </c>
      <c r="M41" t="s">
        <v>21</v>
      </c>
      <c r="N41">
        <v>1</v>
      </c>
      <c r="O41">
        <v>5</v>
      </c>
      <c r="P41">
        <v>0.20930399999999999</v>
      </c>
      <c r="Q41">
        <v>5.9805999999999998E-2</v>
      </c>
      <c r="R41" t="s">
        <v>22</v>
      </c>
      <c r="U41" t="s">
        <v>14</v>
      </c>
      <c r="V41" t="s">
        <v>39</v>
      </c>
      <c r="W41" t="s">
        <v>21</v>
      </c>
      <c r="X41">
        <v>1</v>
      </c>
      <c r="Y41">
        <v>5</v>
      </c>
      <c r="Z41">
        <v>31.674879000000001</v>
      </c>
      <c r="AA41">
        <v>1.278203</v>
      </c>
      <c r="AB41" t="s">
        <v>22</v>
      </c>
    </row>
    <row r="42" spans="1:28" x14ac:dyDescent="0.2">
      <c r="A42" t="s">
        <v>15</v>
      </c>
      <c r="B42" t="s">
        <v>43</v>
      </c>
      <c r="C42" t="s">
        <v>21</v>
      </c>
      <c r="D42">
        <v>1</v>
      </c>
      <c r="E42">
        <v>5</v>
      </c>
      <c r="F42">
        <v>0.32746900000000001</v>
      </c>
      <c r="G42">
        <v>3.1792000000000001E-2</v>
      </c>
      <c r="H42" t="s">
        <v>22</v>
      </c>
      <c r="K42" t="s">
        <v>14</v>
      </c>
      <c r="L42" t="s">
        <v>28</v>
      </c>
      <c r="M42" t="s">
        <v>21</v>
      </c>
      <c r="N42">
        <v>1</v>
      </c>
      <c r="O42">
        <v>5</v>
      </c>
      <c r="P42">
        <v>2.0128E-2</v>
      </c>
      <c r="Q42">
        <v>1.0291E-2</v>
      </c>
      <c r="R42" t="s">
        <v>22</v>
      </c>
      <c r="U42" t="s">
        <v>14</v>
      </c>
      <c r="V42" t="s">
        <v>41</v>
      </c>
      <c r="W42" t="s">
        <v>21</v>
      </c>
      <c r="X42">
        <v>1</v>
      </c>
      <c r="Y42">
        <v>5</v>
      </c>
      <c r="Z42">
        <v>1.3561E-2</v>
      </c>
      <c r="AA42">
        <v>1.044E-2</v>
      </c>
      <c r="AB42" t="s">
        <v>22</v>
      </c>
    </row>
    <row r="43" spans="1:28" x14ac:dyDescent="0.2">
      <c r="A43" t="s">
        <v>15</v>
      </c>
      <c r="B43" t="s">
        <v>46</v>
      </c>
      <c r="C43" t="s">
        <v>21</v>
      </c>
      <c r="D43">
        <v>1</v>
      </c>
      <c r="E43">
        <v>5</v>
      </c>
      <c r="F43">
        <v>7.6815999999999995E-2</v>
      </c>
      <c r="G43">
        <v>1.6327999999999999E-2</v>
      </c>
      <c r="H43" t="s">
        <v>22</v>
      </c>
      <c r="K43" t="s">
        <v>14</v>
      </c>
      <c r="L43" t="s">
        <v>32</v>
      </c>
      <c r="M43" t="s">
        <v>21</v>
      </c>
      <c r="N43">
        <v>1</v>
      </c>
      <c r="O43">
        <v>5</v>
      </c>
      <c r="P43">
        <v>4.7767999999999998E-2</v>
      </c>
      <c r="Q43">
        <v>4.0740000000000004E-3</v>
      </c>
      <c r="R43" t="s">
        <v>22</v>
      </c>
      <c r="U43" t="s">
        <v>14</v>
      </c>
      <c r="V43" t="s">
        <v>43</v>
      </c>
      <c r="W43" t="s">
        <v>21</v>
      </c>
      <c r="X43">
        <v>1</v>
      </c>
      <c r="Y43">
        <v>5</v>
      </c>
      <c r="Z43">
        <v>450.077224</v>
      </c>
      <c r="AA43">
        <v>21.968309000000001</v>
      </c>
      <c r="AB43" t="s">
        <v>22</v>
      </c>
    </row>
    <row r="44" spans="1:28" x14ac:dyDescent="0.2">
      <c r="A44" t="s">
        <v>15</v>
      </c>
      <c r="B44" t="s">
        <v>45</v>
      </c>
      <c r="C44" t="s">
        <v>21</v>
      </c>
      <c r="D44">
        <v>1</v>
      </c>
      <c r="E44">
        <v>5</v>
      </c>
      <c r="F44">
        <v>3.7601000000000002E-2</v>
      </c>
      <c r="G44">
        <v>6.0330000000000002E-3</v>
      </c>
      <c r="H44" t="s">
        <v>22</v>
      </c>
      <c r="K44" t="s">
        <v>14</v>
      </c>
      <c r="L44" t="s">
        <v>34</v>
      </c>
      <c r="M44" t="s">
        <v>21</v>
      </c>
      <c r="N44">
        <v>1</v>
      </c>
      <c r="O44">
        <v>5</v>
      </c>
      <c r="P44">
        <v>8.3239999999999995E-2</v>
      </c>
      <c r="Q44">
        <v>2.8546999999999999E-2</v>
      </c>
      <c r="R44" t="s">
        <v>22</v>
      </c>
      <c r="U44" t="s">
        <v>14</v>
      </c>
      <c r="V44" t="s">
        <v>46</v>
      </c>
      <c r="W44" t="s">
        <v>21</v>
      </c>
      <c r="X44">
        <v>1</v>
      </c>
      <c r="Y44">
        <v>5</v>
      </c>
      <c r="Z44">
        <v>0.51047799999999999</v>
      </c>
      <c r="AA44">
        <v>0.11552800000000001</v>
      </c>
      <c r="AB44" t="s">
        <v>22</v>
      </c>
    </row>
    <row r="45" spans="1:28" x14ac:dyDescent="0.2">
      <c r="A45" t="s">
        <v>15</v>
      </c>
      <c r="B45" t="s">
        <v>48</v>
      </c>
      <c r="C45" t="s">
        <v>21</v>
      </c>
      <c r="D45">
        <v>1</v>
      </c>
      <c r="E45">
        <v>5</v>
      </c>
      <c r="F45">
        <v>9.8845000000000002E-2</v>
      </c>
      <c r="G45">
        <v>6.6579999999999999E-3</v>
      </c>
      <c r="H45" t="s">
        <v>22</v>
      </c>
      <c r="K45" t="s">
        <v>14</v>
      </c>
      <c r="L45" t="s">
        <v>36</v>
      </c>
      <c r="M45" t="s">
        <v>21</v>
      </c>
      <c r="N45">
        <v>1</v>
      </c>
      <c r="O45">
        <v>5</v>
      </c>
      <c r="P45">
        <v>1.9879999999999998E-2</v>
      </c>
      <c r="Q45">
        <v>1.3756000000000001E-2</v>
      </c>
      <c r="R45" t="s">
        <v>22</v>
      </c>
      <c r="U45" t="s">
        <v>14</v>
      </c>
      <c r="V45" t="s">
        <v>45</v>
      </c>
      <c r="W45" t="s">
        <v>21</v>
      </c>
      <c r="X45">
        <v>1</v>
      </c>
      <c r="Y45">
        <v>5</v>
      </c>
      <c r="Z45">
        <v>0.43233899999999997</v>
      </c>
      <c r="AA45">
        <v>5.6770000000000001E-2</v>
      </c>
      <c r="AB45" t="s">
        <v>22</v>
      </c>
    </row>
    <row r="46" spans="1:28" x14ac:dyDescent="0.2">
      <c r="A46" t="s">
        <v>15</v>
      </c>
      <c r="B46" t="s">
        <v>51</v>
      </c>
      <c r="C46" t="s">
        <v>21</v>
      </c>
      <c r="D46">
        <v>1</v>
      </c>
      <c r="E46">
        <v>5</v>
      </c>
      <c r="F46">
        <v>8.4973999999999994E-2</v>
      </c>
      <c r="G46">
        <v>1.3313999999999999E-2</v>
      </c>
      <c r="H46" t="s">
        <v>22</v>
      </c>
      <c r="K46" t="s">
        <v>14</v>
      </c>
      <c r="L46" t="s">
        <v>2</v>
      </c>
      <c r="M46" t="s">
        <v>21</v>
      </c>
      <c r="N46">
        <v>1</v>
      </c>
      <c r="O46">
        <v>5</v>
      </c>
      <c r="P46">
        <v>0.29500500000000002</v>
      </c>
      <c r="Q46">
        <v>3.0957999999999999E-2</v>
      </c>
      <c r="R46" t="s">
        <v>22</v>
      </c>
      <c r="U46" t="s">
        <v>14</v>
      </c>
      <c r="V46" t="s">
        <v>48</v>
      </c>
      <c r="W46" t="s">
        <v>21</v>
      </c>
      <c r="X46">
        <v>1</v>
      </c>
      <c r="Y46">
        <v>5</v>
      </c>
      <c r="Z46">
        <v>0.85773500000000003</v>
      </c>
      <c r="AA46">
        <v>7.3324E-2</v>
      </c>
      <c r="AB46" t="s">
        <v>22</v>
      </c>
    </row>
    <row r="47" spans="1:28" x14ac:dyDescent="0.2">
      <c r="A47" t="s">
        <v>15</v>
      </c>
      <c r="B47" t="s">
        <v>26</v>
      </c>
      <c r="C47" t="s">
        <v>21</v>
      </c>
      <c r="D47">
        <v>1</v>
      </c>
      <c r="E47">
        <v>5</v>
      </c>
      <c r="F47">
        <v>6.8136000000000002E-2</v>
      </c>
      <c r="G47">
        <v>1.5009E-2</v>
      </c>
      <c r="H47" t="s">
        <v>22</v>
      </c>
      <c r="K47" t="s">
        <v>14</v>
      </c>
      <c r="L47" t="s">
        <v>39</v>
      </c>
      <c r="M47" t="s">
        <v>21</v>
      </c>
      <c r="N47">
        <v>1</v>
      </c>
      <c r="O47">
        <v>5</v>
      </c>
      <c r="P47">
        <v>1.06881</v>
      </c>
      <c r="Q47">
        <v>0.105325</v>
      </c>
      <c r="R47" t="s">
        <v>22</v>
      </c>
      <c r="U47" t="s">
        <v>14</v>
      </c>
      <c r="V47" t="s">
        <v>51</v>
      </c>
      <c r="W47" t="s">
        <v>21</v>
      </c>
      <c r="X47">
        <v>1</v>
      </c>
      <c r="Y47">
        <v>5</v>
      </c>
      <c r="Z47">
        <v>2.5157530000000001</v>
      </c>
      <c r="AA47">
        <v>0.22528699999999999</v>
      </c>
      <c r="AB47" t="s">
        <v>22</v>
      </c>
    </row>
    <row r="48" spans="1:28" x14ac:dyDescent="0.2">
      <c r="A48" t="s">
        <v>15</v>
      </c>
      <c r="B48" t="s">
        <v>30</v>
      </c>
      <c r="C48" t="s">
        <v>21</v>
      </c>
      <c r="D48">
        <v>1</v>
      </c>
      <c r="E48">
        <v>5</v>
      </c>
      <c r="F48">
        <v>3.0762000000000001E-2</v>
      </c>
      <c r="G48">
        <v>1.3948E-2</v>
      </c>
      <c r="H48" t="s">
        <v>22</v>
      </c>
      <c r="K48" t="s">
        <v>14</v>
      </c>
      <c r="L48" t="s">
        <v>41</v>
      </c>
      <c r="M48" t="s">
        <v>21</v>
      </c>
      <c r="N48">
        <v>1</v>
      </c>
      <c r="O48">
        <v>5</v>
      </c>
      <c r="P48">
        <v>9.9919999999999991E-3</v>
      </c>
      <c r="Q48">
        <v>7.3080000000000003E-3</v>
      </c>
      <c r="R48" t="s">
        <v>22</v>
      </c>
      <c r="U48" t="s">
        <v>14</v>
      </c>
      <c r="V48" t="s">
        <v>26</v>
      </c>
      <c r="W48" t="s">
        <v>21</v>
      </c>
      <c r="X48">
        <v>1</v>
      </c>
      <c r="Y48">
        <v>5</v>
      </c>
      <c r="Z48">
        <v>0.162852</v>
      </c>
      <c r="AA48">
        <v>2.7822E-2</v>
      </c>
      <c r="AB48" t="s">
        <v>22</v>
      </c>
    </row>
    <row r="49" spans="1:28" x14ac:dyDescent="0.2">
      <c r="A49" t="s">
        <v>15</v>
      </c>
      <c r="B49" t="s">
        <v>53</v>
      </c>
      <c r="C49" t="s">
        <v>21</v>
      </c>
      <c r="D49">
        <v>1</v>
      </c>
      <c r="E49">
        <v>5</v>
      </c>
      <c r="F49">
        <v>0.15992999999999999</v>
      </c>
      <c r="G49">
        <v>1.9130999999999999E-2</v>
      </c>
      <c r="H49" t="s">
        <v>22</v>
      </c>
      <c r="K49" t="s">
        <v>14</v>
      </c>
      <c r="L49" t="s">
        <v>43</v>
      </c>
      <c r="M49" t="s">
        <v>21</v>
      </c>
      <c r="N49">
        <v>1</v>
      </c>
      <c r="O49">
        <v>5</v>
      </c>
      <c r="P49">
        <v>181.487921</v>
      </c>
      <c r="Q49">
        <v>18.844328999999998</v>
      </c>
      <c r="R49" t="s">
        <v>22</v>
      </c>
      <c r="U49" t="s">
        <v>14</v>
      </c>
      <c r="V49" t="s">
        <v>30</v>
      </c>
      <c r="W49" t="s">
        <v>21</v>
      </c>
      <c r="X49">
        <v>1</v>
      </c>
      <c r="Y49">
        <v>5</v>
      </c>
      <c r="Z49">
        <v>6.4223000000000002E-2</v>
      </c>
      <c r="AA49">
        <v>7.9719999999999999E-3</v>
      </c>
      <c r="AB49" t="s">
        <v>22</v>
      </c>
    </row>
    <row r="50" spans="1:28" x14ac:dyDescent="0.2">
      <c r="A50" t="s">
        <v>14</v>
      </c>
      <c r="B50" t="s">
        <v>24</v>
      </c>
      <c r="C50" t="s">
        <v>21</v>
      </c>
      <c r="D50">
        <v>1</v>
      </c>
      <c r="E50">
        <v>5</v>
      </c>
      <c r="F50">
        <v>7.6540000000000002E-3</v>
      </c>
      <c r="G50">
        <v>5.7939999999999997E-3</v>
      </c>
      <c r="H50" t="s">
        <v>22</v>
      </c>
      <c r="K50" t="s">
        <v>14</v>
      </c>
      <c r="L50" t="s">
        <v>46</v>
      </c>
      <c r="M50" t="s">
        <v>21</v>
      </c>
      <c r="N50">
        <v>1</v>
      </c>
      <c r="O50">
        <v>5</v>
      </c>
      <c r="P50">
        <v>5.4668000000000001E-2</v>
      </c>
      <c r="Q50">
        <v>1.1276E-2</v>
      </c>
      <c r="R50" t="s">
        <v>22</v>
      </c>
      <c r="U50" t="s">
        <v>14</v>
      </c>
      <c r="V50" t="s">
        <v>53</v>
      </c>
      <c r="W50" t="s">
        <v>21</v>
      </c>
      <c r="X50">
        <v>1</v>
      </c>
      <c r="Y50">
        <v>5</v>
      </c>
      <c r="Z50">
        <v>1.32355</v>
      </c>
      <c r="AA50">
        <v>0.12146800000000001</v>
      </c>
      <c r="AB50" t="s">
        <v>22</v>
      </c>
    </row>
    <row r="51" spans="1:28" x14ac:dyDescent="0.2">
      <c r="A51" t="s">
        <v>14</v>
      </c>
      <c r="B51" t="s">
        <v>28</v>
      </c>
      <c r="C51" t="s">
        <v>21</v>
      </c>
      <c r="D51">
        <v>1</v>
      </c>
      <c r="E51">
        <v>5</v>
      </c>
      <c r="F51">
        <v>1.3155E-2</v>
      </c>
      <c r="G51">
        <v>1.0588E-2</v>
      </c>
      <c r="H51" t="s">
        <v>22</v>
      </c>
      <c r="K51" t="s">
        <v>14</v>
      </c>
      <c r="L51" t="s">
        <v>45</v>
      </c>
      <c r="M51" t="s">
        <v>21</v>
      </c>
      <c r="N51">
        <v>1</v>
      </c>
      <c r="O51">
        <v>5</v>
      </c>
      <c r="P51">
        <v>7.6637999999999998E-2</v>
      </c>
      <c r="Q51">
        <v>1.0397E-2</v>
      </c>
      <c r="R51" t="s">
        <v>22</v>
      </c>
    </row>
    <row r="52" spans="1:28" x14ac:dyDescent="0.2">
      <c r="A52" t="s">
        <v>14</v>
      </c>
      <c r="B52" t="s">
        <v>32</v>
      </c>
      <c r="C52" t="s">
        <v>21</v>
      </c>
      <c r="D52">
        <v>1</v>
      </c>
      <c r="E52">
        <v>5</v>
      </c>
      <c r="F52">
        <v>1.2475E-2</v>
      </c>
      <c r="G52">
        <v>1.051E-2</v>
      </c>
      <c r="H52" t="s">
        <v>22</v>
      </c>
      <c r="K52" t="s">
        <v>14</v>
      </c>
      <c r="L52" t="s">
        <v>48</v>
      </c>
      <c r="M52" t="s">
        <v>21</v>
      </c>
      <c r="N52">
        <v>1</v>
      </c>
      <c r="O52">
        <v>5</v>
      </c>
      <c r="P52">
        <v>9.3256000000000006E-2</v>
      </c>
      <c r="Q52">
        <v>5.5929999999999999E-3</v>
      </c>
      <c r="R52" t="s">
        <v>22</v>
      </c>
    </row>
    <row r="53" spans="1:28" x14ac:dyDescent="0.2">
      <c r="A53" t="s">
        <v>14</v>
      </c>
      <c r="B53" t="s">
        <v>34</v>
      </c>
      <c r="C53" t="s">
        <v>21</v>
      </c>
      <c r="D53">
        <v>1</v>
      </c>
      <c r="E53">
        <v>5</v>
      </c>
      <c r="F53">
        <v>8.9149999999999993E-3</v>
      </c>
      <c r="G53">
        <v>8.8050000000000003E-3</v>
      </c>
      <c r="H53" t="s">
        <v>22</v>
      </c>
      <c r="K53" t="s">
        <v>14</v>
      </c>
      <c r="L53" t="s">
        <v>51</v>
      </c>
      <c r="M53" t="s">
        <v>21</v>
      </c>
      <c r="N53">
        <v>1</v>
      </c>
      <c r="O53">
        <v>5</v>
      </c>
      <c r="P53">
        <v>5.2131999999999998E-2</v>
      </c>
      <c r="Q53">
        <v>9.7160000000000007E-3</v>
      </c>
      <c r="R53" t="s">
        <v>22</v>
      </c>
    </row>
    <row r="54" spans="1:28" x14ac:dyDescent="0.2">
      <c r="A54" t="s">
        <v>14</v>
      </c>
      <c r="B54" t="s">
        <v>36</v>
      </c>
      <c r="C54" t="s">
        <v>21</v>
      </c>
      <c r="D54">
        <v>1</v>
      </c>
      <c r="E54">
        <v>5</v>
      </c>
      <c r="F54">
        <v>2.8225E-2</v>
      </c>
      <c r="G54">
        <v>1.2089000000000001E-2</v>
      </c>
      <c r="H54" t="s">
        <v>22</v>
      </c>
      <c r="K54" t="s">
        <v>14</v>
      </c>
      <c r="L54" t="s">
        <v>26</v>
      </c>
      <c r="M54" t="s">
        <v>21</v>
      </c>
      <c r="N54">
        <v>1</v>
      </c>
      <c r="O54">
        <v>5</v>
      </c>
      <c r="P54">
        <v>2.6468999999999999E-2</v>
      </c>
      <c r="Q54">
        <v>1.235E-3</v>
      </c>
      <c r="R54" t="s">
        <v>22</v>
      </c>
    </row>
    <row r="55" spans="1:28" x14ac:dyDescent="0.2">
      <c r="A55" t="s">
        <v>14</v>
      </c>
      <c r="B55" t="s">
        <v>2</v>
      </c>
      <c r="C55" t="s">
        <v>21</v>
      </c>
      <c r="D55">
        <v>1</v>
      </c>
      <c r="E55">
        <v>5</v>
      </c>
      <c r="F55">
        <v>1.1313999999999999E-2</v>
      </c>
      <c r="G55">
        <v>5.3559999999999997E-3</v>
      </c>
      <c r="H55" t="s">
        <v>22</v>
      </c>
      <c r="K55" t="s">
        <v>14</v>
      </c>
      <c r="L55" t="s">
        <v>30</v>
      </c>
      <c r="M55" t="s">
        <v>21</v>
      </c>
      <c r="N55">
        <v>1</v>
      </c>
      <c r="O55">
        <v>5</v>
      </c>
      <c r="P55">
        <v>2.0929E-2</v>
      </c>
      <c r="Q55">
        <v>8.2719999999999998E-3</v>
      </c>
      <c r="R55" t="s">
        <v>22</v>
      </c>
    </row>
    <row r="56" spans="1:28" x14ac:dyDescent="0.2">
      <c r="A56" t="s">
        <v>14</v>
      </c>
      <c r="B56" t="s">
        <v>39</v>
      </c>
      <c r="C56" t="s">
        <v>21</v>
      </c>
      <c r="D56">
        <v>1</v>
      </c>
      <c r="E56">
        <v>5</v>
      </c>
      <c r="F56">
        <v>2.3838000000000002E-2</v>
      </c>
      <c r="G56">
        <v>9.1529999999999997E-3</v>
      </c>
      <c r="H56" t="s">
        <v>22</v>
      </c>
      <c r="K56" t="s">
        <v>14</v>
      </c>
      <c r="L56" t="s">
        <v>53</v>
      </c>
      <c r="M56" t="s">
        <v>21</v>
      </c>
      <c r="N56">
        <v>1</v>
      </c>
      <c r="O56">
        <v>5</v>
      </c>
      <c r="P56">
        <v>0.124113</v>
      </c>
      <c r="Q56">
        <v>3.0519000000000001E-2</v>
      </c>
      <c r="R56" t="s">
        <v>22</v>
      </c>
    </row>
    <row r="57" spans="1:28" x14ac:dyDescent="0.2">
      <c r="A57" t="s">
        <v>14</v>
      </c>
      <c r="B57" t="s">
        <v>41</v>
      </c>
      <c r="C57" t="s">
        <v>21</v>
      </c>
      <c r="D57">
        <v>1</v>
      </c>
      <c r="E57">
        <v>5</v>
      </c>
      <c r="F57">
        <v>6.463E-3</v>
      </c>
      <c r="G57">
        <v>1.8240000000000001E-3</v>
      </c>
      <c r="H57" t="s">
        <v>22</v>
      </c>
    </row>
    <row r="58" spans="1:28" x14ac:dyDescent="0.2">
      <c r="A58" t="s">
        <v>14</v>
      </c>
      <c r="B58" t="s">
        <v>43</v>
      </c>
      <c r="C58" t="s">
        <v>21</v>
      </c>
      <c r="D58">
        <v>1</v>
      </c>
      <c r="E58">
        <v>5</v>
      </c>
      <c r="F58">
        <v>1.3899E-2</v>
      </c>
      <c r="G58">
        <v>5.9659999999999999E-3</v>
      </c>
      <c r="H58" t="s">
        <v>22</v>
      </c>
    </row>
    <row r="59" spans="1:28" x14ac:dyDescent="0.2">
      <c r="A59" t="s">
        <v>14</v>
      </c>
      <c r="B59" t="s">
        <v>46</v>
      </c>
      <c r="C59" t="s">
        <v>21</v>
      </c>
      <c r="D59">
        <v>1</v>
      </c>
      <c r="E59">
        <v>5</v>
      </c>
      <c r="F59">
        <v>1.4302E-2</v>
      </c>
      <c r="G59">
        <v>7.3930000000000003E-3</v>
      </c>
      <c r="H59" t="s">
        <v>22</v>
      </c>
    </row>
    <row r="60" spans="1:28" x14ac:dyDescent="0.2">
      <c r="A60" t="s">
        <v>14</v>
      </c>
      <c r="B60" t="s">
        <v>45</v>
      </c>
      <c r="C60" t="s">
        <v>21</v>
      </c>
      <c r="D60">
        <v>1</v>
      </c>
      <c r="E60">
        <v>5</v>
      </c>
      <c r="F60">
        <v>1.1875E-2</v>
      </c>
      <c r="G60">
        <v>9.8460000000000006E-3</v>
      </c>
      <c r="H60" t="s">
        <v>22</v>
      </c>
    </row>
    <row r="61" spans="1:28" x14ac:dyDescent="0.2">
      <c r="A61" t="s">
        <v>14</v>
      </c>
      <c r="B61" t="s">
        <v>48</v>
      </c>
      <c r="C61" t="s">
        <v>21</v>
      </c>
      <c r="D61">
        <v>1</v>
      </c>
      <c r="E61">
        <v>5</v>
      </c>
      <c r="F61">
        <v>1.1764E-2</v>
      </c>
      <c r="G61">
        <v>8.8170000000000002E-3</v>
      </c>
      <c r="H61" t="s">
        <v>22</v>
      </c>
    </row>
    <row r="62" spans="1:28" x14ac:dyDescent="0.2">
      <c r="A62" t="s">
        <v>14</v>
      </c>
      <c r="B62" t="s">
        <v>51</v>
      </c>
      <c r="C62" t="s">
        <v>21</v>
      </c>
      <c r="D62">
        <v>1</v>
      </c>
      <c r="E62">
        <v>5</v>
      </c>
      <c r="F62">
        <v>1.6160999999999998E-2</v>
      </c>
      <c r="G62">
        <v>6.352E-3</v>
      </c>
      <c r="H62" t="s">
        <v>22</v>
      </c>
    </row>
    <row r="63" spans="1:28" x14ac:dyDescent="0.2">
      <c r="A63" t="s">
        <v>14</v>
      </c>
      <c r="B63" t="s">
        <v>26</v>
      </c>
      <c r="C63" t="s">
        <v>21</v>
      </c>
      <c r="D63">
        <v>1</v>
      </c>
      <c r="E63">
        <v>5</v>
      </c>
      <c r="F63">
        <v>8.5100000000000002E-3</v>
      </c>
      <c r="G63">
        <v>7.4190000000000002E-3</v>
      </c>
      <c r="H63" t="s">
        <v>22</v>
      </c>
    </row>
    <row r="64" spans="1:28" x14ac:dyDescent="0.2">
      <c r="A64" t="s">
        <v>14</v>
      </c>
      <c r="B64" t="s">
        <v>30</v>
      </c>
      <c r="C64" t="s">
        <v>21</v>
      </c>
      <c r="D64">
        <v>1</v>
      </c>
      <c r="E64">
        <v>5</v>
      </c>
      <c r="F64">
        <v>6.8710000000000004E-3</v>
      </c>
      <c r="G64">
        <v>3.6359999999999999E-3</v>
      </c>
      <c r="H64" t="s">
        <v>22</v>
      </c>
    </row>
    <row r="65" spans="1:8" x14ac:dyDescent="0.2">
      <c r="A65" t="s">
        <v>14</v>
      </c>
      <c r="B65" t="s">
        <v>53</v>
      </c>
      <c r="C65" t="s">
        <v>21</v>
      </c>
      <c r="D65">
        <v>1</v>
      </c>
      <c r="E65">
        <v>5</v>
      </c>
      <c r="F65">
        <v>1.1426E-2</v>
      </c>
      <c r="G65">
        <v>5.4149999999999997E-3</v>
      </c>
      <c r="H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small</vt:lpstr>
      <vt:lpstr>medium</vt:lpstr>
      <vt:lpstr>large</vt:lpstr>
      <vt:lpstr>perf-table-vs-tyql</vt:lpstr>
      <vt:lpstr>perf-table-vs-jdbc</vt:lpstr>
      <vt:lpstr>agg-table-tyql</vt:lpstr>
      <vt:lpstr>agg-table-jdbc</vt:lpstr>
      <vt:lpstr>Sheet10</vt:lpstr>
      <vt:lpstr>large!feb14_repro48_large_iterations</vt:lpstr>
      <vt:lpstr>medium!feb14_repro48_medium_iterations</vt:lpstr>
      <vt:lpstr>Sheet10!feb21_rerun_jdbc48_large_clean</vt:lpstr>
      <vt:lpstr>Sheet10!feb21_rerun_jdbc48_medium_clean</vt:lpstr>
      <vt:lpstr>Sheet10!feb21_rerun_jdbc48_small_clean</vt:lpstr>
      <vt:lpstr>small!nov12_graal_data_10to_5x_8gb48_clean</vt:lpstr>
      <vt:lpstr>small!nov12_graal_data_10to_5x_8gb48_iterations</vt:lpstr>
      <vt:lpstr>large!nov12_large_graal_5x_8gb48_clean</vt:lpstr>
      <vt:lpstr>large!nov12_large_graal_5x_8gb48_iterations</vt:lpstr>
      <vt:lpstr>large!oct29_sized_3x47_clean</vt:lpstr>
      <vt:lpstr>medium!oct29_sized_3x47_clean</vt:lpstr>
      <vt:lpstr>large!oct29_sized_3x48_clean</vt:lpstr>
      <vt:lpstr>medium!oct29_sized_3x48_clean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Herlihy</dc:creator>
  <cp:lastModifiedBy>An Na</cp:lastModifiedBy>
  <dcterms:created xsi:type="dcterms:W3CDTF">2024-11-12T13:08:43Z</dcterms:created>
  <dcterms:modified xsi:type="dcterms:W3CDTF">2025-09-11T19:41:35Z</dcterms:modified>
</cp:coreProperties>
</file>